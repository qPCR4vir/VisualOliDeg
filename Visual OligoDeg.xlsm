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ctrlProps/ctrlProp1.xml" ContentType="application/vnd.ms-excel.controlproperties+xml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DieseArbeitsmappe" defaultThemeVersion="124226"/>
  <mc:AlternateContent xmlns:mc="http://schemas.openxmlformats.org/markup-compatibility/2006">
    <mc:Choice Requires="x15">
      <x15ac:absPath xmlns:x15ac="http://schemas.microsoft.com/office/spreadsheetml/2010/11/ac" url="C:\Prog\VisualOliDeg\"/>
    </mc:Choice>
  </mc:AlternateContent>
  <bookViews>
    <workbookView xWindow="0" yWindow="0" windowWidth="28800" windowHeight="12300" tabRatio="579" activeTab="1"/>
  </bookViews>
  <sheets>
    <sheet name="ReadMe" sheetId="17" r:id="rId1"/>
    <sheet name="Import" sheetId="5" r:id="rId2"/>
    <sheet name="Align" sheetId="2" r:id="rId3"/>
    <sheet name="Oligos" sheetId="16" r:id="rId4"/>
    <sheet name="NNparam" sheetId="8" r:id="rId5"/>
    <sheet name="CodDeg" sheetId="4" r:id="rId6"/>
    <sheet name="dH" sheetId="9" r:id="rId7"/>
    <sheet name="dS" sheetId="11" r:id="rId8"/>
    <sheet name="I2G" sheetId="18" r:id="rId9"/>
    <sheet name="Match" sheetId="3" r:id="rId10"/>
  </sheets>
  <functionGroups builtInGroupCount="18"/>
  <definedNames>
    <definedName name="_xlnm._FilterDatabase" localSheetId="1" hidden="1">Import!$A$5:$G$8</definedName>
    <definedName name="A" comment="Adenine cod: 1000">CodDeg!$C$7</definedName>
    <definedName name="ActivPrim">Align!$H$11</definedName>
    <definedName name="ActPrimLen">Match!$G$5</definedName>
    <definedName name="Align.ColH_first">Align!$M$1:$M$21</definedName>
    <definedName name="Align.Data">Align!$M$22:$AF$24</definedName>
    <definedName name="Align.DataBeg">Align!$M$22</definedName>
    <definedName name="Align.DistNt" comment="Contenido de nt en cada pos. Cantidad de seq con ese nt en esa pos.">Align!$M$16:$M$19</definedName>
    <definedName name="Align.in_active_primer">Align!$M$10</definedName>
    <definedName name="Align.primer_mark">Align!$M$11:$AF$11</definedName>
    <definedName name="Align.RowH_first">Align!$A$22:$L$22</definedName>
    <definedName name="Align.UsedCons">Align!$M$9</definedName>
    <definedName name="AT">CodDeg!$K$8</definedName>
    <definedName name="CCATGCTAATGCTAGAGCCTTTTCGCATCTAGCTTCTAAGTTGATCGAAACGGAGGTAGACCCATCCGATACGATCCTAGACATAGGCAGTGCGCCT">Match!$C$26:$M$28</definedName>
    <definedName name="Ce" comment="C cod: 0010">CodDeg!$E$7</definedName>
    <definedName name="Cla">Align!$C$20</definedName>
    <definedName name="ClassHeaders">Import!$C$5:$F$5</definedName>
    <definedName name="CodComplElegir">CodDeg!$B$2</definedName>
    <definedName name="CodDeg">CodDeg!$B$8</definedName>
    <definedName name="CodDegElegir">CodDeg!$B$3</definedName>
    <definedName name="col" comment="REL: comienzo de columna de seq. " localSheetId="2">Align!A$22</definedName>
    <definedName name="currPrimerPosition">Oligos!$Q$1</definedName>
    <definedName name="Description" comment="Table header">Import!$G$5</definedName>
    <definedName name="dG_X">I2G!$C$23:$C$273</definedName>
    <definedName name="dH">dH!$P$31</definedName>
    <definedName name="dHmax">dH!$AJ$9</definedName>
    <definedName name="dHmin">dH!$J$9</definedName>
    <definedName name="_xlnm.Print_Area" localSheetId="1">Import!$A$5:$G$8</definedName>
    <definedName name="_xlnm.Print_Area" localSheetId="3">Oligos!$D$1:$AH$16</definedName>
    <definedName name="dS">dS!$P$31</definedName>
    <definedName name="dSmax">dS!$AJ$9</definedName>
    <definedName name="dSmin">dS!$J$9</definedName>
    <definedName name="ErrorFiltre">Align!$J$20</definedName>
    <definedName name="Esp">Align!$D$20</definedName>
    <definedName name="Excel_BuiltIn_Consolidate_Area_0">#N/A</definedName>
    <definedName name="f_max">Match!$F$15</definedName>
    <definedName name="f_med">Match!$E$15</definedName>
    <definedName name="f_min">Match!$D$15</definedName>
    <definedName name="FastaFileNAme">Import!$C$1</definedName>
    <definedName name="G" comment="cod">CodDeg!$F$7</definedName>
    <definedName name="G_sat">I2G!$C$16</definedName>
    <definedName name="G_senc">I2G!$C$15</definedName>
    <definedName name="GC">CodDeg!$M$8</definedName>
    <definedName name="Gr">Align!$B$20</definedName>
    <definedName name="Gstep">I2G!$C$20</definedName>
    <definedName name="GxI_graf">I2G!$C$22:$D$273</definedName>
    <definedName name="I_sat">I2G!$C$14</definedName>
    <definedName name="I_senc">I2G!$C$13</definedName>
    <definedName name="I_Y">I2G!$D$23:$D$273</definedName>
    <definedName name="Kelv_Salt">Match!$C$3</definedName>
    <definedName name="Lin">Align!$E$20</definedName>
    <definedName name="LoadSeqFrom">Import!$D$2</definedName>
    <definedName name="LoadSeqTo">Import!$D$3</definedName>
    <definedName name="Match.ColH_first">Match!$M$1:$M$25</definedName>
    <definedName name="Match.Consen">Match!$M$2</definedName>
    <definedName name="Match.CountErr" comment="TODO: is actualized? yes">Match!$C$26:$C$28</definedName>
    <definedName name="Match.Data">Match!$M$26:$AF$28</definedName>
    <definedName name="Match.DataBeg">Match!$M$26</definedName>
    <definedName name="Match.HCons">Match!$M$3</definedName>
    <definedName name="Match.Pos">Match!$M$1</definedName>
    <definedName name="Match.RowH_first">Match!$A$26:$L$26</definedName>
    <definedName name="Match.SelectedPosRow">Match!$M$1:$AF$1</definedName>
    <definedName name="Match.SumadHmax">Match!$M$21</definedName>
    <definedName name="Match.SumadHmin">Match!$M$20</definedName>
    <definedName name="Match.SumadSmax">Match!$M$23</definedName>
    <definedName name="Match.SumadSmin">Match!$M$22</definedName>
    <definedName name="Match.sumATmax">Match!$M$12</definedName>
    <definedName name="Match.sumGCmax">Match!$M$13</definedName>
    <definedName name="MaxMM">Align!$F$20</definedName>
    <definedName name="MaxSeqLength">Import!$F$3</definedName>
    <definedName name="Mayoritario">Align!$H$3</definedName>
    <definedName name="MinLen">Align!$H$14</definedName>
    <definedName name="Minoritario">Align!$H$2</definedName>
    <definedName name="MinToCons">Align!$H$4</definedName>
    <definedName name="MinToHCons">Align!$H$5</definedName>
    <definedName name="Na_mM">Align!$H$7</definedName>
    <definedName name="NoNt">Import!$H$4</definedName>
    <definedName name="NoSeq">Import!$F$2</definedName>
    <definedName name="OnlyWorst">Align!$J$19</definedName>
    <definedName name="p_nM">Align!$H$6</definedName>
    <definedName name="pos" comment="REL: The position or coordenate of the nucleotide base.">Align!A$21</definedName>
    <definedName name="PosiblesTmCalcMet">Match!$C$17:$C$20</definedName>
    <definedName name="PrimerLen">Align!$H$9</definedName>
    <definedName name="RlnPC">Match!$C$2</definedName>
    <definedName name="ro">I2G!$M$9</definedName>
    <definedName name="selected" comment="REL: Is this sequence selected for analisis? Will be defined as a Named range becouse it is used in Match too.">Align!$A1</definedName>
    <definedName name="seq" comment="REL: The complete original sequence from Import">Import!$B1048561</definedName>
    <definedName name="SeqDescriptions" comment="Table Datos, complet">Import!$A$6:$H$8</definedName>
    <definedName name="SeqName" comment="Table header">Import!$A$5</definedName>
    <definedName name="SeqStart" comment="Show original sequences only begining from this position">Align!$H$8</definedName>
    <definedName name="SeqTableVert" comment="Vertice de la tabla de seq. Donde esta el primer nombre de seq. Sirve para referencia de toda la tabla.">Import!$G$3</definedName>
    <definedName name="SeqToSee">Align!$H$1</definedName>
    <definedName name="T" comment="T cod: 0100">CodDeg!$D$7</definedName>
    <definedName name="Ta">Align!$H$15</definedName>
    <definedName name="TaK">Match!$C$4</definedName>
    <definedName name="te">I2G!$M$14</definedName>
    <definedName name="Tm_choice">Align!$H$12</definedName>
    <definedName name="Tm_max" comment="Row with the calculated Tm max. Formula to be set using Tm_choice">Align!$M$7</definedName>
    <definedName name="Tm_min" comment="Row with the calculated Tm min. Formula to be set using Tm_choice">Align!$M$6</definedName>
    <definedName name="txt2code">CodDeg!$E$28:$E$282</definedName>
    <definedName name="UsedCons" comment="Consensus in use, and editale by the user">Align!$M$9</definedName>
  </definedNames>
  <calcPr calcId="152511"/>
</workbook>
</file>

<file path=xl/calcChain.xml><?xml version="1.0" encoding="utf-8"?>
<calcChain xmlns="http://schemas.openxmlformats.org/spreadsheetml/2006/main">
  <c r="I24" i="2" l="1"/>
  <c r="E24" i="2"/>
  <c r="D24" i="2"/>
  <c r="C24" i="2"/>
  <c r="B24" i="2"/>
  <c r="A24" i="2" s="1"/>
  <c r="AC24" i="2" s="1"/>
  <c r="I23" i="2"/>
  <c r="E23" i="2"/>
  <c r="D23" i="2"/>
  <c r="C23" i="2"/>
  <c r="B23" i="2"/>
  <c r="A23" i="2"/>
  <c r="AC23" i="2" s="1"/>
  <c r="AF10" i="2"/>
  <c r="AE10" i="2"/>
  <c r="AD10" i="2"/>
  <c r="AC10" i="2"/>
  <c r="AB10" i="2"/>
  <c r="AA10" i="2"/>
  <c r="Z10" i="2"/>
  <c r="Y10" i="2"/>
  <c r="X10" i="2"/>
  <c r="W10" i="2"/>
  <c r="V10" i="2"/>
  <c r="U10" i="2"/>
  <c r="T10" i="2"/>
  <c r="S10" i="2"/>
  <c r="R10" i="2"/>
  <c r="Q10" i="2"/>
  <c r="P10" i="2"/>
  <c r="O10" i="2"/>
  <c r="N10" i="2"/>
  <c r="AF24" i="2"/>
  <c r="AE24" i="2"/>
  <c r="AD24" i="2"/>
  <c r="AB24" i="2"/>
  <c r="AA24" i="2"/>
  <c r="Z24" i="2"/>
  <c r="X24" i="2"/>
  <c r="W24" i="2"/>
  <c r="V24" i="2"/>
  <c r="T24" i="2"/>
  <c r="S24" i="2"/>
  <c r="R24" i="2"/>
  <c r="P24" i="2"/>
  <c r="O24" i="2"/>
  <c r="N24" i="2"/>
  <c r="AF23" i="2"/>
  <c r="AE23" i="2"/>
  <c r="AD23" i="2"/>
  <c r="AB23" i="2"/>
  <c r="AA23" i="2"/>
  <c r="Z23" i="2"/>
  <c r="X23" i="2"/>
  <c r="W23" i="2"/>
  <c r="V23" i="2"/>
  <c r="T23" i="2"/>
  <c r="S23" i="2"/>
  <c r="R23" i="2"/>
  <c r="P23" i="2"/>
  <c r="O23" i="2"/>
  <c r="N23" i="2"/>
  <c r="M23" i="2" l="1"/>
  <c r="H23" i="2" s="1"/>
  <c r="Q23" i="2"/>
  <c r="U23" i="2"/>
  <c r="Y23" i="2"/>
  <c r="M24" i="2"/>
  <c r="H24" i="2" s="1"/>
  <c r="Q24" i="2"/>
  <c r="U24" i="2"/>
  <c r="Y24" i="2"/>
  <c r="L32" i="4"/>
  <c r="D112" i="4" l="1"/>
  <c r="D144" i="4"/>
  <c r="L29" i="4"/>
  <c r="L31" i="4"/>
  <c r="L30" i="4"/>
  <c r="B28" i="4" l="1"/>
  <c r="C28" i="4" s="1"/>
  <c r="D28" i="4" s="1"/>
  <c r="E28" i="4" s="1"/>
  <c r="M28" i="4" s="1"/>
  <c r="B29" i="4"/>
  <c r="C29" i="4" s="1"/>
  <c r="D29" i="4" s="1"/>
  <c r="E29" i="4" s="1"/>
  <c r="B30" i="4"/>
  <c r="C30" i="4" s="1"/>
  <c r="B31" i="4"/>
  <c r="C31" i="4" s="1"/>
  <c r="B32" i="4"/>
  <c r="C32" i="4" s="1"/>
  <c r="B33" i="4"/>
  <c r="C33" i="4" s="1"/>
  <c r="B34" i="4"/>
  <c r="C34" i="4" s="1"/>
  <c r="B35" i="4"/>
  <c r="C35" i="4" s="1"/>
  <c r="B36" i="4"/>
  <c r="C36" i="4" s="1"/>
  <c r="B37" i="4"/>
  <c r="C37" i="4" s="1"/>
  <c r="B38" i="4"/>
  <c r="C38" i="4" s="1"/>
  <c r="B39" i="4"/>
  <c r="C39" i="4" s="1"/>
  <c r="B40" i="4"/>
  <c r="C40" i="4" s="1"/>
  <c r="B41" i="4"/>
  <c r="C41" i="4" s="1"/>
  <c r="B42" i="4"/>
  <c r="C42" i="4" s="1"/>
  <c r="B43" i="4"/>
  <c r="C43" i="4" s="1"/>
  <c r="B44" i="4"/>
  <c r="C44" i="4" s="1"/>
  <c r="B45" i="4"/>
  <c r="C45" i="4" s="1"/>
  <c r="B46" i="4"/>
  <c r="C46" i="4" s="1"/>
  <c r="B47" i="4"/>
  <c r="C47" i="4" s="1"/>
  <c r="B48" i="4"/>
  <c r="C48" i="4" s="1"/>
  <c r="B49" i="4"/>
  <c r="C49" i="4" s="1"/>
  <c r="B50" i="4"/>
  <c r="C50" i="4" s="1"/>
  <c r="B51" i="4"/>
  <c r="C51" i="4" s="1"/>
  <c r="B52" i="4"/>
  <c r="C52" i="4" s="1"/>
  <c r="B53" i="4"/>
  <c r="C53" i="4" s="1"/>
  <c r="B54" i="4"/>
  <c r="C54" i="4" s="1"/>
  <c r="B55" i="4"/>
  <c r="C55" i="4" s="1"/>
  <c r="B56" i="4"/>
  <c r="C56" i="4" s="1"/>
  <c r="B57" i="4"/>
  <c r="C57" i="4" s="1"/>
  <c r="B58" i="4"/>
  <c r="C58" i="4" s="1"/>
  <c r="B59" i="4"/>
  <c r="C59" i="4" s="1"/>
  <c r="B60" i="4"/>
  <c r="C60" i="4" s="1"/>
  <c r="B61" i="4"/>
  <c r="C61" i="4" s="1"/>
  <c r="B62" i="4"/>
  <c r="C62" i="4" s="1"/>
  <c r="B63" i="4"/>
  <c r="C63" i="4" s="1"/>
  <c r="B64" i="4"/>
  <c r="C64" i="4" s="1"/>
  <c r="B65" i="4"/>
  <c r="C65" i="4" s="1"/>
  <c r="B66" i="4"/>
  <c r="C66" i="4" s="1"/>
  <c r="B67" i="4"/>
  <c r="C67" i="4" s="1"/>
  <c r="B68" i="4"/>
  <c r="C68" i="4" s="1"/>
  <c r="B69" i="4"/>
  <c r="C69" i="4" s="1"/>
  <c r="B70" i="4"/>
  <c r="C70" i="4" s="1"/>
  <c r="B71" i="4"/>
  <c r="C71" i="4" s="1"/>
  <c r="B72" i="4"/>
  <c r="C72" i="4" s="1"/>
  <c r="B73" i="4"/>
  <c r="C73" i="4" s="1"/>
  <c r="B74" i="4"/>
  <c r="C74" i="4" s="1"/>
  <c r="B75" i="4"/>
  <c r="C75" i="4" s="1"/>
  <c r="B76" i="4"/>
  <c r="C76" i="4" s="1"/>
  <c r="B77" i="4"/>
  <c r="C77" i="4" s="1"/>
  <c r="B78" i="4"/>
  <c r="C78" i="4" s="1"/>
  <c r="B79" i="4"/>
  <c r="C79" i="4" s="1"/>
  <c r="B80" i="4"/>
  <c r="C80" i="4" s="1"/>
  <c r="B81" i="4"/>
  <c r="C81" i="4" s="1"/>
  <c r="B82" i="4"/>
  <c r="C82" i="4" s="1"/>
  <c r="B83" i="4"/>
  <c r="C83" i="4" s="1"/>
  <c r="B84" i="4"/>
  <c r="C84" i="4" s="1"/>
  <c r="B85" i="4"/>
  <c r="C85" i="4" s="1"/>
  <c r="B86" i="4"/>
  <c r="C86" i="4" s="1"/>
  <c r="B87" i="4"/>
  <c r="C87" i="4" s="1"/>
  <c r="B88" i="4"/>
  <c r="C88" i="4" s="1"/>
  <c r="B89" i="4"/>
  <c r="C89" i="4" s="1"/>
  <c r="B90" i="4"/>
  <c r="C90" i="4" s="1"/>
  <c r="B91" i="4"/>
  <c r="C91" i="4" s="1"/>
  <c r="B92" i="4"/>
  <c r="C92" i="4" s="1"/>
  <c r="B93" i="4"/>
  <c r="C93" i="4" s="1"/>
  <c r="B94" i="4"/>
  <c r="C94" i="4" s="1"/>
  <c r="B95" i="4"/>
  <c r="C95" i="4" s="1"/>
  <c r="B96" i="4"/>
  <c r="C96" i="4" s="1"/>
  <c r="B97" i="4"/>
  <c r="C97" i="4" s="1"/>
  <c r="B98" i="4"/>
  <c r="C98" i="4" s="1"/>
  <c r="B99" i="4"/>
  <c r="C99" i="4" s="1"/>
  <c r="B100" i="4"/>
  <c r="C100" i="4" s="1"/>
  <c r="B101" i="4"/>
  <c r="C101" i="4" s="1"/>
  <c r="B102" i="4"/>
  <c r="C102" i="4" s="1"/>
  <c r="B103" i="4"/>
  <c r="C103" i="4" s="1"/>
  <c r="B104" i="4"/>
  <c r="C104" i="4" s="1"/>
  <c r="B105" i="4"/>
  <c r="C105" i="4" s="1"/>
  <c r="B106" i="4"/>
  <c r="C106" i="4" s="1"/>
  <c r="B107" i="4"/>
  <c r="C107" i="4" s="1"/>
  <c r="B108" i="4"/>
  <c r="C108" i="4" s="1"/>
  <c r="B109" i="4"/>
  <c r="C109" i="4" s="1"/>
  <c r="B110" i="4"/>
  <c r="C110" i="4" s="1"/>
  <c r="B111" i="4"/>
  <c r="C111" i="4" s="1"/>
  <c r="B112" i="4"/>
  <c r="E112" i="4" s="1"/>
  <c r="B113" i="4"/>
  <c r="C113" i="4" s="1"/>
  <c r="B114" i="4"/>
  <c r="C114" i="4" s="1"/>
  <c r="B115" i="4"/>
  <c r="C115" i="4" s="1"/>
  <c r="B116" i="4"/>
  <c r="C116" i="4" s="1"/>
  <c r="B117" i="4"/>
  <c r="C117" i="4" s="1"/>
  <c r="B118" i="4"/>
  <c r="C118" i="4" s="1"/>
  <c r="B119" i="4"/>
  <c r="C119" i="4" s="1"/>
  <c r="B120" i="4"/>
  <c r="C120" i="4" s="1"/>
  <c r="B121" i="4"/>
  <c r="C121" i="4" s="1"/>
  <c r="B122" i="4"/>
  <c r="C122" i="4" s="1"/>
  <c r="B123" i="4"/>
  <c r="C123" i="4" s="1"/>
  <c r="B124" i="4"/>
  <c r="C124" i="4" s="1"/>
  <c r="B125" i="4"/>
  <c r="C125" i="4" s="1"/>
  <c r="B126" i="4"/>
  <c r="C126" i="4" s="1"/>
  <c r="B127" i="4"/>
  <c r="C127" i="4" s="1"/>
  <c r="B128" i="4"/>
  <c r="C128" i="4" s="1"/>
  <c r="B129" i="4"/>
  <c r="C129" i="4" s="1"/>
  <c r="B130" i="4"/>
  <c r="C130" i="4" s="1"/>
  <c r="B131" i="4"/>
  <c r="C131" i="4" s="1"/>
  <c r="B132" i="4"/>
  <c r="C132" i="4" s="1"/>
  <c r="B133" i="4"/>
  <c r="C133" i="4" s="1"/>
  <c r="B134" i="4"/>
  <c r="C134" i="4" s="1"/>
  <c r="B135" i="4"/>
  <c r="C135" i="4" s="1"/>
  <c r="B136" i="4"/>
  <c r="C136" i="4" s="1"/>
  <c r="B137" i="4"/>
  <c r="C137" i="4" s="1"/>
  <c r="B138" i="4"/>
  <c r="C138" i="4" s="1"/>
  <c r="B139" i="4"/>
  <c r="C139" i="4" s="1"/>
  <c r="B140" i="4"/>
  <c r="C140" i="4" s="1"/>
  <c r="B141" i="4"/>
  <c r="C141" i="4" s="1"/>
  <c r="B142" i="4"/>
  <c r="C142" i="4" s="1"/>
  <c r="B143" i="4"/>
  <c r="C143" i="4" s="1"/>
  <c r="B144" i="4"/>
  <c r="E144" i="4" s="1"/>
  <c r="B145" i="4"/>
  <c r="C145" i="4" s="1"/>
  <c r="B146" i="4"/>
  <c r="C146" i="4" s="1"/>
  <c r="B147" i="4"/>
  <c r="C147" i="4" s="1"/>
  <c r="B148" i="4"/>
  <c r="C148" i="4" s="1"/>
  <c r="B149" i="4"/>
  <c r="C149" i="4" s="1"/>
  <c r="B150" i="4"/>
  <c r="C150" i="4" s="1"/>
  <c r="B151" i="4"/>
  <c r="C151" i="4" s="1"/>
  <c r="B152" i="4"/>
  <c r="C152" i="4" s="1"/>
  <c r="B153" i="4"/>
  <c r="C153" i="4" s="1"/>
  <c r="B154" i="4"/>
  <c r="C154" i="4" s="1"/>
  <c r="B155" i="4"/>
  <c r="C155" i="4" s="1"/>
  <c r="B156" i="4"/>
  <c r="C156" i="4" s="1"/>
  <c r="B157" i="4"/>
  <c r="C157" i="4" s="1"/>
  <c r="B158" i="4"/>
  <c r="C158" i="4" s="1"/>
  <c r="B159" i="4"/>
  <c r="C159" i="4" s="1"/>
  <c r="B160" i="4"/>
  <c r="C160" i="4" s="1"/>
  <c r="B161" i="4"/>
  <c r="C161" i="4" s="1"/>
  <c r="B162" i="4"/>
  <c r="C162" i="4" s="1"/>
  <c r="B163" i="4"/>
  <c r="C163" i="4" s="1"/>
  <c r="B164" i="4"/>
  <c r="C164" i="4" s="1"/>
  <c r="B165" i="4"/>
  <c r="C165" i="4" s="1"/>
  <c r="B166" i="4"/>
  <c r="C166" i="4" s="1"/>
  <c r="B167" i="4"/>
  <c r="C167" i="4" s="1"/>
  <c r="B168" i="4"/>
  <c r="C168" i="4" s="1"/>
  <c r="B169" i="4"/>
  <c r="C169" i="4" s="1"/>
  <c r="B170" i="4"/>
  <c r="C170" i="4" s="1"/>
  <c r="B171" i="4"/>
  <c r="C171" i="4" s="1"/>
  <c r="B172" i="4"/>
  <c r="C172" i="4" s="1"/>
  <c r="B173" i="4"/>
  <c r="C173" i="4" s="1"/>
  <c r="B174" i="4"/>
  <c r="C174" i="4" s="1"/>
  <c r="B175" i="4"/>
  <c r="C175" i="4" s="1"/>
  <c r="B176" i="4"/>
  <c r="C176" i="4" s="1"/>
  <c r="B177" i="4"/>
  <c r="C177" i="4" s="1"/>
  <c r="B178" i="4"/>
  <c r="C178" i="4" s="1"/>
  <c r="B179" i="4"/>
  <c r="C179" i="4" s="1"/>
  <c r="B180" i="4"/>
  <c r="C180" i="4" s="1"/>
  <c r="B181" i="4"/>
  <c r="C181" i="4" s="1"/>
  <c r="B182" i="4"/>
  <c r="C182" i="4" s="1"/>
  <c r="B183" i="4"/>
  <c r="C183" i="4" s="1"/>
  <c r="B184" i="4"/>
  <c r="C184" i="4" s="1"/>
  <c r="B185" i="4"/>
  <c r="C185" i="4" s="1"/>
  <c r="B186" i="4"/>
  <c r="C186" i="4" s="1"/>
  <c r="B187" i="4"/>
  <c r="C187" i="4" s="1"/>
  <c r="B188" i="4"/>
  <c r="C188" i="4" s="1"/>
  <c r="B189" i="4"/>
  <c r="C189" i="4" s="1"/>
  <c r="B190" i="4"/>
  <c r="C190" i="4" s="1"/>
  <c r="B191" i="4"/>
  <c r="C191" i="4" s="1"/>
  <c r="B192" i="4"/>
  <c r="C192" i="4" s="1"/>
  <c r="B193" i="4"/>
  <c r="C193" i="4" s="1"/>
  <c r="B194" i="4"/>
  <c r="C194" i="4" s="1"/>
  <c r="B195" i="4"/>
  <c r="C195" i="4" s="1"/>
  <c r="B196" i="4"/>
  <c r="C196" i="4" s="1"/>
  <c r="B197" i="4"/>
  <c r="C197" i="4" s="1"/>
  <c r="B198" i="4"/>
  <c r="C198" i="4" s="1"/>
  <c r="B199" i="4"/>
  <c r="C199" i="4" s="1"/>
  <c r="B200" i="4"/>
  <c r="C200" i="4" s="1"/>
  <c r="B201" i="4"/>
  <c r="C201" i="4" s="1"/>
  <c r="B202" i="4"/>
  <c r="C202" i="4" s="1"/>
  <c r="B203" i="4"/>
  <c r="C203" i="4" s="1"/>
  <c r="B204" i="4"/>
  <c r="C204" i="4" s="1"/>
  <c r="B205" i="4"/>
  <c r="C205" i="4" s="1"/>
  <c r="B206" i="4"/>
  <c r="C206" i="4" s="1"/>
  <c r="B207" i="4"/>
  <c r="C207" i="4" s="1"/>
  <c r="B208" i="4"/>
  <c r="C208" i="4" s="1"/>
  <c r="B209" i="4"/>
  <c r="C209" i="4" s="1"/>
  <c r="B210" i="4"/>
  <c r="C210" i="4" s="1"/>
  <c r="B211" i="4"/>
  <c r="C211" i="4" s="1"/>
  <c r="B212" i="4"/>
  <c r="C212" i="4" s="1"/>
  <c r="B213" i="4"/>
  <c r="C213" i="4" s="1"/>
  <c r="B214" i="4"/>
  <c r="C214" i="4" s="1"/>
  <c r="B215" i="4"/>
  <c r="C215" i="4" s="1"/>
  <c r="B216" i="4"/>
  <c r="C216" i="4" s="1"/>
  <c r="B217" i="4"/>
  <c r="C217" i="4" s="1"/>
  <c r="B218" i="4"/>
  <c r="C218" i="4" s="1"/>
  <c r="B219" i="4"/>
  <c r="C219" i="4" s="1"/>
  <c r="B220" i="4"/>
  <c r="C220" i="4" s="1"/>
  <c r="B221" i="4"/>
  <c r="C221" i="4" s="1"/>
  <c r="B222" i="4"/>
  <c r="C222" i="4" s="1"/>
  <c r="B223" i="4"/>
  <c r="C223" i="4" s="1"/>
  <c r="B224" i="4"/>
  <c r="C224" i="4" s="1"/>
  <c r="B225" i="4"/>
  <c r="C225" i="4" s="1"/>
  <c r="B226" i="4"/>
  <c r="C226" i="4" s="1"/>
  <c r="B227" i="4"/>
  <c r="C227" i="4" s="1"/>
  <c r="B228" i="4"/>
  <c r="C228" i="4" s="1"/>
  <c r="B229" i="4"/>
  <c r="C229" i="4" s="1"/>
  <c r="B230" i="4"/>
  <c r="C230" i="4" s="1"/>
  <c r="B231" i="4"/>
  <c r="C231" i="4" s="1"/>
  <c r="B232" i="4"/>
  <c r="C232" i="4" s="1"/>
  <c r="B233" i="4"/>
  <c r="C233" i="4" s="1"/>
  <c r="B234" i="4"/>
  <c r="C234" i="4" s="1"/>
  <c r="B235" i="4"/>
  <c r="C235" i="4" s="1"/>
  <c r="B236" i="4"/>
  <c r="C236" i="4" s="1"/>
  <c r="B237" i="4"/>
  <c r="C237" i="4" s="1"/>
  <c r="B238" i="4"/>
  <c r="C238" i="4" s="1"/>
  <c r="B239" i="4"/>
  <c r="C239" i="4" s="1"/>
  <c r="B240" i="4"/>
  <c r="C240" i="4" s="1"/>
  <c r="B241" i="4"/>
  <c r="C241" i="4" s="1"/>
  <c r="B242" i="4"/>
  <c r="C242" i="4" s="1"/>
  <c r="B243" i="4"/>
  <c r="C243" i="4" s="1"/>
  <c r="B244" i="4"/>
  <c r="C244" i="4" s="1"/>
  <c r="B245" i="4"/>
  <c r="C245" i="4" s="1"/>
  <c r="B246" i="4"/>
  <c r="C246" i="4" s="1"/>
  <c r="B247" i="4"/>
  <c r="C247" i="4" s="1"/>
  <c r="B248" i="4"/>
  <c r="C248" i="4" s="1"/>
  <c r="B249" i="4"/>
  <c r="C249" i="4" s="1"/>
  <c r="B250" i="4"/>
  <c r="C250" i="4" s="1"/>
  <c r="B251" i="4"/>
  <c r="C251" i="4" s="1"/>
  <c r="B252" i="4"/>
  <c r="C252" i="4" s="1"/>
  <c r="B253" i="4"/>
  <c r="C253" i="4" s="1"/>
  <c r="B254" i="4"/>
  <c r="C254" i="4" s="1"/>
  <c r="B255" i="4"/>
  <c r="C255" i="4" s="1"/>
  <c r="B256" i="4"/>
  <c r="C256" i="4" s="1"/>
  <c r="B257" i="4"/>
  <c r="C257" i="4" s="1"/>
  <c r="B258" i="4"/>
  <c r="C258" i="4" s="1"/>
  <c r="B259" i="4"/>
  <c r="C259" i="4" s="1"/>
  <c r="B260" i="4"/>
  <c r="C260" i="4" s="1"/>
  <c r="B261" i="4"/>
  <c r="C261" i="4" s="1"/>
  <c r="B262" i="4"/>
  <c r="C262" i="4" s="1"/>
  <c r="B263" i="4"/>
  <c r="C263" i="4" s="1"/>
  <c r="B264" i="4"/>
  <c r="C264" i="4" s="1"/>
  <c r="B265" i="4"/>
  <c r="C265" i="4" s="1"/>
  <c r="B266" i="4"/>
  <c r="C266" i="4" s="1"/>
  <c r="B267" i="4"/>
  <c r="C267" i="4" s="1"/>
  <c r="B268" i="4"/>
  <c r="C268" i="4" s="1"/>
  <c r="B269" i="4"/>
  <c r="C269" i="4" s="1"/>
  <c r="B270" i="4"/>
  <c r="C270" i="4" s="1"/>
  <c r="B271" i="4"/>
  <c r="C271" i="4" s="1"/>
  <c r="B272" i="4"/>
  <c r="C272" i="4" s="1"/>
  <c r="B273" i="4"/>
  <c r="C273" i="4" s="1"/>
  <c r="B274" i="4"/>
  <c r="C274" i="4" s="1"/>
  <c r="B275" i="4"/>
  <c r="C275" i="4" s="1"/>
  <c r="B276" i="4"/>
  <c r="C276" i="4" s="1"/>
  <c r="B277" i="4"/>
  <c r="C277" i="4" s="1"/>
  <c r="B278" i="4"/>
  <c r="C278" i="4" s="1"/>
  <c r="B279" i="4"/>
  <c r="C279" i="4" s="1"/>
  <c r="B280" i="4"/>
  <c r="C280" i="4" s="1"/>
  <c r="B281" i="4"/>
  <c r="C281" i="4" s="1"/>
  <c r="B282" i="4"/>
  <c r="C282" i="4" s="1"/>
  <c r="B283" i="4"/>
  <c r="C283" i="4" s="1"/>
  <c r="B284" i="4"/>
  <c r="C284" i="4" s="1"/>
  <c r="B285" i="4"/>
  <c r="C285" i="4" s="1"/>
  <c r="B286" i="4"/>
  <c r="C286" i="4" s="1"/>
  <c r="B287" i="4"/>
  <c r="C287" i="4" s="1"/>
  <c r="B288" i="4"/>
  <c r="C288" i="4" s="1"/>
  <c r="B289" i="4"/>
  <c r="C289" i="4" s="1"/>
  <c r="B290" i="4"/>
  <c r="C290" i="4" s="1"/>
  <c r="B291" i="4"/>
  <c r="C291" i="4" s="1"/>
  <c r="B292" i="4"/>
  <c r="C292" i="4" s="1"/>
  <c r="B293" i="4"/>
  <c r="C293" i="4" s="1"/>
  <c r="B294" i="4"/>
  <c r="C294" i="4" s="1"/>
  <c r="B295" i="4"/>
  <c r="C295" i="4" s="1"/>
  <c r="B296" i="4"/>
  <c r="C296" i="4" s="1"/>
  <c r="B297" i="4"/>
  <c r="C297" i="4" s="1"/>
  <c r="B298" i="4"/>
  <c r="C298" i="4" s="1"/>
  <c r="B299" i="4"/>
  <c r="C299" i="4" s="1"/>
  <c r="B300" i="4"/>
  <c r="C300" i="4" s="1"/>
  <c r="B301" i="4"/>
  <c r="C301" i="4" s="1"/>
  <c r="B302" i="4"/>
  <c r="C302" i="4" s="1"/>
  <c r="B303" i="4"/>
  <c r="C303" i="4" s="1"/>
  <c r="D301" i="4" l="1"/>
  <c r="E301" i="4" s="1"/>
  <c r="D293" i="4"/>
  <c r="E293" i="4" s="1"/>
  <c r="D289" i="4"/>
  <c r="E289" i="4" s="1"/>
  <c r="D281" i="4"/>
  <c r="E281" i="4" s="1"/>
  <c r="D273" i="4"/>
  <c r="E273" i="4" s="1"/>
  <c r="D261" i="4"/>
  <c r="E261" i="4" s="1"/>
  <c r="D257" i="4"/>
  <c r="E257" i="4" s="1"/>
  <c r="D249" i="4"/>
  <c r="E249" i="4" s="1"/>
  <c r="D241" i="4"/>
  <c r="E241" i="4" s="1"/>
  <c r="D233" i="4"/>
  <c r="E233" i="4" s="1"/>
  <c r="D225" i="4"/>
  <c r="E225" i="4" s="1"/>
  <c r="D217" i="4"/>
  <c r="E217" i="4" s="1"/>
  <c r="D209" i="4"/>
  <c r="E209" i="4" s="1"/>
  <c r="D201" i="4"/>
  <c r="E201" i="4" s="1"/>
  <c r="D193" i="4"/>
  <c r="E193" i="4" s="1"/>
  <c r="D185" i="4"/>
  <c r="E185" i="4" s="1"/>
  <c r="D177" i="4"/>
  <c r="E177" i="4" s="1"/>
  <c r="D169" i="4"/>
  <c r="E169" i="4" s="1"/>
  <c r="D161" i="4"/>
  <c r="E161" i="4" s="1"/>
  <c r="D153" i="4"/>
  <c r="E153" i="4" s="1"/>
  <c r="D145" i="4"/>
  <c r="E145" i="4" s="1"/>
  <c r="D137" i="4"/>
  <c r="E137" i="4" s="1"/>
  <c r="D125" i="4"/>
  <c r="E125" i="4" s="1"/>
  <c r="D121" i="4"/>
  <c r="E121" i="4" s="1"/>
  <c r="D113" i="4"/>
  <c r="E113" i="4" s="1"/>
  <c r="D105" i="4"/>
  <c r="E105" i="4" s="1"/>
  <c r="D97" i="4"/>
  <c r="E97" i="4" s="1"/>
  <c r="D89" i="4"/>
  <c r="E89" i="4" s="1"/>
  <c r="D81" i="4"/>
  <c r="E81" i="4" s="1"/>
  <c r="D73" i="4"/>
  <c r="E73" i="4" s="1"/>
  <c r="D65" i="4"/>
  <c r="E65" i="4" s="1"/>
  <c r="D57" i="4"/>
  <c r="E57" i="4" s="1"/>
  <c r="D49" i="4"/>
  <c r="E49" i="4" s="1"/>
  <c r="D41" i="4"/>
  <c r="E41" i="4" s="1"/>
  <c r="D33" i="4"/>
  <c r="E33" i="4" s="1"/>
  <c r="D296" i="4"/>
  <c r="E296" i="4" s="1"/>
  <c r="D288" i="4"/>
  <c r="E288" i="4" s="1"/>
  <c r="D280" i="4"/>
  <c r="E280" i="4" s="1"/>
  <c r="D272" i="4"/>
  <c r="E272" i="4" s="1"/>
  <c r="D264" i="4"/>
  <c r="E264" i="4" s="1"/>
  <c r="D256" i="4"/>
  <c r="E256" i="4" s="1"/>
  <c r="D248" i="4"/>
  <c r="E248" i="4" s="1"/>
  <c r="D240" i="4"/>
  <c r="E240" i="4" s="1"/>
  <c r="D232" i="4"/>
  <c r="E232" i="4" s="1"/>
  <c r="D224" i="4"/>
  <c r="E224" i="4" s="1"/>
  <c r="D216" i="4"/>
  <c r="E216" i="4" s="1"/>
  <c r="D208" i="4"/>
  <c r="E208" i="4" s="1"/>
  <c r="D200" i="4"/>
  <c r="E200" i="4" s="1"/>
  <c r="D192" i="4"/>
  <c r="E192" i="4" s="1"/>
  <c r="D184" i="4"/>
  <c r="E184" i="4" s="1"/>
  <c r="D176" i="4"/>
  <c r="E176" i="4" s="1"/>
  <c r="D168" i="4"/>
  <c r="E168" i="4" s="1"/>
  <c r="D160" i="4"/>
  <c r="E160" i="4" s="1"/>
  <c r="D152" i="4"/>
  <c r="E152" i="4" s="1"/>
  <c r="D136" i="4"/>
  <c r="E136" i="4" s="1"/>
  <c r="D132" i="4"/>
  <c r="E132" i="4" s="1"/>
  <c r="D124" i="4"/>
  <c r="E124" i="4" s="1"/>
  <c r="D120" i="4"/>
  <c r="E120" i="4" s="1"/>
  <c r="D108" i="4"/>
  <c r="E108" i="4" s="1"/>
  <c r="D100" i="4"/>
  <c r="E100" i="4" s="1"/>
  <c r="V43" i="4" s="1"/>
  <c r="D92" i="4"/>
  <c r="E92" i="4" s="1"/>
  <c r="E84" i="4"/>
  <c r="D84" i="4"/>
  <c r="D76" i="4"/>
  <c r="E76" i="4" s="1"/>
  <c r="D68" i="4"/>
  <c r="E68" i="4" s="1"/>
  <c r="D60" i="4"/>
  <c r="E60" i="4" s="1"/>
  <c r="D52" i="4"/>
  <c r="E52" i="4" s="1"/>
  <c r="D44" i="4"/>
  <c r="E44" i="4" s="1"/>
  <c r="D40" i="4"/>
  <c r="E40" i="4" s="1"/>
  <c r="D32" i="4"/>
  <c r="E32" i="4" s="1"/>
  <c r="E302" i="4"/>
  <c r="D302" i="4"/>
  <c r="D298" i="4"/>
  <c r="E298" i="4" s="1"/>
  <c r="D294" i="4"/>
  <c r="E294" i="4" s="1"/>
  <c r="D290" i="4"/>
  <c r="E290" i="4" s="1"/>
  <c r="D286" i="4"/>
  <c r="E286" i="4" s="1"/>
  <c r="D282" i="4"/>
  <c r="E282" i="4" s="1"/>
  <c r="D278" i="4"/>
  <c r="E278" i="4" s="1"/>
  <c r="D274" i="4"/>
  <c r="E274" i="4" s="1"/>
  <c r="E270" i="4"/>
  <c r="D270" i="4"/>
  <c r="D266" i="4"/>
  <c r="E266" i="4" s="1"/>
  <c r="D262" i="4"/>
  <c r="E262" i="4" s="1"/>
  <c r="D258" i="4"/>
  <c r="E258" i="4" s="1"/>
  <c r="D254" i="4"/>
  <c r="E254" i="4" s="1"/>
  <c r="D250" i="4"/>
  <c r="E250" i="4" s="1"/>
  <c r="D246" i="4"/>
  <c r="E246" i="4" s="1"/>
  <c r="D242" i="4"/>
  <c r="E242" i="4" s="1"/>
  <c r="E238" i="4"/>
  <c r="D238" i="4"/>
  <c r="D234" i="4"/>
  <c r="E234" i="4" s="1"/>
  <c r="D230" i="4"/>
  <c r="E230" i="4" s="1"/>
  <c r="D226" i="4"/>
  <c r="E226" i="4" s="1"/>
  <c r="D222" i="4"/>
  <c r="E222" i="4" s="1"/>
  <c r="D218" i="4"/>
  <c r="E218" i="4" s="1"/>
  <c r="D214" i="4"/>
  <c r="E214" i="4" s="1"/>
  <c r="D210" i="4"/>
  <c r="E210" i="4" s="1"/>
  <c r="E206" i="4"/>
  <c r="D206" i="4"/>
  <c r="D202" i="4"/>
  <c r="E202" i="4" s="1"/>
  <c r="D198" i="4"/>
  <c r="E198" i="4" s="1"/>
  <c r="D194" i="4"/>
  <c r="E194" i="4" s="1"/>
  <c r="D190" i="4"/>
  <c r="E190" i="4" s="1"/>
  <c r="D186" i="4"/>
  <c r="E186" i="4" s="1"/>
  <c r="D182" i="4"/>
  <c r="E182" i="4" s="1"/>
  <c r="D178" i="4"/>
  <c r="E178" i="4" s="1"/>
  <c r="E174" i="4"/>
  <c r="D174" i="4"/>
  <c r="D170" i="4"/>
  <c r="E170" i="4" s="1"/>
  <c r="D166" i="4"/>
  <c r="E166" i="4" s="1"/>
  <c r="D162" i="4"/>
  <c r="E162" i="4" s="1"/>
  <c r="D158" i="4"/>
  <c r="E158" i="4" s="1"/>
  <c r="D154" i="4"/>
  <c r="E154" i="4" s="1"/>
  <c r="D150" i="4"/>
  <c r="E150" i="4" s="1"/>
  <c r="D146" i="4"/>
  <c r="E146" i="4" s="1"/>
  <c r="E142" i="4"/>
  <c r="D142" i="4"/>
  <c r="D138" i="4"/>
  <c r="E138" i="4" s="1"/>
  <c r="D134" i="4"/>
  <c r="E134" i="4" s="1"/>
  <c r="D130" i="4"/>
  <c r="E130" i="4" s="1"/>
  <c r="D126" i="4"/>
  <c r="E126" i="4" s="1"/>
  <c r="D122" i="4"/>
  <c r="E122" i="4" s="1"/>
  <c r="D118" i="4"/>
  <c r="E118" i="4" s="1"/>
  <c r="D114" i="4"/>
  <c r="E114" i="4" s="1"/>
  <c r="E110" i="4"/>
  <c r="V38" i="4" s="1"/>
  <c r="D110" i="4"/>
  <c r="D106" i="4"/>
  <c r="E106" i="4" s="1"/>
  <c r="D102" i="4"/>
  <c r="E102" i="4" s="1"/>
  <c r="D98" i="4"/>
  <c r="E98" i="4" s="1"/>
  <c r="D94" i="4"/>
  <c r="E94" i="4" s="1"/>
  <c r="V36" i="4" s="1"/>
  <c r="D90" i="4"/>
  <c r="E90" i="4" s="1"/>
  <c r="D86" i="4"/>
  <c r="E86" i="4" s="1"/>
  <c r="D82" i="4"/>
  <c r="E82" i="4" s="1"/>
  <c r="E78" i="4"/>
  <c r="D78" i="4"/>
  <c r="D74" i="4"/>
  <c r="E74" i="4" s="1"/>
  <c r="D70" i="4"/>
  <c r="E70" i="4" s="1"/>
  <c r="D66" i="4"/>
  <c r="E66" i="4" s="1"/>
  <c r="D62" i="4"/>
  <c r="E62" i="4" s="1"/>
  <c r="D58" i="4"/>
  <c r="E58" i="4" s="1"/>
  <c r="D54" i="4"/>
  <c r="E54" i="4" s="1"/>
  <c r="D50" i="4"/>
  <c r="E50" i="4" s="1"/>
  <c r="E46" i="4"/>
  <c r="D46" i="4"/>
  <c r="D42" i="4"/>
  <c r="E42" i="4" s="1"/>
  <c r="D38" i="4"/>
  <c r="E38" i="4" s="1"/>
  <c r="D34" i="4"/>
  <c r="E34" i="4" s="1"/>
  <c r="D30" i="4"/>
  <c r="E30" i="4" s="1"/>
  <c r="D297" i="4"/>
  <c r="E297" i="4" s="1"/>
  <c r="D285" i="4"/>
  <c r="E285" i="4" s="1"/>
  <c r="D277" i="4"/>
  <c r="E277" i="4" s="1"/>
  <c r="E269" i="4"/>
  <c r="D269" i="4"/>
  <c r="D265" i="4"/>
  <c r="E265" i="4" s="1"/>
  <c r="D253" i="4"/>
  <c r="E253" i="4" s="1"/>
  <c r="D245" i="4"/>
  <c r="E245" i="4" s="1"/>
  <c r="D237" i="4"/>
  <c r="E237" i="4" s="1"/>
  <c r="D229" i="4"/>
  <c r="E229" i="4" s="1"/>
  <c r="D221" i="4"/>
  <c r="E221" i="4" s="1"/>
  <c r="D213" i="4"/>
  <c r="E213" i="4" s="1"/>
  <c r="E205" i="4"/>
  <c r="D205" i="4"/>
  <c r="D197" i="4"/>
  <c r="E197" i="4" s="1"/>
  <c r="D189" i="4"/>
  <c r="E189" i="4" s="1"/>
  <c r="D181" i="4"/>
  <c r="E181" i="4" s="1"/>
  <c r="D173" i="4"/>
  <c r="E173" i="4" s="1"/>
  <c r="D165" i="4"/>
  <c r="E165" i="4" s="1"/>
  <c r="D157" i="4"/>
  <c r="E157" i="4" s="1"/>
  <c r="D149" i="4"/>
  <c r="E149" i="4" s="1"/>
  <c r="E141" i="4"/>
  <c r="D141" i="4"/>
  <c r="D133" i="4"/>
  <c r="E133" i="4" s="1"/>
  <c r="D129" i="4"/>
  <c r="E129" i="4" s="1"/>
  <c r="D117" i="4"/>
  <c r="E117" i="4" s="1"/>
  <c r="D109" i="4"/>
  <c r="E109" i="4" s="1"/>
  <c r="D101" i="4"/>
  <c r="E101" i="4" s="1"/>
  <c r="D93" i="4"/>
  <c r="E93" i="4" s="1"/>
  <c r="V37" i="4" s="1"/>
  <c r="D85" i="4"/>
  <c r="E85" i="4" s="1"/>
  <c r="E77" i="4"/>
  <c r="D77" i="4"/>
  <c r="D69" i="4"/>
  <c r="E69" i="4" s="1"/>
  <c r="D61" i="4"/>
  <c r="E61" i="4" s="1"/>
  <c r="D53" i="4"/>
  <c r="E53" i="4" s="1"/>
  <c r="D45" i="4"/>
  <c r="E45" i="4" s="1"/>
  <c r="D37" i="4"/>
  <c r="E37" i="4" s="1"/>
  <c r="D300" i="4"/>
  <c r="E300" i="4" s="1"/>
  <c r="D292" i="4"/>
  <c r="E292" i="4" s="1"/>
  <c r="E284" i="4"/>
  <c r="D284" i="4"/>
  <c r="D276" i="4"/>
  <c r="E276" i="4" s="1"/>
  <c r="D268" i="4"/>
  <c r="E268" i="4" s="1"/>
  <c r="D260" i="4"/>
  <c r="E260" i="4" s="1"/>
  <c r="D252" i="4"/>
  <c r="E252" i="4" s="1"/>
  <c r="D244" i="4"/>
  <c r="E244" i="4" s="1"/>
  <c r="D236" i="4"/>
  <c r="E236" i="4" s="1"/>
  <c r="D228" i="4"/>
  <c r="E228" i="4" s="1"/>
  <c r="E220" i="4"/>
  <c r="D220" i="4"/>
  <c r="D212" i="4"/>
  <c r="E212" i="4" s="1"/>
  <c r="D204" i="4"/>
  <c r="E204" i="4" s="1"/>
  <c r="D196" i="4"/>
  <c r="E196" i="4" s="1"/>
  <c r="D188" i="4"/>
  <c r="E188" i="4" s="1"/>
  <c r="D180" i="4"/>
  <c r="E180" i="4" s="1"/>
  <c r="D172" i="4"/>
  <c r="E172" i="4" s="1"/>
  <c r="D164" i="4"/>
  <c r="E164" i="4" s="1"/>
  <c r="E156" i="4"/>
  <c r="D156" i="4"/>
  <c r="D148" i="4"/>
  <c r="E148" i="4" s="1"/>
  <c r="D140" i="4"/>
  <c r="E140" i="4" s="1"/>
  <c r="D128" i="4"/>
  <c r="E128" i="4" s="1"/>
  <c r="D116" i="4"/>
  <c r="E116" i="4" s="1"/>
  <c r="D104" i="4"/>
  <c r="E104" i="4" s="1"/>
  <c r="D96" i="4"/>
  <c r="E96" i="4" s="1"/>
  <c r="V42" i="4" s="1"/>
  <c r="D88" i="4"/>
  <c r="E88" i="4" s="1"/>
  <c r="E80" i="4"/>
  <c r="D80" i="4"/>
  <c r="D72" i="4"/>
  <c r="E72" i="4" s="1"/>
  <c r="D64" i="4"/>
  <c r="E64" i="4" s="1"/>
  <c r="D56" i="4"/>
  <c r="E56" i="4" s="1"/>
  <c r="D48" i="4"/>
  <c r="E48" i="4" s="1"/>
  <c r="D36" i="4"/>
  <c r="E36" i="4" s="1"/>
  <c r="D303" i="4"/>
  <c r="E303" i="4" s="1"/>
  <c r="D299" i="4"/>
  <c r="E299" i="4" s="1"/>
  <c r="E295" i="4"/>
  <c r="D295" i="4"/>
  <c r="D291" i="4"/>
  <c r="E291" i="4" s="1"/>
  <c r="D287" i="4"/>
  <c r="E287" i="4" s="1"/>
  <c r="D283" i="4"/>
  <c r="E283" i="4" s="1"/>
  <c r="D279" i="4"/>
  <c r="E279" i="4" s="1"/>
  <c r="D275" i="4"/>
  <c r="E275" i="4" s="1"/>
  <c r="D271" i="4"/>
  <c r="E271" i="4" s="1"/>
  <c r="D267" i="4"/>
  <c r="E267" i="4" s="1"/>
  <c r="E263" i="4"/>
  <c r="D263" i="4"/>
  <c r="D259" i="4"/>
  <c r="E259" i="4" s="1"/>
  <c r="D255" i="4"/>
  <c r="E255" i="4" s="1"/>
  <c r="D251" i="4"/>
  <c r="E251" i="4" s="1"/>
  <c r="D247" i="4"/>
  <c r="E247" i="4" s="1"/>
  <c r="D243" i="4"/>
  <c r="E243" i="4" s="1"/>
  <c r="D239" i="4"/>
  <c r="E239" i="4" s="1"/>
  <c r="D235" i="4"/>
  <c r="E235" i="4" s="1"/>
  <c r="E231" i="4"/>
  <c r="D231" i="4"/>
  <c r="D227" i="4"/>
  <c r="E227" i="4" s="1"/>
  <c r="D223" i="4"/>
  <c r="E223" i="4" s="1"/>
  <c r="D219" i="4"/>
  <c r="E219" i="4" s="1"/>
  <c r="D215" i="4"/>
  <c r="E215" i="4" s="1"/>
  <c r="D211" i="4"/>
  <c r="E211" i="4" s="1"/>
  <c r="D207" i="4"/>
  <c r="E207" i="4" s="1"/>
  <c r="D203" i="4"/>
  <c r="E203" i="4" s="1"/>
  <c r="E199" i="4"/>
  <c r="D199" i="4"/>
  <c r="D195" i="4"/>
  <c r="E195" i="4" s="1"/>
  <c r="D191" i="4"/>
  <c r="E191" i="4" s="1"/>
  <c r="D187" i="4"/>
  <c r="E187" i="4" s="1"/>
  <c r="D183" i="4"/>
  <c r="E183" i="4" s="1"/>
  <c r="D179" i="4"/>
  <c r="E179" i="4" s="1"/>
  <c r="D175" i="4"/>
  <c r="E175" i="4" s="1"/>
  <c r="D171" i="4"/>
  <c r="E171" i="4" s="1"/>
  <c r="E167" i="4"/>
  <c r="D167" i="4"/>
  <c r="D163" i="4"/>
  <c r="E163" i="4" s="1"/>
  <c r="D159" i="4"/>
  <c r="E159" i="4" s="1"/>
  <c r="D155" i="4"/>
  <c r="E155" i="4" s="1"/>
  <c r="D151" i="4"/>
  <c r="E151" i="4" s="1"/>
  <c r="D147" i="4"/>
  <c r="E147" i="4" s="1"/>
  <c r="D143" i="4"/>
  <c r="E143" i="4" s="1"/>
  <c r="D139" i="4"/>
  <c r="E139" i="4" s="1"/>
  <c r="E135" i="4"/>
  <c r="D135" i="4"/>
  <c r="D131" i="4"/>
  <c r="E131" i="4" s="1"/>
  <c r="D127" i="4"/>
  <c r="E127" i="4" s="1"/>
  <c r="D123" i="4"/>
  <c r="E123" i="4" s="1"/>
  <c r="D119" i="4"/>
  <c r="E119" i="4" s="1"/>
  <c r="D115" i="4"/>
  <c r="E115" i="4" s="1"/>
  <c r="V41" i="4" s="1"/>
  <c r="D111" i="4"/>
  <c r="E111" i="4" s="1"/>
  <c r="V32" i="4" s="1"/>
  <c r="D107" i="4"/>
  <c r="E107" i="4" s="1"/>
  <c r="E103" i="4"/>
  <c r="D103" i="4"/>
  <c r="D99" i="4"/>
  <c r="E99" i="4" s="1"/>
  <c r="D95" i="4"/>
  <c r="E95" i="4" s="1"/>
  <c r="D91" i="4"/>
  <c r="E91" i="4" s="1"/>
  <c r="D87" i="4"/>
  <c r="E87" i="4" s="1"/>
  <c r="D83" i="4"/>
  <c r="E83" i="4" s="1"/>
  <c r="D79" i="4"/>
  <c r="E79" i="4" s="1"/>
  <c r="D75" i="4"/>
  <c r="E75" i="4" s="1"/>
  <c r="E71" i="4"/>
  <c r="D71" i="4"/>
  <c r="D67" i="4"/>
  <c r="E67" i="4" s="1"/>
  <c r="D63" i="4"/>
  <c r="E63" i="4" s="1"/>
  <c r="D59" i="4"/>
  <c r="E59" i="4" s="1"/>
  <c r="D55" i="4"/>
  <c r="E55" i="4" s="1"/>
  <c r="D51" i="4"/>
  <c r="E51" i="4" s="1"/>
  <c r="D47" i="4"/>
  <c r="E47" i="4" s="1"/>
  <c r="D43" i="4"/>
  <c r="E43" i="4" s="1"/>
  <c r="E39" i="4"/>
  <c r="D39" i="4"/>
  <c r="D35" i="4"/>
  <c r="E35" i="4" s="1"/>
  <c r="D31" i="4"/>
  <c r="E31" i="4" s="1"/>
  <c r="V35" i="4"/>
  <c r="V40" i="4"/>
  <c r="V33" i="4"/>
  <c r="V44" i="4"/>
  <c r="M10" i="2"/>
  <c r="V34" i="4" l="1"/>
  <c r="V29" i="4"/>
  <c r="V39" i="4"/>
  <c r="V28" i="4"/>
  <c r="V31" i="4"/>
  <c r="V30" i="4"/>
  <c r="C15" i="3"/>
  <c r="E20" i="3"/>
  <c r="F20" i="3"/>
  <c r="D20" i="3"/>
  <c r="F18" i="3"/>
  <c r="E18" i="3"/>
  <c r="D18" i="3"/>
  <c r="F19" i="3"/>
  <c r="E19" i="3"/>
  <c r="D19" i="3"/>
  <c r="F17" i="3"/>
  <c r="D17" i="3"/>
  <c r="E17" i="3"/>
  <c r="C4" i="3"/>
  <c r="C24" i="18"/>
  <c r="D24" i="18" s="1"/>
  <c r="D23" i="18"/>
  <c r="M9" i="18"/>
  <c r="M14" i="18" s="1"/>
  <c r="D15" i="3" l="1"/>
  <c r="F15" i="3"/>
  <c r="E15" i="3"/>
  <c r="C25" i="18"/>
  <c r="C26" i="18" l="1"/>
  <c r="D25" i="18"/>
  <c r="D26" i="18" l="1"/>
  <c r="C27" i="18"/>
  <c r="D27" i="18" l="1"/>
  <c r="C28" i="18"/>
  <c r="C29" i="18" l="1"/>
  <c r="D28" i="18"/>
  <c r="D29" i="18" l="1"/>
  <c r="C30" i="18"/>
  <c r="D30" i="18" l="1"/>
  <c r="C31" i="18"/>
  <c r="D31" i="18" l="1"/>
  <c r="C32" i="18"/>
  <c r="C33" i="18" l="1"/>
  <c r="D32" i="18"/>
  <c r="D33" i="18" l="1"/>
  <c r="C34" i="18"/>
  <c r="D34" i="18" l="1"/>
  <c r="C35" i="18"/>
  <c r="D35" i="18" l="1"/>
  <c r="C36" i="18"/>
  <c r="C37" i="18" l="1"/>
  <c r="D36" i="18"/>
  <c r="D37" i="18" l="1"/>
  <c r="C38" i="18"/>
  <c r="C39" i="18" l="1"/>
  <c r="D38" i="18"/>
  <c r="C40" i="18" l="1"/>
  <c r="D39" i="18"/>
  <c r="D40" i="18" l="1"/>
  <c r="C41" i="18"/>
  <c r="C42" i="18" l="1"/>
  <c r="D41" i="18"/>
  <c r="C43" i="18" l="1"/>
  <c r="D42" i="18"/>
  <c r="C44" i="18" l="1"/>
  <c r="D43" i="18"/>
  <c r="C45" i="18" l="1"/>
  <c r="D44" i="18"/>
  <c r="D45" i="18" l="1"/>
  <c r="C46" i="18"/>
  <c r="D46" i="18" l="1"/>
  <c r="C47" i="18"/>
  <c r="D47" i="18" l="1"/>
  <c r="C48" i="18"/>
  <c r="C49" i="18" l="1"/>
  <c r="D48" i="18"/>
  <c r="D49" i="18" l="1"/>
  <c r="C50" i="18"/>
  <c r="D50" i="18" l="1"/>
  <c r="C51" i="18"/>
  <c r="D51" i="18" l="1"/>
  <c r="C52" i="18"/>
  <c r="C53" i="18" l="1"/>
  <c r="D52" i="18"/>
  <c r="D53" i="18" l="1"/>
  <c r="C54" i="18"/>
  <c r="D54" i="18" l="1"/>
  <c r="C55" i="18"/>
  <c r="D55" i="18" l="1"/>
  <c r="C56" i="18"/>
  <c r="C57" i="18" l="1"/>
  <c r="D56" i="18"/>
  <c r="D57" i="18" l="1"/>
  <c r="C58" i="18"/>
  <c r="D58" i="18" l="1"/>
  <c r="C59" i="18"/>
  <c r="D59" i="18" l="1"/>
  <c r="C60" i="18"/>
  <c r="C61" i="18" l="1"/>
  <c r="D60" i="18"/>
  <c r="D61" i="18" l="1"/>
  <c r="C62" i="18"/>
  <c r="D62" i="18" l="1"/>
  <c r="C63" i="18"/>
  <c r="D63" i="18" l="1"/>
  <c r="C64" i="18"/>
  <c r="C65" i="18" l="1"/>
  <c r="D64" i="18"/>
  <c r="D65" i="18" l="1"/>
  <c r="C66" i="18"/>
  <c r="D66" i="18" l="1"/>
  <c r="C67" i="18"/>
  <c r="D67" i="18" l="1"/>
  <c r="C68" i="18"/>
  <c r="C69" i="18" l="1"/>
  <c r="D68" i="18"/>
  <c r="D69" i="18" l="1"/>
  <c r="C70" i="18"/>
  <c r="D70" i="18" l="1"/>
  <c r="C71" i="18"/>
  <c r="D71" i="18" l="1"/>
  <c r="C72" i="18"/>
  <c r="C73" i="18" l="1"/>
  <c r="D72" i="18"/>
  <c r="D73" i="18" l="1"/>
  <c r="C74" i="18"/>
  <c r="D74" i="18" l="1"/>
  <c r="C75" i="18"/>
  <c r="D75" i="18" l="1"/>
  <c r="C76" i="18"/>
  <c r="C77" i="18" l="1"/>
  <c r="D76" i="18"/>
  <c r="D77" i="18" l="1"/>
  <c r="C78" i="18"/>
  <c r="D78" i="18" l="1"/>
  <c r="C79" i="18"/>
  <c r="D79" i="18" l="1"/>
  <c r="C80" i="18"/>
  <c r="C81" i="18" l="1"/>
  <c r="D80" i="18"/>
  <c r="D81" i="18" l="1"/>
  <c r="C82" i="18"/>
  <c r="D82" i="18" l="1"/>
  <c r="C83" i="18"/>
  <c r="D83" i="18" l="1"/>
  <c r="C84" i="18"/>
  <c r="C85" i="18" l="1"/>
  <c r="D84" i="18"/>
  <c r="D85" i="18" l="1"/>
  <c r="C86" i="18"/>
  <c r="D86" i="18" l="1"/>
  <c r="C87" i="18"/>
  <c r="D87" i="18" l="1"/>
  <c r="C88" i="18"/>
  <c r="C89" i="18" l="1"/>
  <c r="D88" i="18"/>
  <c r="D89" i="18" l="1"/>
  <c r="C90" i="18"/>
  <c r="D90" i="18" l="1"/>
  <c r="C91" i="18"/>
  <c r="D91" i="18" l="1"/>
  <c r="C92" i="18"/>
  <c r="C93" i="18" l="1"/>
  <c r="D92" i="18"/>
  <c r="D93" i="18" l="1"/>
  <c r="C94" i="18"/>
  <c r="D94" i="18" l="1"/>
  <c r="C95" i="18"/>
  <c r="D95" i="18" l="1"/>
  <c r="C96" i="18"/>
  <c r="C97" i="18" l="1"/>
  <c r="D96" i="18"/>
  <c r="D97" i="18" l="1"/>
  <c r="C98" i="18"/>
  <c r="D98" i="18" l="1"/>
  <c r="C99" i="18"/>
  <c r="D99" i="18" l="1"/>
  <c r="C100" i="18"/>
  <c r="C101" i="18" l="1"/>
  <c r="D100" i="18"/>
  <c r="D101" i="18" l="1"/>
  <c r="C102" i="18"/>
  <c r="D102" i="18" l="1"/>
  <c r="C103" i="18"/>
  <c r="D103" i="18" l="1"/>
  <c r="C104" i="18"/>
  <c r="C105" i="18" l="1"/>
  <c r="D104" i="18"/>
  <c r="D105" i="18" l="1"/>
  <c r="C106" i="18"/>
  <c r="D106" i="18" l="1"/>
  <c r="C107" i="18"/>
  <c r="C108" i="18" l="1"/>
  <c r="D107" i="18"/>
  <c r="C109" i="18" l="1"/>
  <c r="D108" i="18"/>
  <c r="D109" i="18" l="1"/>
  <c r="C110" i="18"/>
  <c r="C111" i="18" l="1"/>
  <c r="D110" i="18"/>
  <c r="D111" i="18" l="1"/>
  <c r="C112" i="18"/>
  <c r="D112" i="18" l="1"/>
  <c r="C113" i="18"/>
  <c r="D113" i="18" l="1"/>
  <c r="C114" i="18"/>
  <c r="C115" i="18" l="1"/>
  <c r="D114" i="18"/>
  <c r="D115" i="18" l="1"/>
  <c r="C116" i="18"/>
  <c r="D116" i="18" l="1"/>
  <c r="C117" i="18"/>
  <c r="D117" i="18" l="1"/>
  <c r="C118" i="18"/>
  <c r="C119" i="18" l="1"/>
  <c r="D118" i="18"/>
  <c r="D119" i="18" l="1"/>
  <c r="C120" i="18"/>
  <c r="D120" i="18" l="1"/>
  <c r="C121" i="18"/>
  <c r="D121" i="18" l="1"/>
  <c r="C122" i="18"/>
  <c r="C123" i="18" l="1"/>
  <c r="D122" i="18"/>
  <c r="D123" i="18" l="1"/>
  <c r="C124" i="18"/>
  <c r="D124" i="18" l="1"/>
  <c r="C125" i="18"/>
  <c r="D125" i="18" l="1"/>
  <c r="C126" i="18"/>
  <c r="C127" i="18" l="1"/>
  <c r="D126" i="18"/>
  <c r="D127" i="18" l="1"/>
  <c r="C128" i="18"/>
  <c r="D128" i="18" l="1"/>
  <c r="C129" i="18"/>
  <c r="D129" i="18" l="1"/>
  <c r="C130" i="18"/>
  <c r="C131" i="18" l="1"/>
  <c r="D130" i="18"/>
  <c r="D131" i="18" l="1"/>
  <c r="C132" i="18"/>
  <c r="D132" i="18" l="1"/>
  <c r="C133" i="18"/>
  <c r="D133" i="18" l="1"/>
  <c r="C134" i="18"/>
  <c r="C135" i="18" l="1"/>
  <c r="D134" i="18"/>
  <c r="D135" i="18" l="1"/>
  <c r="C136" i="18"/>
  <c r="D136" i="18" l="1"/>
  <c r="C137" i="18"/>
  <c r="D137" i="18" l="1"/>
  <c r="C138" i="18"/>
  <c r="C139" i="18" l="1"/>
  <c r="D138" i="18"/>
  <c r="D139" i="18" l="1"/>
  <c r="C140" i="18"/>
  <c r="D140" i="18" l="1"/>
  <c r="C141" i="18"/>
  <c r="D141" i="18" l="1"/>
  <c r="C142" i="18"/>
  <c r="C143" i="18" l="1"/>
  <c r="D142" i="18"/>
  <c r="D143" i="18" l="1"/>
  <c r="C144" i="18"/>
  <c r="D144" i="18" l="1"/>
  <c r="C145" i="18"/>
  <c r="D145" i="18" l="1"/>
  <c r="C146" i="18"/>
  <c r="C147" i="18" l="1"/>
  <c r="D146" i="18"/>
  <c r="D147" i="18" l="1"/>
  <c r="C148" i="18"/>
  <c r="D148" i="18" l="1"/>
  <c r="C149" i="18"/>
  <c r="C150" i="18" l="1"/>
  <c r="D149" i="18"/>
  <c r="C151" i="18" l="1"/>
  <c r="D150" i="18"/>
  <c r="D151" i="18" l="1"/>
  <c r="C152" i="18"/>
  <c r="D152" i="18" l="1"/>
  <c r="C153" i="18"/>
  <c r="D153" i="18" l="1"/>
  <c r="C154" i="18"/>
  <c r="C155" i="18" l="1"/>
  <c r="D154" i="18"/>
  <c r="D155" i="18" l="1"/>
  <c r="C156" i="18"/>
  <c r="D156" i="18" l="1"/>
  <c r="C157" i="18"/>
  <c r="D157" i="18" l="1"/>
  <c r="C158" i="18"/>
  <c r="C159" i="18" l="1"/>
  <c r="D158" i="18"/>
  <c r="D159" i="18" l="1"/>
  <c r="C160" i="18"/>
  <c r="D160" i="18" l="1"/>
  <c r="C161" i="18"/>
  <c r="D161" i="18" l="1"/>
  <c r="C162" i="18"/>
  <c r="C163" i="18" l="1"/>
  <c r="D162" i="18"/>
  <c r="D163" i="18" l="1"/>
  <c r="C164" i="18"/>
  <c r="D164" i="18" l="1"/>
  <c r="C165" i="18"/>
  <c r="D165" i="18" l="1"/>
  <c r="C166" i="18"/>
  <c r="C167" i="18" l="1"/>
  <c r="D166" i="18"/>
  <c r="D167" i="18" l="1"/>
  <c r="C168" i="18"/>
  <c r="C169" i="18" l="1"/>
  <c r="D168" i="18"/>
  <c r="D169" i="18" l="1"/>
  <c r="C170" i="18"/>
  <c r="D170" i="18" l="1"/>
  <c r="C171" i="18"/>
  <c r="D171" i="18" l="1"/>
  <c r="C172" i="18"/>
  <c r="C173" i="18" l="1"/>
  <c r="D172" i="18"/>
  <c r="D173" i="18" l="1"/>
  <c r="C174" i="18"/>
  <c r="D174" i="18" l="1"/>
  <c r="C175" i="18"/>
  <c r="D175" i="18" l="1"/>
  <c r="C176" i="18"/>
  <c r="C177" i="18" l="1"/>
  <c r="D176" i="18"/>
  <c r="D177" i="18" l="1"/>
  <c r="C178" i="18"/>
  <c r="D178" i="18" l="1"/>
  <c r="C179" i="18"/>
  <c r="D179" i="18" l="1"/>
  <c r="C180" i="18"/>
  <c r="C181" i="18" l="1"/>
  <c r="D180" i="18"/>
  <c r="D181" i="18" l="1"/>
  <c r="C182" i="18"/>
  <c r="D182" i="18" l="1"/>
  <c r="C183" i="18"/>
  <c r="D183" i="18" l="1"/>
  <c r="C184" i="18"/>
  <c r="C185" i="18" l="1"/>
  <c r="D184" i="18"/>
  <c r="D185" i="18" l="1"/>
  <c r="C186" i="18"/>
  <c r="D186" i="18" l="1"/>
  <c r="C187" i="18"/>
  <c r="D187" i="18" l="1"/>
  <c r="C188" i="18"/>
  <c r="C189" i="18" l="1"/>
  <c r="D188" i="18"/>
  <c r="D189" i="18" l="1"/>
  <c r="C190" i="18"/>
  <c r="D190" i="18" l="1"/>
  <c r="C191" i="18"/>
  <c r="D191" i="18" l="1"/>
  <c r="C192" i="18"/>
  <c r="C193" i="18" l="1"/>
  <c r="D192" i="18"/>
  <c r="D193" i="18" l="1"/>
  <c r="C194" i="18"/>
  <c r="D194" i="18" l="1"/>
  <c r="C195" i="18"/>
  <c r="D195" i="18" l="1"/>
  <c r="C196" i="18"/>
  <c r="C197" i="18" l="1"/>
  <c r="D196" i="18"/>
  <c r="D197" i="18" l="1"/>
  <c r="C198" i="18"/>
  <c r="D198" i="18" l="1"/>
  <c r="C199" i="18"/>
  <c r="D199" i="18" l="1"/>
  <c r="C200" i="18"/>
  <c r="C201" i="18" l="1"/>
  <c r="D200" i="18"/>
  <c r="D201" i="18" l="1"/>
  <c r="C202" i="18"/>
  <c r="D202" i="18" l="1"/>
  <c r="C203" i="18"/>
  <c r="D203" i="18" l="1"/>
  <c r="C204" i="18"/>
  <c r="C205" i="18" l="1"/>
  <c r="D204" i="18"/>
  <c r="D205" i="18" l="1"/>
  <c r="C206" i="18"/>
  <c r="D206" i="18" l="1"/>
  <c r="C207" i="18"/>
  <c r="D207" i="18" l="1"/>
  <c r="C208" i="18"/>
  <c r="C209" i="18" l="1"/>
  <c r="D208" i="18"/>
  <c r="D209" i="18" l="1"/>
  <c r="C210" i="18"/>
  <c r="D210" i="18" l="1"/>
  <c r="C211" i="18"/>
  <c r="D211" i="18" l="1"/>
  <c r="C212" i="18"/>
  <c r="C213" i="18" l="1"/>
  <c r="D212" i="18"/>
  <c r="D213" i="18" l="1"/>
  <c r="C214" i="18"/>
  <c r="D214" i="18" l="1"/>
  <c r="C215" i="18"/>
  <c r="D215" i="18" l="1"/>
  <c r="C216" i="18"/>
  <c r="C217" i="18" l="1"/>
  <c r="D216" i="18"/>
  <c r="D217" i="18" l="1"/>
  <c r="C218" i="18"/>
  <c r="D218" i="18" l="1"/>
  <c r="C219" i="18"/>
  <c r="D219" i="18" l="1"/>
  <c r="C220" i="18"/>
  <c r="C221" i="18" l="1"/>
  <c r="D220" i="18"/>
  <c r="D221" i="18" l="1"/>
  <c r="C222" i="18"/>
  <c r="D222" i="18" l="1"/>
  <c r="C223" i="18"/>
  <c r="D223" i="18" l="1"/>
  <c r="C224" i="18"/>
  <c r="C225" i="18" l="1"/>
  <c r="D224" i="18"/>
  <c r="D225" i="18" l="1"/>
  <c r="C226" i="18"/>
  <c r="D226" i="18" l="1"/>
  <c r="C227" i="18"/>
  <c r="D227" i="18" l="1"/>
  <c r="C228" i="18"/>
  <c r="C229" i="18" l="1"/>
  <c r="D228" i="18"/>
  <c r="D229" i="18" l="1"/>
  <c r="C230" i="18"/>
  <c r="D230" i="18" l="1"/>
  <c r="C231" i="18"/>
  <c r="D231" i="18" l="1"/>
  <c r="C232" i="18"/>
  <c r="C233" i="18" l="1"/>
  <c r="D232" i="18"/>
  <c r="D233" i="18" l="1"/>
  <c r="C234" i="18"/>
  <c r="D234" i="18" l="1"/>
  <c r="C235" i="18"/>
  <c r="D235" i="18" l="1"/>
  <c r="C236" i="18"/>
  <c r="C237" i="18" l="1"/>
  <c r="D236" i="18"/>
  <c r="D237" i="18" l="1"/>
  <c r="C238" i="18"/>
  <c r="D238" i="18" l="1"/>
  <c r="C239" i="18"/>
  <c r="D239" i="18" l="1"/>
  <c r="C240" i="18"/>
  <c r="C241" i="18" l="1"/>
  <c r="D240" i="18"/>
  <c r="D241" i="18" l="1"/>
  <c r="C242" i="18"/>
  <c r="D242" i="18" l="1"/>
  <c r="C243" i="18"/>
  <c r="D243" i="18" l="1"/>
  <c r="C244" i="18"/>
  <c r="C245" i="18" l="1"/>
  <c r="D244" i="18"/>
  <c r="D245" i="18" l="1"/>
  <c r="C246" i="18"/>
  <c r="D246" i="18" l="1"/>
  <c r="C247" i="18"/>
  <c r="D247" i="18" l="1"/>
  <c r="C248" i="18"/>
  <c r="C249" i="18" l="1"/>
  <c r="D248" i="18"/>
  <c r="D249" i="18" l="1"/>
  <c r="C250" i="18"/>
  <c r="C251" i="18" l="1"/>
  <c r="D250" i="18"/>
  <c r="D251" i="18" l="1"/>
  <c r="C252" i="18"/>
  <c r="D252" i="18" l="1"/>
  <c r="C253" i="18"/>
  <c r="D253" i="18" l="1"/>
  <c r="C254" i="18"/>
  <c r="C255" i="18" l="1"/>
  <c r="D254" i="18"/>
  <c r="D255" i="18" l="1"/>
  <c r="C256" i="18"/>
  <c r="C257" i="18" l="1"/>
  <c r="D256" i="18"/>
  <c r="D257" i="18" l="1"/>
  <c r="C258" i="18"/>
  <c r="C259" i="18" l="1"/>
  <c r="D258" i="18"/>
  <c r="D259" i="18" l="1"/>
  <c r="C260" i="18"/>
  <c r="C261" i="18" l="1"/>
  <c r="D260" i="18"/>
  <c r="D261" i="18" l="1"/>
  <c r="C262" i="18"/>
  <c r="C263" i="18" l="1"/>
  <c r="D262" i="18"/>
  <c r="D263" i="18" l="1"/>
  <c r="C264" i="18"/>
  <c r="C265" i="18" l="1"/>
  <c r="D264" i="18"/>
  <c r="D265" i="18" l="1"/>
  <c r="C266" i="18"/>
  <c r="C267" i="18" l="1"/>
  <c r="D266" i="18"/>
  <c r="D267" i="18" l="1"/>
  <c r="C268" i="18"/>
  <c r="C269" i="18" l="1"/>
  <c r="D268" i="18"/>
  <c r="D269" i="18" l="1"/>
  <c r="C270" i="18"/>
  <c r="D270" i="18" l="1"/>
  <c r="C271" i="18"/>
  <c r="D271" i="18" l="1"/>
  <c r="C272" i="18"/>
  <c r="D22" i="2"/>
  <c r="C273" i="18" l="1"/>
  <c r="D273" i="18" s="1"/>
  <c r="D272" i="18"/>
  <c r="L21" i="2"/>
  <c r="M21" i="2" s="1"/>
  <c r="N21" i="2" s="1"/>
  <c r="O21" i="2" l="1"/>
  <c r="N1" i="3"/>
  <c r="M1" i="3"/>
  <c r="E21" i="2"/>
  <c r="D21" i="2"/>
  <c r="C21" i="2"/>
  <c r="B21" i="2"/>
  <c r="P21" i="2" l="1"/>
  <c r="O1" i="3"/>
  <c r="D1" i="16"/>
  <c r="P1" i="16"/>
  <c r="W2" i="16"/>
  <c r="N1" i="16"/>
  <c r="M1" i="16"/>
  <c r="L1" i="16"/>
  <c r="K1" i="16"/>
  <c r="E22" i="2"/>
  <c r="Q21" i="2" l="1"/>
  <c r="P1" i="3"/>
  <c r="X2" i="16"/>
  <c r="Y2" i="16" s="1"/>
  <c r="Z2" i="16" s="1"/>
  <c r="AA2" i="16" s="1"/>
  <c r="AB2" i="16" s="1"/>
  <c r="AC2" i="16" s="1"/>
  <c r="AD2" i="16" s="1"/>
  <c r="AE2" i="16" s="1"/>
  <c r="AF2" i="16" s="1"/>
  <c r="F42" i="9"/>
  <c r="E41" i="9" s="1"/>
  <c r="E42" i="9"/>
  <c r="D42" i="9"/>
  <c r="E39" i="9" s="1"/>
  <c r="C42" i="9"/>
  <c r="E40" i="9" s="1"/>
  <c r="F41" i="9"/>
  <c r="D41" i="9"/>
  <c r="F39" i="9" s="1"/>
  <c r="C41" i="9"/>
  <c r="F40" i="9" s="1"/>
  <c r="C40" i="9"/>
  <c r="D39" i="9"/>
  <c r="C39" i="9"/>
  <c r="D40" i="9" s="1"/>
  <c r="C2" i="3"/>
  <c r="C3" i="3"/>
  <c r="D30" i="11"/>
  <c r="F33" i="11"/>
  <c r="F32" i="11"/>
  <c r="E33" i="11"/>
  <c r="D33" i="11"/>
  <c r="D32" i="11"/>
  <c r="C33" i="11"/>
  <c r="C32" i="11"/>
  <c r="C31" i="11"/>
  <c r="C30" i="11"/>
  <c r="O98" i="11"/>
  <c r="R21" i="2" l="1"/>
  <c r="Q1" i="3"/>
  <c r="M98" i="11"/>
  <c r="O97" i="11"/>
  <c r="S21" i="2" l="1"/>
  <c r="R1" i="3"/>
  <c r="M97" i="11"/>
  <c r="O96" i="11"/>
  <c r="T21" i="2" l="1"/>
  <c r="S1" i="3"/>
  <c r="M96" i="11"/>
  <c r="O95" i="11"/>
  <c r="U21" i="2" l="1"/>
  <c r="T1" i="3"/>
  <c r="M95" i="11"/>
  <c r="L95" i="11"/>
  <c r="O94" i="11"/>
  <c r="V21" i="2" l="1"/>
  <c r="U1" i="3"/>
  <c r="M94" i="11"/>
  <c r="O93" i="11"/>
  <c r="W21" i="2" l="1"/>
  <c r="V1" i="3"/>
  <c r="M93" i="11"/>
  <c r="O92" i="11"/>
  <c r="X21" i="2" l="1"/>
  <c r="W1" i="3"/>
  <c r="M92" i="11"/>
  <c r="O91" i="11"/>
  <c r="Y21" i="2" l="1"/>
  <c r="X1" i="3"/>
  <c r="M91" i="11"/>
  <c r="L91" i="11"/>
  <c r="O90" i="11"/>
  <c r="Z21" i="2" l="1"/>
  <c r="Y1" i="3"/>
  <c r="M90" i="11"/>
  <c r="O89" i="11"/>
  <c r="AA21" i="2" l="1"/>
  <c r="Z1" i="3"/>
  <c r="M89" i="11"/>
  <c r="O88" i="11"/>
  <c r="AB21" i="2" l="1"/>
  <c r="AA1" i="3"/>
  <c r="M88" i="11"/>
  <c r="O87" i="11"/>
  <c r="AC21" i="2" l="1"/>
  <c r="AB1" i="3"/>
  <c r="M87" i="11"/>
  <c r="L87" i="11"/>
  <c r="O86" i="11"/>
  <c r="AD21" i="2" l="1"/>
  <c r="AC1" i="3"/>
  <c r="M86" i="11"/>
  <c r="O85" i="11"/>
  <c r="AE21" i="2" l="1"/>
  <c r="AD1" i="3"/>
  <c r="M85" i="11"/>
  <c r="O84" i="11"/>
  <c r="AF21" i="2" l="1"/>
  <c r="AF1" i="3" s="1"/>
  <c r="AE1" i="3"/>
  <c r="M84" i="11"/>
  <c r="O83" i="11"/>
  <c r="M83" i="11" l="1"/>
  <c r="L83" i="11"/>
  <c r="O82" i="11"/>
  <c r="M82" i="11" l="1"/>
  <c r="O81" i="11"/>
  <c r="M81" i="11" l="1"/>
  <c r="O80" i="11"/>
  <c r="M80" i="11" l="1"/>
  <c r="O79" i="11"/>
  <c r="M79" i="11" l="1"/>
  <c r="L79" i="11"/>
  <c r="O78" i="11"/>
  <c r="M78" i="11" l="1"/>
  <c r="O77" i="11"/>
  <c r="M77" i="11" l="1"/>
  <c r="O76" i="11"/>
  <c r="M76" i="11" l="1"/>
  <c r="O75" i="11"/>
  <c r="M75" i="11" l="1"/>
  <c r="L75" i="11"/>
  <c r="O74" i="11"/>
  <c r="M74" i="11" l="1"/>
  <c r="O73" i="11"/>
  <c r="M73" i="11" l="1"/>
  <c r="O72" i="11"/>
  <c r="M72" i="11" l="1"/>
  <c r="O71" i="11"/>
  <c r="M71" i="11" l="1"/>
  <c r="L71" i="11"/>
  <c r="O70" i="11"/>
  <c r="M70" i="11" l="1"/>
  <c r="O69" i="11"/>
  <c r="M69" i="11" l="1"/>
  <c r="O68" i="11"/>
  <c r="M68" i="11" l="1"/>
  <c r="O67" i="11"/>
  <c r="M67" i="11" l="1"/>
  <c r="L67" i="11"/>
  <c r="O66" i="11"/>
  <c r="M66" i="11" l="1"/>
  <c r="O65" i="11"/>
  <c r="M65" i="11" l="1"/>
  <c r="O64" i="11"/>
  <c r="M64" i="11" l="1"/>
  <c r="O63" i="11"/>
  <c r="M63" i="11" l="1"/>
  <c r="L63" i="11"/>
  <c r="O62" i="11"/>
  <c r="M62" i="11" l="1"/>
  <c r="O61" i="11"/>
  <c r="M61" i="11" l="1"/>
  <c r="O60" i="11"/>
  <c r="M60" i="11" l="1"/>
  <c r="O59" i="11"/>
  <c r="M59" i="11" l="1"/>
  <c r="L59" i="11"/>
  <c r="O58" i="11"/>
  <c r="M58" i="11" l="1"/>
  <c r="O57" i="11"/>
  <c r="M57" i="11" l="1"/>
  <c r="O56" i="11"/>
  <c r="M56" i="11" l="1"/>
  <c r="O55" i="11"/>
  <c r="M55" i="11" l="1"/>
  <c r="L55" i="11"/>
  <c r="O54" i="11"/>
  <c r="M54" i="11" l="1"/>
  <c r="O53" i="11"/>
  <c r="M53" i="11" l="1"/>
  <c r="O52" i="11"/>
  <c r="M52" i="11" l="1"/>
  <c r="O51" i="11"/>
  <c r="M51" i="11" l="1"/>
  <c r="L51" i="11"/>
  <c r="O50" i="11"/>
  <c r="M50" i="11" l="1"/>
  <c r="O49" i="11"/>
  <c r="M49" i="11" l="1"/>
  <c r="O48" i="11"/>
  <c r="M48" i="11" l="1"/>
  <c r="O47" i="11"/>
  <c r="M47" i="11" l="1"/>
  <c r="L47" i="11"/>
  <c r="O46" i="11"/>
  <c r="M46" i="11" l="1"/>
  <c r="O45" i="11"/>
  <c r="M45" i="11" l="1"/>
  <c r="O44" i="11"/>
  <c r="M44" i="11" l="1"/>
  <c r="O43" i="11"/>
  <c r="M43" i="11" l="1"/>
  <c r="L43" i="11"/>
  <c r="O42" i="11"/>
  <c r="M42" i="11" l="1"/>
  <c r="O41" i="11"/>
  <c r="M41" i="11" l="1"/>
  <c r="O40" i="11"/>
  <c r="M40" i="11" l="1"/>
  <c r="O39" i="11"/>
  <c r="M39" i="11" l="1"/>
  <c r="L39" i="11"/>
  <c r="O38" i="11"/>
  <c r="M38" i="11" l="1"/>
  <c r="O37" i="11"/>
  <c r="M37" i="11" l="1"/>
  <c r="O36" i="11"/>
  <c r="M36" i="11" l="1"/>
  <c r="O35" i="11"/>
  <c r="M35" i="11" l="1"/>
  <c r="L35" i="11"/>
  <c r="O34" i="11"/>
  <c r="M34" i="11" l="1"/>
  <c r="O33" i="11"/>
  <c r="M33" i="11" l="1"/>
  <c r="O32" i="11"/>
  <c r="M32" i="11" l="1"/>
  <c r="E32" i="11"/>
  <c r="O31" i="11"/>
  <c r="M31" i="11" l="1"/>
  <c r="L31" i="11"/>
  <c r="F31" i="11"/>
  <c r="E31" i="11"/>
  <c r="P30" i="11"/>
  <c r="BC30" i="11"/>
  <c r="BA30" i="11"/>
  <c r="AX30" i="11"/>
  <c r="CA30" i="11"/>
  <c r="AS30" i="11"/>
  <c r="BH30" i="11"/>
  <c r="W30" i="11"/>
  <c r="BJ30" i="11"/>
  <c r="BO30" i="11"/>
  <c r="Y30" i="11"/>
  <c r="AA30" i="11"/>
  <c r="BL30" i="11"/>
  <c r="BX30" i="11"/>
  <c r="AM30" i="11"/>
  <c r="BF30" i="11"/>
  <c r="BN30" i="11"/>
  <c r="AN30" i="11"/>
  <c r="AE30" i="11"/>
  <c r="BW30" i="11"/>
  <c r="BK30" i="11"/>
  <c r="AY30" i="11"/>
  <c r="BE30" i="11"/>
  <c r="CD30" i="11"/>
  <c r="BB30" i="11"/>
  <c r="AC30" i="11"/>
  <c r="BM30" i="11"/>
  <c r="AV30" i="11"/>
  <c r="BR30" i="11"/>
  <c r="AT30" i="11"/>
  <c r="AI30" i="11"/>
  <c r="AW30" i="11"/>
  <c r="AK30" i="11"/>
  <c r="CB30" i="11"/>
  <c r="Z30" i="11"/>
  <c r="S30" i="11"/>
  <c r="U30" i="11"/>
  <c r="AF30" i="11"/>
  <c r="BT30" i="11"/>
  <c r="AG30" i="11"/>
  <c r="BG30" i="11"/>
  <c r="X30" i="11"/>
  <c r="CE30" i="11"/>
  <c r="BU30" i="11"/>
  <c r="BZ30" i="11"/>
  <c r="BP30" i="11"/>
  <c r="AR30" i="11"/>
  <c r="AQ30" i="11"/>
  <c r="Q30" i="11"/>
  <c r="AO30" i="11"/>
  <c r="AU30" i="11"/>
  <c r="V30" i="11"/>
  <c r="AH30" i="11"/>
  <c r="T30" i="11"/>
  <c r="AJ30" i="11"/>
  <c r="R30" i="11"/>
  <c r="BI30" i="11"/>
  <c r="BV30" i="11"/>
  <c r="BY30" i="11"/>
  <c r="AD30" i="11"/>
  <c r="BD30" i="11"/>
  <c r="AL30" i="11"/>
  <c r="CC30" i="11"/>
  <c r="AP30" i="11"/>
  <c r="AZ30" i="11"/>
  <c r="BS30" i="11"/>
  <c r="AB30" i="11"/>
  <c r="BQ30" i="11"/>
  <c r="P98" i="11" l="1"/>
  <c r="P97" i="11"/>
  <c r="P96" i="11"/>
  <c r="P95" i="11"/>
  <c r="P94" i="11"/>
  <c r="P93" i="11"/>
  <c r="P92" i="11"/>
  <c r="P91" i="11"/>
  <c r="P90" i="11"/>
  <c r="P89" i="11"/>
  <c r="P88" i="11"/>
  <c r="P87" i="11"/>
  <c r="P86" i="11"/>
  <c r="P85" i="11"/>
  <c r="P84" i="11"/>
  <c r="P83" i="11"/>
  <c r="P82" i="11"/>
  <c r="P81" i="11"/>
  <c r="P80" i="11"/>
  <c r="P79" i="11"/>
  <c r="P78" i="11"/>
  <c r="P77" i="11"/>
  <c r="P76" i="11"/>
  <c r="P75" i="11"/>
  <c r="P74" i="11"/>
  <c r="P73" i="11"/>
  <c r="P72" i="11"/>
  <c r="P71" i="11"/>
  <c r="P70" i="11"/>
  <c r="P69" i="11"/>
  <c r="P68" i="11"/>
  <c r="P67" i="11"/>
  <c r="P66" i="11"/>
  <c r="P65" i="11"/>
  <c r="P64" i="11"/>
  <c r="P63" i="11"/>
  <c r="P62" i="11"/>
  <c r="P61" i="11"/>
  <c r="P60" i="11"/>
  <c r="P59" i="11"/>
  <c r="P58" i="11"/>
  <c r="P57" i="11"/>
  <c r="P56" i="11"/>
  <c r="P55" i="11"/>
  <c r="P54" i="11"/>
  <c r="P53" i="11"/>
  <c r="P52" i="11"/>
  <c r="P51" i="11"/>
  <c r="P50" i="11"/>
  <c r="P49" i="11"/>
  <c r="P48" i="11"/>
  <c r="P47" i="11"/>
  <c r="P46" i="11"/>
  <c r="P45" i="11"/>
  <c r="P44" i="11"/>
  <c r="P43" i="11"/>
  <c r="P42" i="11"/>
  <c r="P41" i="11"/>
  <c r="P40" i="11"/>
  <c r="P39" i="11"/>
  <c r="P38" i="11"/>
  <c r="P37" i="11"/>
  <c r="P36" i="11"/>
  <c r="P35" i="11"/>
  <c r="P34" i="11"/>
  <c r="P33" i="11"/>
  <c r="P32" i="11"/>
  <c r="P31" i="11"/>
  <c r="Q98" i="11"/>
  <c r="Q97" i="11"/>
  <c r="Q96" i="11"/>
  <c r="Q95" i="11"/>
  <c r="Q94" i="11"/>
  <c r="Q93" i="11"/>
  <c r="Q92" i="11"/>
  <c r="Q91" i="11"/>
  <c r="Q90" i="11"/>
  <c r="Q89" i="11"/>
  <c r="Q88" i="11"/>
  <c r="Q87" i="11"/>
  <c r="Q86" i="11"/>
  <c r="Q85" i="11"/>
  <c r="Q84" i="11"/>
  <c r="Q83" i="11"/>
  <c r="Q82" i="11"/>
  <c r="Q81" i="11"/>
  <c r="Q80" i="11"/>
  <c r="Q79" i="11"/>
  <c r="Q78" i="11"/>
  <c r="Q77" i="11"/>
  <c r="Q76" i="11"/>
  <c r="Q75" i="11"/>
  <c r="Q74" i="11"/>
  <c r="Q73" i="11"/>
  <c r="Q72" i="11"/>
  <c r="Q71" i="11"/>
  <c r="Q70" i="11"/>
  <c r="Q69" i="11"/>
  <c r="Q68" i="11"/>
  <c r="Q67" i="11"/>
  <c r="Q66" i="11"/>
  <c r="Q65" i="11"/>
  <c r="Q64" i="11"/>
  <c r="Q63" i="11"/>
  <c r="Q62" i="11"/>
  <c r="Q61" i="11"/>
  <c r="Q60" i="11"/>
  <c r="Q59" i="11"/>
  <c r="Q58" i="11"/>
  <c r="Q57" i="11"/>
  <c r="Q56" i="11"/>
  <c r="Q55" i="11"/>
  <c r="Q54" i="11"/>
  <c r="Q53" i="11"/>
  <c r="Q52" i="11"/>
  <c r="Q51" i="11"/>
  <c r="Q50" i="11"/>
  <c r="Q49" i="11"/>
  <c r="Q48" i="11"/>
  <c r="Q47" i="11"/>
  <c r="Q46" i="11"/>
  <c r="Q45" i="11"/>
  <c r="Q44" i="11"/>
  <c r="Q43" i="11"/>
  <c r="Q42" i="11"/>
  <c r="Q41" i="11"/>
  <c r="Q40" i="11"/>
  <c r="Q39" i="11"/>
  <c r="Q38" i="11"/>
  <c r="Q37" i="11"/>
  <c r="Q36" i="11"/>
  <c r="Q35" i="11"/>
  <c r="Q34" i="11"/>
  <c r="Q33" i="11"/>
  <c r="Q32" i="11"/>
  <c r="Q31" i="11"/>
  <c r="R98" i="11"/>
  <c r="R97" i="11"/>
  <c r="R96" i="11"/>
  <c r="R95" i="11"/>
  <c r="R94" i="11"/>
  <c r="R93" i="11"/>
  <c r="R92" i="11"/>
  <c r="R91" i="11"/>
  <c r="R90" i="11"/>
  <c r="R89" i="11"/>
  <c r="R88" i="11"/>
  <c r="R87" i="11"/>
  <c r="R86" i="11"/>
  <c r="R85" i="11"/>
  <c r="R84" i="11"/>
  <c r="R83" i="11"/>
  <c r="R82" i="11"/>
  <c r="R81" i="11"/>
  <c r="R80" i="11"/>
  <c r="R79" i="11"/>
  <c r="R78" i="11"/>
  <c r="R77" i="11"/>
  <c r="R76" i="11"/>
  <c r="R75" i="11"/>
  <c r="R74" i="11"/>
  <c r="R73" i="11"/>
  <c r="R72" i="11"/>
  <c r="R71" i="11"/>
  <c r="R70" i="11"/>
  <c r="R69" i="11"/>
  <c r="R68" i="11"/>
  <c r="R67" i="11"/>
  <c r="R66" i="11"/>
  <c r="R65" i="11"/>
  <c r="R64" i="11"/>
  <c r="R63" i="11"/>
  <c r="R62" i="11"/>
  <c r="R61" i="11"/>
  <c r="R60" i="11"/>
  <c r="R59" i="11"/>
  <c r="R58" i="11"/>
  <c r="R57" i="11"/>
  <c r="R56" i="11"/>
  <c r="R55" i="11"/>
  <c r="R54" i="11"/>
  <c r="R53" i="11"/>
  <c r="R52" i="11"/>
  <c r="R51" i="11"/>
  <c r="R50" i="11"/>
  <c r="R49" i="11"/>
  <c r="R48" i="11"/>
  <c r="R47" i="11"/>
  <c r="R46" i="11"/>
  <c r="R45" i="11"/>
  <c r="R44" i="11"/>
  <c r="R43" i="11"/>
  <c r="R42" i="11"/>
  <c r="R41" i="11"/>
  <c r="R40" i="11"/>
  <c r="R39" i="11"/>
  <c r="R38" i="11"/>
  <c r="R37" i="11"/>
  <c r="R36" i="11"/>
  <c r="R35" i="11"/>
  <c r="R34" i="11"/>
  <c r="R33" i="11"/>
  <c r="R32" i="11"/>
  <c r="R31" i="11"/>
  <c r="S98" i="11"/>
  <c r="S97" i="11"/>
  <c r="S96" i="11"/>
  <c r="S95" i="11"/>
  <c r="S94" i="11"/>
  <c r="S93" i="11"/>
  <c r="S92" i="11"/>
  <c r="S91" i="11"/>
  <c r="S90" i="11"/>
  <c r="S89" i="11"/>
  <c r="S88" i="11"/>
  <c r="S87" i="11"/>
  <c r="S86" i="11"/>
  <c r="S85" i="11"/>
  <c r="S84" i="11"/>
  <c r="S83" i="11"/>
  <c r="S82" i="11"/>
  <c r="S81" i="11"/>
  <c r="S80" i="11"/>
  <c r="S79" i="11"/>
  <c r="S78" i="11"/>
  <c r="S77" i="11"/>
  <c r="S76" i="11"/>
  <c r="S75" i="11"/>
  <c r="S74" i="11"/>
  <c r="S73" i="11"/>
  <c r="S72" i="11"/>
  <c r="S71" i="11"/>
  <c r="S70" i="11"/>
  <c r="S69" i="11"/>
  <c r="S68" i="11"/>
  <c r="S67" i="11"/>
  <c r="S66" i="11"/>
  <c r="S65" i="11"/>
  <c r="S64" i="11"/>
  <c r="S63" i="11"/>
  <c r="S62" i="11"/>
  <c r="S61" i="11"/>
  <c r="S60" i="11"/>
  <c r="S59" i="11"/>
  <c r="S58" i="11"/>
  <c r="S57" i="11"/>
  <c r="S56" i="11"/>
  <c r="S55" i="11"/>
  <c r="S54" i="11"/>
  <c r="S53" i="11"/>
  <c r="S52" i="11"/>
  <c r="S51" i="11"/>
  <c r="S50" i="11"/>
  <c r="S49" i="11"/>
  <c r="S48" i="11"/>
  <c r="S47" i="11"/>
  <c r="S46" i="11"/>
  <c r="S45" i="11"/>
  <c r="S44" i="11"/>
  <c r="S43" i="11"/>
  <c r="S42" i="11"/>
  <c r="S41" i="11"/>
  <c r="S40" i="11"/>
  <c r="S39" i="11"/>
  <c r="S38" i="11"/>
  <c r="S37" i="11"/>
  <c r="S36" i="11"/>
  <c r="S35" i="11"/>
  <c r="S34" i="11"/>
  <c r="S33" i="11"/>
  <c r="S32" i="11"/>
  <c r="S31" i="11"/>
  <c r="T98" i="11"/>
  <c r="T97" i="11"/>
  <c r="T96" i="11"/>
  <c r="T95" i="11"/>
  <c r="T94" i="11"/>
  <c r="T93" i="11"/>
  <c r="T92" i="11"/>
  <c r="T91" i="11"/>
  <c r="T90" i="11"/>
  <c r="T89" i="11"/>
  <c r="T88" i="11"/>
  <c r="T87" i="11"/>
  <c r="T86" i="11"/>
  <c r="T85" i="11"/>
  <c r="T84" i="11"/>
  <c r="T83" i="11"/>
  <c r="T82" i="11"/>
  <c r="T81" i="11"/>
  <c r="T80" i="11"/>
  <c r="T79" i="11"/>
  <c r="T78" i="11"/>
  <c r="T77" i="11"/>
  <c r="T76" i="11"/>
  <c r="T75" i="11"/>
  <c r="T74" i="11"/>
  <c r="T73" i="11"/>
  <c r="T72" i="11"/>
  <c r="T71" i="11"/>
  <c r="T70" i="11"/>
  <c r="T69" i="11"/>
  <c r="T68" i="11"/>
  <c r="T67" i="11"/>
  <c r="T66" i="11"/>
  <c r="T65" i="11"/>
  <c r="T64" i="11"/>
  <c r="T63" i="11"/>
  <c r="T62" i="11"/>
  <c r="T61" i="11"/>
  <c r="T60" i="11"/>
  <c r="T59" i="11"/>
  <c r="T58" i="11"/>
  <c r="T57" i="11"/>
  <c r="T56" i="11"/>
  <c r="T55" i="11"/>
  <c r="T54" i="11"/>
  <c r="T53" i="11"/>
  <c r="T52" i="11"/>
  <c r="T51" i="11"/>
  <c r="T50" i="11"/>
  <c r="T49" i="11"/>
  <c r="T48" i="11"/>
  <c r="T47" i="11"/>
  <c r="T46" i="11"/>
  <c r="T45" i="11"/>
  <c r="T44" i="11"/>
  <c r="T43" i="11"/>
  <c r="T42" i="11"/>
  <c r="T41" i="11"/>
  <c r="T40" i="11"/>
  <c r="T39" i="11"/>
  <c r="T38" i="11"/>
  <c r="T37" i="11"/>
  <c r="T36" i="11"/>
  <c r="T35" i="11"/>
  <c r="T34" i="11"/>
  <c r="T33" i="11"/>
  <c r="T32" i="11"/>
  <c r="T31" i="11"/>
  <c r="U98" i="11"/>
  <c r="U97" i="11"/>
  <c r="U96" i="11"/>
  <c r="U95" i="11"/>
  <c r="U94" i="11"/>
  <c r="U93" i="11"/>
  <c r="U92" i="11"/>
  <c r="U91" i="11"/>
  <c r="U90" i="11"/>
  <c r="U89" i="11"/>
  <c r="U88" i="11"/>
  <c r="U87" i="11"/>
  <c r="U86" i="11"/>
  <c r="U85" i="11"/>
  <c r="U84" i="11"/>
  <c r="U83" i="11"/>
  <c r="U82" i="11"/>
  <c r="U81" i="11"/>
  <c r="U80" i="11"/>
  <c r="U79" i="11"/>
  <c r="U78" i="11"/>
  <c r="U77" i="11"/>
  <c r="U76" i="11"/>
  <c r="U75" i="11"/>
  <c r="U74" i="11"/>
  <c r="U73" i="11"/>
  <c r="U72" i="11"/>
  <c r="U71" i="11"/>
  <c r="U70" i="11"/>
  <c r="U69" i="11"/>
  <c r="U68" i="11"/>
  <c r="U67" i="11"/>
  <c r="U66" i="11"/>
  <c r="U65" i="11"/>
  <c r="U64" i="11"/>
  <c r="U63" i="11"/>
  <c r="U62" i="11"/>
  <c r="U61" i="11"/>
  <c r="U60" i="11"/>
  <c r="U59" i="11"/>
  <c r="U58" i="11"/>
  <c r="U57" i="11"/>
  <c r="U56" i="11"/>
  <c r="U55" i="11"/>
  <c r="U54" i="11"/>
  <c r="U53" i="11"/>
  <c r="U52" i="11"/>
  <c r="U51" i="11"/>
  <c r="U50" i="11"/>
  <c r="U49" i="11"/>
  <c r="U48" i="11"/>
  <c r="U47" i="11"/>
  <c r="U46" i="11"/>
  <c r="U45" i="11"/>
  <c r="U44" i="11"/>
  <c r="U43" i="11"/>
  <c r="U42" i="11"/>
  <c r="U41" i="11"/>
  <c r="U40" i="11"/>
  <c r="U39" i="11"/>
  <c r="U38" i="11"/>
  <c r="U37" i="11"/>
  <c r="U36" i="11"/>
  <c r="U35" i="11"/>
  <c r="U34" i="11"/>
  <c r="U33" i="11"/>
  <c r="U32" i="11"/>
  <c r="U31" i="11"/>
  <c r="V98" i="11"/>
  <c r="V97" i="11"/>
  <c r="V96" i="11"/>
  <c r="V95" i="11"/>
  <c r="V94" i="11"/>
  <c r="V93" i="11"/>
  <c r="V92" i="11"/>
  <c r="V91" i="11"/>
  <c r="V90" i="11"/>
  <c r="V89" i="11"/>
  <c r="V88" i="11"/>
  <c r="V87" i="11"/>
  <c r="V86" i="11"/>
  <c r="V85" i="11"/>
  <c r="V84" i="11"/>
  <c r="V83" i="11"/>
  <c r="V82" i="11"/>
  <c r="V81" i="11"/>
  <c r="V80" i="11"/>
  <c r="V79" i="11"/>
  <c r="V78" i="11"/>
  <c r="V77" i="11"/>
  <c r="V76" i="11"/>
  <c r="V75" i="11"/>
  <c r="V74" i="11"/>
  <c r="V73" i="11"/>
  <c r="V72" i="11"/>
  <c r="V71" i="11"/>
  <c r="V70" i="11"/>
  <c r="V69" i="11"/>
  <c r="V68" i="11"/>
  <c r="V67" i="11"/>
  <c r="V66" i="11"/>
  <c r="V65" i="11"/>
  <c r="V64" i="11"/>
  <c r="V63" i="11"/>
  <c r="V62" i="11"/>
  <c r="V61" i="11"/>
  <c r="V60" i="11"/>
  <c r="V59" i="11"/>
  <c r="V58" i="11"/>
  <c r="V57" i="11"/>
  <c r="V56" i="11"/>
  <c r="V55" i="11"/>
  <c r="V54" i="11"/>
  <c r="V53" i="11"/>
  <c r="V52" i="11"/>
  <c r="V51" i="11"/>
  <c r="V50" i="11"/>
  <c r="V49" i="11"/>
  <c r="V48" i="11"/>
  <c r="V47" i="11"/>
  <c r="V46" i="11"/>
  <c r="V45" i="11"/>
  <c r="V44" i="11"/>
  <c r="V43" i="11"/>
  <c r="V42" i="11"/>
  <c r="V41" i="11"/>
  <c r="V40" i="11"/>
  <c r="V39" i="11"/>
  <c r="V38" i="11"/>
  <c r="V37" i="11"/>
  <c r="V36" i="11"/>
  <c r="V35" i="11"/>
  <c r="V34" i="11"/>
  <c r="V33" i="11"/>
  <c r="V32" i="11"/>
  <c r="V31" i="11"/>
  <c r="W98" i="11"/>
  <c r="W97" i="11"/>
  <c r="W96" i="11"/>
  <c r="W95" i="11"/>
  <c r="W94" i="11"/>
  <c r="W93" i="11"/>
  <c r="W92" i="11"/>
  <c r="W90" i="11"/>
  <c r="W89" i="11"/>
  <c r="W88" i="11"/>
  <c r="W86" i="11"/>
  <c r="W85" i="11"/>
  <c r="W84" i="11"/>
  <c r="W82" i="11"/>
  <c r="W81" i="11"/>
  <c r="W80" i="11"/>
  <c r="W78" i="11"/>
  <c r="W77" i="11"/>
  <c r="W76" i="11"/>
  <c r="W74" i="11"/>
  <c r="W73" i="11"/>
  <c r="W72" i="11"/>
  <c r="W70" i="11"/>
  <c r="W69" i="11"/>
  <c r="W68" i="11"/>
  <c r="W66" i="11"/>
  <c r="W65" i="11"/>
  <c r="W64" i="11"/>
  <c r="W62" i="11"/>
  <c r="W61" i="11"/>
  <c r="W60" i="11"/>
  <c r="W59" i="11"/>
  <c r="W58" i="11"/>
  <c r="W57" i="11"/>
  <c r="W56" i="11"/>
  <c r="W55" i="11"/>
  <c r="W54" i="11"/>
  <c r="W53" i="11"/>
  <c r="W52" i="11"/>
  <c r="W51" i="11"/>
  <c r="W50" i="11"/>
  <c r="W49" i="11"/>
  <c r="W48" i="11"/>
  <c r="W47" i="11"/>
  <c r="W46" i="11"/>
  <c r="W45" i="11"/>
  <c r="W44" i="11"/>
  <c r="W43" i="11"/>
  <c r="W42" i="11"/>
  <c r="W41" i="11"/>
  <c r="W40" i="11"/>
  <c r="W39" i="11"/>
  <c r="W38" i="11"/>
  <c r="W37" i="11"/>
  <c r="W36" i="11"/>
  <c r="W35" i="11"/>
  <c r="W34" i="11"/>
  <c r="W33" i="11"/>
  <c r="W32" i="11"/>
  <c r="W31" i="11"/>
  <c r="X98" i="11"/>
  <c r="X97" i="11"/>
  <c r="X96" i="11"/>
  <c r="X95" i="11"/>
  <c r="X94" i="11"/>
  <c r="X93" i="11"/>
  <c r="X92" i="11"/>
  <c r="X91" i="11"/>
  <c r="X90" i="11"/>
  <c r="X89" i="11"/>
  <c r="X88" i="11"/>
  <c r="X87" i="11"/>
  <c r="X86" i="11"/>
  <c r="X85" i="11"/>
  <c r="X84" i="11"/>
  <c r="X83" i="11"/>
  <c r="X82" i="11"/>
  <c r="X81" i="11"/>
  <c r="X80" i="11"/>
  <c r="X79" i="11"/>
  <c r="X78" i="11"/>
  <c r="X77" i="11"/>
  <c r="X76" i="11"/>
  <c r="X75" i="11"/>
  <c r="X74" i="11"/>
  <c r="X73" i="11"/>
  <c r="X72" i="11"/>
  <c r="X71" i="11"/>
  <c r="X70" i="11"/>
  <c r="X69" i="11"/>
  <c r="X68" i="11"/>
  <c r="X67" i="11"/>
  <c r="X66" i="11"/>
  <c r="X65" i="11"/>
  <c r="X64" i="11"/>
  <c r="X63" i="11"/>
  <c r="X62" i="11"/>
  <c r="X61" i="11"/>
  <c r="X60" i="11"/>
  <c r="X59" i="11"/>
  <c r="X58" i="11"/>
  <c r="X57" i="11"/>
  <c r="X56" i="11"/>
  <c r="X55" i="11"/>
  <c r="X54" i="11"/>
  <c r="X53" i="11"/>
  <c r="X52" i="11"/>
  <c r="X51" i="11"/>
  <c r="X50" i="11"/>
  <c r="X49" i="11"/>
  <c r="X48" i="11"/>
  <c r="X47" i="11"/>
  <c r="X46" i="11"/>
  <c r="X45" i="11"/>
  <c r="X44" i="11"/>
  <c r="X43" i="11"/>
  <c r="X42" i="11"/>
  <c r="X41" i="11"/>
  <c r="X40" i="11"/>
  <c r="X39" i="11"/>
  <c r="X38" i="11"/>
  <c r="X37" i="11"/>
  <c r="X36" i="11"/>
  <c r="X35" i="11"/>
  <c r="X34" i="11"/>
  <c r="X33" i="11"/>
  <c r="X32" i="11"/>
  <c r="X31" i="11"/>
  <c r="Y98" i="11"/>
  <c r="Y97" i="11"/>
  <c r="Y96" i="11"/>
  <c r="Y95" i="11"/>
  <c r="Y94" i="11"/>
  <c r="Y93" i="11"/>
  <c r="Y92" i="11"/>
  <c r="Y91" i="11"/>
  <c r="Y90" i="11"/>
  <c r="Y89" i="11"/>
  <c r="Y88" i="11"/>
  <c r="Y87" i="11"/>
  <c r="Y86" i="11"/>
  <c r="Y85" i="11"/>
  <c r="Y84" i="11"/>
  <c r="Y83" i="11"/>
  <c r="Y82" i="11"/>
  <c r="Y81" i="11"/>
  <c r="Y80" i="11"/>
  <c r="Y79" i="11"/>
  <c r="Y78" i="11"/>
  <c r="Y77" i="11"/>
  <c r="Y76" i="11"/>
  <c r="Y75" i="11"/>
  <c r="Y74" i="11"/>
  <c r="Y73" i="11"/>
  <c r="Y72" i="11"/>
  <c r="Y71" i="11"/>
  <c r="Y70" i="11"/>
  <c r="Y69" i="11"/>
  <c r="Y68" i="11"/>
  <c r="Y67" i="11"/>
  <c r="Y66" i="11"/>
  <c r="Y65" i="11"/>
  <c r="Y64" i="11"/>
  <c r="Y63" i="11"/>
  <c r="Y62" i="11"/>
  <c r="Y61" i="11"/>
  <c r="Y60" i="11"/>
  <c r="Y59" i="11"/>
  <c r="Y58" i="11"/>
  <c r="Y57" i="11"/>
  <c r="Y56" i="11"/>
  <c r="Y55" i="11"/>
  <c r="Y54" i="11"/>
  <c r="Y53" i="11"/>
  <c r="Y52" i="11"/>
  <c r="Y51" i="11"/>
  <c r="Y50" i="11"/>
  <c r="Y49" i="11"/>
  <c r="Y48" i="11"/>
  <c r="Y47" i="11"/>
  <c r="Y46" i="11"/>
  <c r="Y45" i="11"/>
  <c r="Y44" i="11"/>
  <c r="Y43" i="11"/>
  <c r="Y42" i="11"/>
  <c r="Y41" i="11"/>
  <c r="Y40" i="11"/>
  <c r="Y39" i="11"/>
  <c r="Y38" i="11"/>
  <c r="Y37" i="11"/>
  <c r="Y36" i="11"/>
  <c r="Y35" i="11"/>
  <c r="Y34" i="11"/>
  <c r="Y33" i="11"/>
  <c r="Y32" i="11"/>
  <c r="Y31" i="11"/>
  <c r="Z98" i="11"/>
  <c r="Z97" i="11"/>
  <c r="Z96" i="11"/>
  <c r="Z95" i="11"/>
  <c r="Z94" i="11"/>
  <c r="Z93" i="11"/>
  <c r="Z92" i="11"/>
  <c r="Z90" i="11"/>
  <c r="Z89" i="11"/>
  <c r="Z88" i="11"/>
  <c r="Z86" i="11"/>
  <c r="Z85" i="11"/>
  <c r="Z84" i="11"/>
  <c r="Z82" i="11"/>
  <c r="Z81" i="11"/>
  <c r="Z80" i="11"/>
  <c r="Z78" i="11"/>
  <c r="Z77" i="11"/>
  <c r="Z76" i="11"/>
  <c r="Z74" i="11"/>
  <c r="Z73" i="11"/>
  <c r="Z72" i="11"/>
  <c r="Z70" i="11"/>
  <c r="Z69" i="11"/>
  <c r="Z68" i="11"/>
  <c r="Z66" i="11"/>
  <c r="Z65" i="11"/>
  <c r="Z64" i="11"/>
  <c r="Z62" i="11"/>
  <c r="Z61" i="11"/>
  <c r="Z60" i="11"/>
  <c r="Z59" i="11"/>
  <c r="Z58" i="11"/>
  <c r="Z57" i="11"/>
  <c r="Z56" i="11"/>
  <c r="Z55" i="11"/>
  <c r="Z54" i="11"/>
  <c r="Z53" i="11"/>
  <c r="Z52" i="11"/>
  <c r="Z51" i="11"/>
  <c r="Z50" i="11"/>
  <c r="Z49" i="11"/>
  <c r="Z48" i="11"/>
  <c r="Z47" i="11"/>
  <c r="Z46" i="11"/>
  <c r="Z45" i="11"/>
  <c r="Z44" i="11"/>
  <c r="Z43" i="11"/>
  <c r="Z42" i="11"/>
  <c r="Z41" i="11"/>
  <c r="Z40" i="11"/>
  <c r="Z39" i="11"/>
  <c r="Z38" i="11"/>
  <c r="Z37" i="11"/>
  <c r="Z36" i="11"/>
  <c r="Z35" i="11"/>
  <c r="Z34" i="11"/>
  <c r="Z33" i="11"/>
  <c r="Z32" i="11"/>
  <c r="Z31" i="11"/>
  <c r="AA98" i="11"/>
  <c r="AA97" i="11"/>
  <c r="AA96" i="11"/>
  <c r="AA95" i="11"/>
  <c r="AA94" i="11"/>
  <c r="AA93" i="11"/>
  <c r="AA92" i="11"/>
  <c r="AA91" i="11"/>
  <c r="AA90" i="11"/>
  <c r="AA89" i="11"/>
  <c r="AA88" i="11"/>
  <c r="AA87" i="11"/>
  <c r="AA86" i="11"/>
  <c r="AA85" i="11"/>
  <c r="AA84" i="11"/>
  <c r="AA83" i="11"/>
  <c r="AA82" i="11"/>
  <c r="AA81" i="11"/>
  <c r="AA80" i="11"/>
  <c r="AA79" i="11"/>
  <c r="AA78" i="11"/>
  <c r="AA77" i="11"/>
  <c r="AA76" i="11"/>
  <c r="AA75" i="11"/>
  <c r="AA74" i="11"/>
  <c r="AA73" i="11"/>
  <c r="AA72" i="11"/>
  <c r="AA71" i="11"/>
  <c r="AA70" i="11"/>
  <c r="AA69" i="11"/>
  <c r="AA68" i="11"/>
  <c r="AA67" i="11"/>
  <c r="AA66" i="11"/>
  <c r="AA65" i="11"/>
  <c r="AA64" i="11"/>
  <c r="AA63" i="11"/>
  <c r="AA62" i="11"/>
  <c r="AA61" i="11"/>
  <c r="AA60" i="11"/>
  <c r="AA59" i="11"/>
  <c r="AA58" i="11"/>
  <c r="AA57" i="11"/>
  <c r="AA56" i="11"/>
  <c r="AA55" i="11"/>
  <c r="AA54" i="11"/>
  <c r="AA53" i="11"/>
  <c r="AA52" i="11"/>
  <c r="AA51" i="11"/>
  <c r="AA50" i="11"/>
  <c r="AA49" i="11"/>
  <c r="AA48" i="11"/>
  <c r="AA47" i="11"/>
  <c r="AA46" i="11"/>
  <c r="AA45" i="11"/>
  <c r="AA44" i="11"/>
  <c r="AA43" i="11"/>
  <c r="AA42" i="11"/>
  <c r="AA41" i="11"/>
  <c r="AA40" i="11"/>
  <c r="AA39" i="11"/>
  <c r="AA38" i="11"/>
  <c r="AA37" i="11"/>
  <c r="AA36" i="11"/>
  <c r="AA35" i="11"/>
  <c r="AA34" i="11"/>
  <c r="AA33" i="11"/>
  <c r="AA32" i="11"/>
  <c r="AA31" i="11"/>
  <c r="AB98" i="11"/>
  <c r="AB97" i="11"/>
  <c r="AB96" i="11"/>
  <c r="AB95" i="11"/>
  <c r="AB94" i="11"/>
  <c r="AB93" i="11"/>
  <c r="AB92" i="11"/>
  <c r="AB91" i="11"/>
  <c r="AB90" i="11"/>
  <c r="AB89" i="11"/>
  <c r="AB88" i="11"/>
  <c r="AB87" i="11"/>
  <c r="AB86" i="11"/>
  <c r="AB85" i="11"/>
  <c r="AB84" i="11"/>
  <c r="AB83" i="11"/>
  <c r="AB82" i="11"/>
  <c r="AB81" i="11"/>
  <c r="AB80" i="11"/>
  <c r="AB79" i="11"/>
  <c r="AB78" i="11"/>
  <c r="AB77" i="11"/>
  <c r="AB76" i="11"/>
  <c r="AB75" i="11"/>
  <c r="AB74" i="11"/>
  <c r="AB73" i="11"/>
  <c r="AB72" i="11"/>
  <c r="AB71" i="11"/>
  <c r="AB70" i="11"/>
  <c r="AB69" i="11"/>
  <c r="AB68" i="11"/>
  <c r="AB67" i="11"/>
  <c r="AB66" i="11"/>
  <c r="AB65" i="11"/>
  <c r="AB64" i="11"/>
  <c r="AB63" i="11"/>
  <c r="AB62" i="11"/>
  <c r="AB61" i="11"/>
  <c r="AB60" i="11"/>
  <c r="AB59" i="11"/>
  <c r="AB58" i="11"/>
  <c r="AB57" i="11"/>
  <c r="AB56" i="11"/>
  <c r="AB55" i="11"/>
  <c r="AB54" i="11"/>
  <c r="AB53" i="11"/>
  <c r="AB52" i="11"/>
  <c r="AB51" i="11"/>
  <c r="AB50" i="11"/>
  <c r="AB49" i="11"/>
  <c r="AB48" i="11"/>
  <c r="AB47" i="11"/>
  <c r="AB46" i="11"/>
  <c r="AB45" i="11"/>
  <c r="AB44" i="11"/>
  <c r="AB43" i="11"/>
  <c r="AB42" i="11"/>
  <c r="AB41" i="11"/>
  <c r="AB40" i="11"/>
  <c r="AB39" i="11"/>
  <c r="AB38" i="11"/>
  <c r="AB37" i="11"/>
  <c r="AB36" i="11"/>
  <c r="AB35" i="11"/>
  <c r="AB34" i="11"/>
  <c r="AB33" i="11"/>
  <c r="AB32" i="11"/>
  <c r="AB31" i="11"/>
  <c r="AC98" i="11"/>
  <c r="AC97" i="11"/>
  <c r="AC96" i="11"/>
  <c r="AC95" i="11"/>
  <c r="AC94" i="11"/>
  <c r="AC93" i="11"/>
  <c r="AC92" i="11"/>
  <c r="AC91" i="11"/>
  <c r="AC90" i="11"/>
  <c r="AC89" i="11"/>
  <c r="AC88" i="11"/>
  <c r="AC87" i="11"/>
  <c r="AC86" i="11"/>
  <c r="AC85" i="11"/>
  <c r="AC84" i="11"/>
  <c r="AC83" i="11"/>
  <c r="AC82" i="11"/>
  <c r="AC81" i="11"/>
  <c r="AC80" i="11"/>
  <c r="AC79" i="11"/>
  <c r="AC78" i="11"/>
  <c r="AC77" i="11"/>
  <c r="AC76" i="11"/>
  <c r="AC75" i="11"/>
  <c r="AC74" i="11"/>
  <c r="AC73" i="11"/>
  <c r="AC72" i="11"/>
  <c r="AC71" i="11"/>
  <c r="AC70" i="11"/>
  <c r="AC69" i="11"/>
  <c r="AC68" i="11"/>
  <c r="AC67" i="11"/>
  <c r="AC66" i="11"/>
  <c r="AC65" i="11"/>
  <c r="AC64" i="11"/>
  <c r="AC63" i="11"/>
  <c r="AC62" i="11"/>
  <c r="AC61" i="11"/>
  <c r="AC60" i="11"/>
  <c r="AC59" i="11"/>
  <c r="AC58" i="11"/>
  <c r="AC57" i="11"/>
  <c r="AC56" i="11"/>
  <c r="AC55" i="11"/>
  <c r="AC54" i="11"/>
  <c r="AC53" i="11"/>
  <c r="AC52" i="11"/>
  <c r="AC51" i="11"/>
  <c r="AC50" i="11"/>
  <c r="AC49" i="11"/>
  <c r="AC48" i="11"/>
  <c r="AC47" i="11"/>
  <c r="AC46" i="11"/>
  <c r="AC45" i="11"/>
  <c r="AC44" i="11"/>
  <c r="AC43" i="11"/>
  <c r="AC42" i="11"/>
  <c r="AC41" i="11"/>
  <c r="AC40" i="11"/>
  <c r="AC39" i="11"/>
  <c r="AC38" i="11"/>
  <c r="AC37" i="11"/>
  <c r="AC36" i="11"/>
  <c r="AC35" i="11"/>
  <c r="AC34" i="11"/>
  <c r="AC33" i="11"/>
  <c r="AC32" i="11"/>
  <c r="AC31" i="11"/>
  <c r="AD98" i="11"/>
  <c r="AD97" i="11"/>
  <c r="AD96" i="11"/>
  <c r="AD95" i="11"/>
  <c r="AD94" i="11"/>
  <c r="AD93" i="11"/>
  <c r="AD92" i="11"/>
  <c r="AD90" i="11"/>
  <c r="AD89" i="11"/>
  <c r="AD88" i="11"/>
  <c r="AD86" i="11"/>
  <c r="AD85" i="11"/>
  <c r="AD84" i="11"/>
  <c r="AD82" i="11"/>
  <c r="AD81" i="11"/>
  <c r="AD80" i="11"/>
  <c r="AD78" i="11"/>
  <c r="AD77" i="11"/>
  <c r="AD76" i="11"/>
  <c r="AD74" i="11"/>
  <c r="AD73" i="11"/>
  <c r="AD72" i="11"/>
  <c r="AD70" i="11"/>
  <c r="AD69" i="11"/>
  <c r="AD68" i="11"/>
  <c r="AD66" i="11"/>
  <c r="AD65" i="11"/>
  <c r="AD64" i="11"/>
  <c r="AD62" i="11"/>
  <c r="AD61" i="11"/>
  <c r="AD60" i="11"/>
  <c r="AD59" i="11"/>
  <c r="AD58" i="11"/>
  <c r="AD57" i="11"/>
  <c r="AD56" i="11"/>
  <c r="AD55" i="11"/>
  <c r="AD54" i="11"/>
  <c r="AD53" i="11"/>
  <c r="AD52" i="11"/>
  <c r="AD51" i="11"/>
  <c r="AD50" i="11"/>
  <c r="AD49" i="11"/>
  <c r="AD48" i="11"/>
  <c r="AD47" i="11"/>
  <c r="AD46" i="11"/>
  <c r="AD45" i="11"/>
  <c r="AD44" i="11"/>
  <c r="AD43" i="11"/>
  <c r="AD42" i="11"/>
  <c r="AD41" i="11"/>
  <c r="AD40" i="11"/>
  <c r="AD39" i="11"/>
  <c r="AD38" i="11"/>
  <c r="AD37" i="11"/>
  <c r="AD36" i="11"/>
  <c r="AD35" i="11"/>
  <c r="AD34" i="11"/>
  <c r="AD33" i="11"/>
  <c r="AD32" i="11"/>
  <c r="AD31" i="11"/>
  <c r="AE98" i="11"/>
  <c r="AE97" i="11"/>
  <c r="AE96" i="11"/>
  <c r="AE95" i="11"/>
  <c r="AE94" i="11"/>
  <c r="AE93" i="11"/>
  <c r="AE92" i="11"/>
  <c r="AE90" i="11"/>
  <c r="AE89" i="11"/>
  <c r="AE88" i="11"/>
  <c r="AE86" i="11"/>
  <c r="AE85" i="11"/>
  <c r="AE84" i="11"/>
  <c r="AE82" i="11"/>
  <c r="AE81" i="11"/>
  <c r="AE80" i="11"/>
  <c r="AE78" i="11"/>
  <c r="AE77" i="11"/>
  <c r="AE76" i="11"/>
  <c r="AE74" i="11"/>
  <c r="AE73" i="11"/>
  <c r="AE72" i="11"/>
  <c r="AE70" i="11"/>
  <c r="AE69" i="11"/>
  <c r="AE68" i="11"/>
  <c r="AE66" i="11"/>
  <c r="AE65" i="11"/>
  <c r="AE64" i="11"/>
  <c r="AE62" i="11"/>
  <c r="AE61" i="11"/>
  <c r="AE60" i="11"/>
  <c r="AE59" i="11"/>
  <c r="AE58" i="11"/>
  <c r="AE57" i="11"/>
  <c r="AE56" i="11"/>
  <c r="AE55" i="11"/>
  <c r="AE54" i="11"/>
  <c r="AE53" i="11"/>
  <c r="AE52" i="11"/>
  <c r="AE51" i="11"/>
  <c r="AE50" i="11"/>
  <c r="AE49" i="11"/>
  <c r="AE48" i="11"/>
  <c r="AE47" i="11"/>
  <c r="AE46" i="11"/>
  <c r="AE45" i="11"/>
  <c r="AE44" i="11"/>
  <c r="AE43" i="11"/>
  <c r="AE42" i="11"/>
  <c r="AE41" i="11"/>
  <c r="AE40" i="11"/>
  <c r="AE39" i="11"/>
  <c r="AE38" i="11"/>
  <c r="AE37" i="11"/>
  <c r="AE36" i="11"/>
  <c r="AE35" i="11"/>
  <c r="AE34" i="11"/>
  <c r="AE33" i="11"/>
  <c r="AE32" i="11"/>
  <c r="AE31" i="11"/>
  <c r="AF98" i="11"/>
  <c r="AF97" i="11"/>
  <c r="AF96" i="11"/>
  <c r="AF95" i="11"/>
  <c r="AF94" i="11"/>
  <c r="AF93" i="11"/>
  <c r="AF92" i="11"/>
  <c r="AF91" i="11"/>
  <c r="AF90" i="11"/>
  <c r="AF89" i="11"/>
  <c r="AF88" i="11"/>
  <c r="AF87" i="11"/>
  <c r="AF86" i="11"/>
  <c r="AF85" i="11"/>
  <c r="AF84" i="11"/>
  <c r="AF83" i="11"/>
  <c r="AF82" i="11"/>
  <c r="AF81" i="11"/>
  <c r="AF80" i="11"/>
  <c r="AF79" i="11"/>
  <c r="AF78" i="11"/>
  <c r="AF77" i="11"/>
  <c r="AF76" i="11"/>
  <c r="AF75" i="11"/>
  <c r="AF74" i="11"/>
  <c r="AF73" i="11"/>
  <c r="AF72" i="11"/>
  <c r="AF71" i="11"/>
  <c r="AF70" i="11"/>
  <c r="AF69" i="11"/>
  <c r="AF68" i="11"/>
  <c r="AF67" i="11"/>
  <c r="AF66" i="11"/>
  <c r="AF65" i="11"/>
  <c r="AF64" i="11"/>
  <c r="AF63" i="11"/>
  <c r="AF62" i="11"/>
  <c r="AF61" i="11"/>
  <c r="AF60" i="11"/>
  <c r="AF59" i="11"/>
  <c r="AF58" i="11"/>
  <c r="AF57" i="11"/>
  <c r="AF56" i="11"/>
  <c r="AF55" i="11"/>
  <c r="AF54" i="11"/>
  <c r="AF53" i="11"/>
  <c r="AF52" i="11"/>
  <c r="AF51" i="11"/>
  <c r="AF50" i="11"/>
  <c r="AF49" i="11"/>
  <c r="AF48" i="11"/>
  <c r="AF47" i="11"/>
  <c r="AF46" i="11"/>
  <c r="AF45" i="11"/>
  <c r="AF44" i="11"/>
  <c r="AF43" i="11"/>
  <c r="AF42" i="11"/>
  <c r="AF41" i="11"/>
  <c r="AF40" i="11"/>
  <c r="AF39" i="11"/>
  <c r="AF38" i="11"/>
  <c r="AF37" i="11"/>
  <c r="AF36" i="11"/>
  <c r="AF35" i="11"/>
  <c r="AF34" i="11"/>
  <c r="AF33" i="11"/>
  <c r="AF32" i="11"/>
  <c r="AF31" i="11"/>
  <c r="AG98" i="11"/>
  <c r="AG97" i="11"/>
  <c r="AG96" i="11"/>
  <c r="AG95" i="11"/>
  <c r="AG94" i="11"/>
  <c r="AG93" i="11"/>
  <c r="AG90" i="11"/>
  <c r="AG89" i="11"/>
  <c r="AG86" i="11"/>
  <c r="AG85" i="11"/>
  <c r="AG82" i="11"/>
  <c r="AG81" i="11"/>
  <c r="AG78" i="11"/>
  <c r="AG77" i="11"/>
  <c r="AG76" i="11"/>
  <c r="AG74" i="11"/>
  <c r="AG73" i="11"/>
  <c r="AG72" i="11"/>
  <c r="AG70" i="11"/>
  <c r="AG69" i="11"/>
  <c r="AG68" i="11"/>
  <c r="AG66" i="11"/>
  <c r="AG65" i="11"/>
  <c r="AG64" i="11"/>
  <c r="AG62" i="11"/>
  <c r="AG61" i="11"/>
  <c r="AG59" i="11"/>
  <c r="AG58" i="11"/>
  <c r="AG57" i="11"/>
  <c r="AG55" i="11"/>
  <c r="AG54" i="11"/>
  <c r="AG53" i="11"/>
  <c r="AG51" i="11"/>
  <c r="AG50" i="11"/>
  <c r="AG49" i="11"/>
  <c r="AG47" i="11"/>
  <c r="AG46" i="11"/>
  <c r="AG45" i="11"/>
  <c r="AG44" i="11"/>
  <c r="AG43" i="11"/>
  <c r="AG42" i="11"/>
  <c r="AG41" i="11"/>
  <c r="AG40" i="11"/>
  <c r="AG39" i="11"/>
  <c r="AG38" i="11"/>
  <c r="AG37" i="11"/>
  <c r="AG36" i="11"/>
  <c r="AG35" i="11"/>
  <c r="AG34" i="11"/>
  <c r="AG33" i="11"/>
  <c r="AG32" i="11"/>
  <c r="AG31" i="11"/>
  <c r="AH98" i="11"/>
  <c r="AH97" i="11"/>
  <c r="AH96" i="11"/>
  <c r="AH95" i="11"/>
  <c r="AH94" i="11"/>
  <c r="AH93" i="11"/>
  <c r="AH92" i="11"/>
  <c r="AH91" i="11"/>
  <c r="AH90" i="11"/>
  <c r="AH89" i="11"/>
  <c r="AH88" i="11"/>
  <c r="AH87" i="11"/>
  <c r="AH86" i="11"/>
  <c r="AH85" i="11"/>
  <c r="AH84" i="11"/>
  <c r="AH83" i="11"/>
  <c r="AH82" i="11"/>
  <c r="AH81" i="11"/>
  <c r="AH80" i="11"/>
  <c r="AH79" i="11"/>
  <c r="AH78" i="11"/>
  <c r="AH77" i="11"/>
  <c r="AH76" i="11"/>
  <c r="AH75" i="11"/>
  <c r="AH74" i="11"/>
  <c r="AH73" i="11"/>
  <c r="AH72" i="11"/>
  <c r="AH71" i="11"/>
  <c r="AH70" i="11"/>
  <c r="AH69" i="11"/>
  <c r="AH68" i="11"/>
  <c r="AH67" i="11"/>
  <c r="AH66" i="11"/>
  <c r="AH65" i="11"/>
  <c r="AH64" i="11"/>
  <c r="AH63" i="11"/>
  <c r="AH62" i="11"/>
  <c r="AH61" i="11"/>
  <c r="AH60" i="11"/>
  <c r="AH59" i="11"/>
  <c r="AH58" i="11"/>
  <c r="AH57" i="11"/>
  <c r="AH56" i="11"/>
  <c r="AH55" i="11"/>
  <c r="AH54" i="11"/>
  <c r="AH53" i="11"/>
  <c r="AH52" i="11"/>
  <c r="AH51" i="11"/>
  <c r="AH50" i="11"/>
  <c r="AH49" i="11"/>
  <c r="AH48" i="11"/>
  <c r="AH47" i="11"/>
  <c r="AH46" i="11"/>
  <c r="AH45" i="11"/>
  <c r="AH44" i="11"/>
  <c r="AH43" i="11"/>
  <c r="AH42" i="11"/>
  <c r="AH41" i="11"/>
  <c r="AH40" i="11"/>
  <c r="AH39" i="11"/>
  <c r="AH38" i="11"/>
  <c r="AH37" i="11"/>
  <c r="AH36" i="11"/>
  <c r="AH35" i="11"/>
  <c r="AH34" i="11"/>
  <c r="AH33" i="11"/>
  <c r="AH32" i="11"/>
  <c r="AH31" i="11"/>
  <c r="AI98" i="11"/>
  <c r="AI97" i="11"/>
  <c r="AI96" i="11"/>
  <c r="AI95" i="11"/>
  <c r="AI94" i="11"/>
  <c r="AI93" i="11"/>
  <c r="AI92" i="11"/>
  <c r="AI91" i="11"/>
  <c r="AI90" i="11"/>
  <c r="AI89" i="11"/>
  <c r="AI88" i="11"/>
  <c r="AI87" i="11"/>
  <c r="AI86" i="11"/>
  <c r="AI85" i="11"/>
  <c r="AI84" i="11"/>
  <c r="AI83" i="11"/>
  <c r="AI82" i="11"/>
  <c r="AI81" i="11"/>
  <c r="AI80" i="11"/>
  <c r="AI79" i="11"/>
  <c r="AI78" i="11"/>
  <c r="AI77" i="11"/>
  <c r="AI76" i="11"/>
  <c r="AI75" i="11"/>
  <c r="AI74" i="11"/>
  <c r="AI73" i="11"/>
  <c r="AI72" i="11"/>
  <c r="AI71" i="11"/>
  <c r="AI70" i="11"/>
  <c r="AI69" i="11"/>
  <c r="AI68" i="11"/>
  <c r="AI67" i="11"/>
  <c r="AI66" i="11"/>
  <c r="AI65" i="11"/>
  <c r="AI64" i="11"/>
  <c r="AI63" i="11"/>
  <c r="AI62" i="11"/>
  <c r="AI61" i="11"/>
  <c r="AI60" i="11"/>
  <c r="AI59" i="11"/>
  <c r="AI58" i="11"/>
  <c r="AI57" i="11"/>
  <c r="AI56" i="11"/>
  <c r="AI55" i="11"/>
  <c r="AI54" i="11"/>
  <c r="AI53" i="11"/>
  <c r="AI52" i="11"/>
  <c r="AI51" i="11"/>
  <c r="AI50" i="11"/>
  <c r="AI49" i="11"/>
  <c r="AI48" i="11"/>
  <c r="AI47" i="11"/>
  <c r="AI46" i="11"/>
  <c r="AI45" i="11"/>
  <c r="AI44" i="11"/>
  <c r="AI43" i="11"/>
  <c r="AI42" i="11"/>
  <c r="AI41" i="11"/>
  <c r="AI40" i="11"/>
  <c r="AI39" i="11"/>
  <c r="AI38" i="11"/>
  <c r="AI37" i="11"/>
  <c r="AI36" i="11"/>
  <c r="AI35" i="11"/>
  <c r="AI34" i="11"/>
  <c r="AI33" i="11"/>
  <c r="AI32" i="11"/>
  <c r="AI31" i="11"/>
  <c r="AJ98" i="11"/>
  <c r="AJ97" i="11"/>
  <c r="AJ96" i="11"/>
  <c r="AJ95" i="11"/>
  <c r="AJ94" i="11"/>
  <c r="AJ93" i="11"/>
  <c r="AJ92" i="11"/>
  <c r="AJ91" i="11"/>
  <c r="AJ90" i="11"/>
  <c r="AJ89" i="11"/>
  <c r="AJ88" i="11"/>
  <c r="AJ87" i="11"/>
  <c r="AJ86" i="11"/>
  <c r="AJ85" i="11"/>
  <c r="AJ84" i="11"/>
  <c r="AJ83" i="11"/>
  <c r="AJ82" i="11"/>
  <c r="AJ81" i="11"/>
  <c r="AJ80" i="11"/>
  <c r="AJ79" i="11"/>
  <c r="AJ78" i="11"/>
  <c r="AJ77" i="11"/>
  <c r="AJ76" i="11"/>
  <c r="AJ75" i="11"/>
  <c r="AJ74" i="11"/>
  <c r="AJ73" i="11"/>
  <c r="AJ72" i="11"/>
  <c r="AJ71" i="11"/>
  <c r="AJ70" i="11"/>
  <c r="AJ69" i="11"/>
  <c r="AJ68" i="11"/>
  <c r="AJ67" i="11"/>
  <c r="AJ66" i="11"/>
  <c r="AJ65" i="11"/>
  <c r="AJ64" i="11"/>
  <c r="AJ63" i="11"/>
  <c r="AJ62" i="11"/>
  <c r="AJ61" i="11"/>
  <c r="AJ60" i="11"/>
  <c r="AJ59" i="11"/>
  <c r="AJ58" i="11"/>
  <c r="AJ57" i="11"/>
  <c r="AJ56" i="11"/>
  <c r="AJ55" i="11"/>
  <c r="AJ54" i="11"/>
  <c r="AJ53" i="11"/>
  <c r="AJ52" i="11"/>
  <c r="AJ51" i="11"/>
  <c r="AJ50" i="11"/>
  <c r="AJ49" i="11"/>
  <c r="AJ48" i="11"/>
  <c r="AJ47" i="11"/>
  <c r="AJ46" i="11"/>
  <c r="AJ45" i="11"/>
  <c r="AJ44" i="11"/>
  <c r="AJ43" i="11"/>
  <c r="AJ42" i="11"/>
  <c r="AJ41" i="11"/>
  <c r="AJ40" i="11"/>
  <c r="AJ39" i="11"/>
  <c r="AJ38" i="11"/>
  <c r="AJ37" i="11"/>
  <c r="AJ36" i="11"/>
  <c r="AJ35" i="11"/>
  <c r="AJ34" i="11"/>
  <c r="AJ33" i="11"/>
  <c r="AJ32" i="11"/>
  <c r="AJ31" i="11"/>
  <c r="AK98" i="11"/>
  <c r="AK97" i="11"/>
  <c r="AK96" i="11"/>
  <c r="AK95" i="11"/>
  <c r="AK94" i="11"/>
  <c r="AK93" i="11"/>
  <c r="AK90" i="11"/>
  <c r="AK89" i="11"/>
  <c r="AK86" i="11"/>
  <c r="AK85" i="11"/>
  <c r="AK82" i="11"/>
  <c r="AK81" i="11"/>
  <c r="AK78" i="11"/>
  <c r="AK77" i="11"/>
  <c r="AK76" i="11"/>
  <c r="AK74" i="11"/>
  <c r="AK73" i="11"/>
  <c r="AK72" i="11"/>
  <c r="AK70" i="11"/>
  <c r="AK69" i="11"/>
  <c r="AK68" i="11"/>
  <c r="AK66" i="11"/>
  <c r="AK65" i="11"/>
  <c r="AK64" i="11"/>
  <c r="AK62" i="11"/>
  <c r="AK61" i="11"/>
  <c r="AK59" i="11"/>
  <c r="AK58" i="11"/>
  <c r="AK57" i="11"/>
  <c r="AK55" i="11"/>
  <c r="AK54" i="11"/>
  <c r="AK53" i="11"/>
  <c r="AK51" i="11"/>
  <c r="AK50" i="11"/>
  <c r="AK49" i="11"/>
  <c r="AK47" i="11"/>
  <c r="AK46" i="11"/>
  <c r="AK45" i="11"/>
  <c r="AK44" i="11"/>
  <c r="AK43" i="11"/>
  <c r="AK42" i="11"/>
  <c r="AK41" i="11"/>
  <c r="AK40" i="11"/>
  <c r="AK39" i="11"/>
  <c r="AK38" i="11"/>
  <c r="AK37" i="11"/>
  <c r="AK36" i="11"/>
  <c r="AK35" i="11"/>
  <c r="AK34" i="11"/>
  <c r="AK33" i="11"/>
  <c r="AK32" i="11"/>
  <c r="AK31" i="11"/>
  <c r="AL98" i="11"/>
  <c r="AL97" i="11"/>
  <c r="AL96" i="11"/>
  <c r="AL95" i="11"/>
  <c r="AL94" i="11"/>
  <c r="AL93" i="11"/>
  <c r="AL92" i="11"/>
  <c r="AL91" i="11"/>
  <c r="AL90" i="11"/>
  <c r="AL89" i="11"/>
  <c r="AL88" i="11"/>
  <c r="AL87" i="11"/>
  <c r="AL86" i="11"/>
  <c r="AL85" i="11"/>
  <c r="AL84" i="11"/>
  <c r="AL83" i="11"/>
  <c r="AL82" i="11"/>
  <c r="AL81" i="11"/>
  <c r="AL80" i="11"/>
  <c r="AL79" i="11"/>
  <c r="AL78" i="11"/>
  <c r="AL77" i="11"/>
  <c r="AL76" i="11"/>
  <c r="AL75" i="11"/>
  <c r="AL74" i="11"/>
  <c r="AL73" i="11"/>
  <c r="AL72" i="11"/>
  <c r="AL71" i="11"/>
  <c r="AL70" i="11"/>
  <c r="AL69" i="11"/>
  <c r="AL68" i="11"/>
  <c r="AL67" i="11"/>
  <c r="AL66" i="11"/>
  <c r="AL65" i="11"/>
  <c r="AL64" i="11"/>
  <c r="AL63" i="11"/>
  <c r="AL62" i="11"/>
  <c r="AL61" i="11"/>
  <c r="AL60" i="11"/>
  <c r="AL59" i="11"/>
  <c r="AL58" i="11"/>
  <c r="AL57" i="11"/>
  <c r="AL56" i="11"/>
  <c r="AL55" i="11"/>
  <c r="AL54" i="11"/>
  <c r="AL53" i="11"/>
  <c r="AL52" i="11"/>
  <c r="AL51" i="11"/>
  <c r="AL50" i="11"/>
  <c r="AL49" i="11"/>
  <c r="AL48" i="11"/>
  <c r="AL47" i="11"/>
  <c r="AL46" i="11"/>
  <c r="AL45" i="11"/>
  <c r="AL44" i="11"/>
  <c r="AL43" i="11"/>
  <c r="AL42" i="11"/>
  <c r="AL41" i="11"/>
  <c r="AL40" i="11"/>
  <c r="AL39" i="11"/>
  <c r="AL38" i="11"/>
  <c r="AL37" i="11"/>
  <c r="AL36" i="11"/>
  <c r="AL35" i="11"/>
  <c r="AL34" i="11"/>
  <c r="AL33" i="11"/>
  <c r="AL32" i="11"/>
  <c r="AL31" i="11"/>
  <c r="AM98" i="11"/>
  <c r="AM97" i="11"/>
  <c r="AM96" i="11"/>
  <c r="AM95" i="11"/>
  <c r="AM94" i="11"/>
  <c r="AM93" i="11"/>
  <c r="AM92" i="11"/>
  <c r="AM90" i="11"/>
  <c r="AM89" i="11"/>
  <c r="AM88" i="11"/>
  <c r="AM86" i="11"/>
  <c r="AM85" i="11"/>
  <c r="AM84" i="11"/>
  <c r="AM82" i="11"/>
  <c r="AM81" i="11"/>
  <c r="AM80" i="11"/>
  <c r="AM78" i="11"/>
  <c r="AM77" i="11"/>
  <c r="AM76" i="11"/>
  <c r="AM74" i="11"/>
  <c r="AM73" i="11"/>
  <c r="AM72" i="11"/>
  <c r="AM70" i="11"/>
  <c r="AM69" i="11"/>
  <c r="AM68" i="11"/>
  <c r="AM66" i="11"/>
  <c r="AM65" i="11"/>
  <c r="AM64" i="11"/>
  <c r="AM62" i="11"/>
  <c r="AM61" i="11"/>
  <c r="AM60" i="11"/>
  <c r="AM59" i="11"/>
  <c r="AM58" i="11"/>
  <c r="AM57" i="11"/>
  <c r="AM56" i="11"/>
  <c r="AM55" i="11"/>
  <c r="AM54" i="11"/>
  <c r="AM53" i="11"/>
  <c r="AM52" i="11"/>
  <c r="AM51" i="11"/>
  <c r="AM50" i="11"/>
  <c r="AM49" i="11"/>
  <c r="AM48" i="11"/>
  <c r="AM47" i="11"/>
  <c r="AM46" i="11"/>
  <c r="AM45" i="11"/>
  <c r="AM44" i="11"/>
  <c r="AM43" i="11"/>
  <c r="AM42" i="11"/>
  <c r="AM41" i="11"/>
  <c r="AM40" i="11"/>
  <c r="AM39" i="11"/>
  <c r="AM38" i="11"/>
  <c r="AM37" i="11"/>
  <c r="AM36" i="11"/>
  <c r="AM35" i="11"/>
  <c r="AM34" i="11"/>
  <c r="AM33" i="11"/>
  <c r="AM32" i="11"/>
  <c r="AM31" i="11"/>
  <c r="AN98" i="11"/>
  <c r="AN97" i="11"/>
  <c r="AN96" i="11"/>
  <c r="AN95" i="11"/>
  <c r="AN94" i="11"/>
  <c r="AN93" i="11"/>
  <c r="AN92" i="11"/>
  <c r="AN91" i="11"/>
  <c r="AN90" i="11"/>
  <c r="AN89" i="11"/>
  <c r="AN88" i="11"/>
  <c r="AN87" i="11"/>
  <c r="AN86" i="11"/>
  <c r="AN85" i="11"/>
  <c r="AN84" i="11"/>
  <c r="AN83" i="11"/>
  <c r="AN82" i="11"/>
  <c r="AN81" i="11"/>
  <c r="AN80" i="11"/>
  <c r="AN79" i="11"/>
  <c r="AN78" i="11"/>
  <c r="AN77" i="11"/>
  <c r="AN76" i="11"/>
  <c r="AN75" i="11"/>
  <c r="AN74" i="11"/>
  <c r="AN73" i="11"/>
  <c r="AN72" i="11"/>
  <c r="AN71" i="11"/>
  <c r="AN70" i="11"/>
  <c r="AN69" i="11"/>
  <c r="AN68" i="11"/>
  <c r="AN67" i="11"/>
  <c r="AN66" i="11"/>
  <c r="AN65" i="11"/>
  <c r="AN64" i="11"/>
  <c r="AN63" i="11"/>
  <c r="AN62" i="11"/>
  <c r="AN61" i="11"/>
  <c r="AN60" i="11"/>
  <c r="AN59" i="11"/>
  <c r="AN58" i="11"/>
  <c r="AN57" i="11"/>
  <c r="AN56" i="11"/>
  <c r="AN55" i="11"/>
  <c r="AN54" i="11"/>
  <c r="AN53" i="11"/>
  <c r="AN52" i="11"/>
  <c r="AN51" i="11"/>
  <c r="AN50" i="11"/>
  <c r="AN49" i="11"/>
  <c r="AN48" i="11"/>
  <c r="AN47" i="11"/>
  <c r="AN46" i="11"/>
  <c r="AN45" i="11"/>
  <c r="AN44" i="11"/>
  <c r="AN43" i="11"/>
  <c r="AN42" i="11"/>
  <c r="AN41" i="11"/>
  <c r="AN40" i="11"/>
  <c r="AN39" i="11"/>
  <c r="AN38" i="11"/>
  <c r="AN37" i="11"/>
  <c r="AN36" i="11"/>
  <c r="AN35" i="11"/>
  <c r="AN34" i="11"/>
  <c r="AN33" i="11"/>
  <c r="AN32" i="11"/>
  <c r="AN31" i="11"/>
  <c r="AO98" i="11"/>
  <c r="AO97" i="11"/>
  <c r="AO96" i="11"/>
  <c r="AO95" i="11"/>
  <c r="AO94" i="11"/>
  <c r="AO93" i="11"/>
  <c r="AO90" i="11"/>
  <c r="AO89" i="11"/>
  <c r="AO86" i="11"/>
  <c r="AO85" i="11"/>
  <c r="AO82" i="11"/>
  <c r="AO81" i="11"/>
  <c r="AO78" i="11"/>
  <c r="AO77" i="11"/>
  <c r="AO76" i="11"/>
  <c r="AO74" i="11"/>
  <c r="AO73" i="11"/>
  <c r="AO72" i="11"/>
  <c r="AO70" i="11"/>
  <c r="AO69" i="11"/>
  <c r="AO68" i="11"/>
  <c r="AO66" i="11"/>
  <c r="AO65" i="11"/>
  <c r="AO64" i="11"/>
  <c r="AO62" i="11"/>
  <c r="AO61" i="11"/>
  <c r="AO59" i="11"/>
  <c r="AO58" i="11"/>
  <c r="AO57" i="11"/>
  <c r="AO55" i="11"/>
  <c r="AO54" i="11"/>
  <c r="AO53" i="11"/>
  <c r="AO51" i="11"/>
  <c r="AO50" i="11"/>
  <c r="AO49" i="11"/>
  <c r="AO47" i="11"/>
  <c r="AO46" i="11"/>
  <c r="AO45" i="11"/>
  <c r="AO44" i="11"/>
  <c r="AO43" i="11"/>
  <c r="AO42" i="11"/>
  <c r="AO41" i="11"/>
  <c r="AO40" i="11"/>
  <c r="AO39" i="11"/>
  <c r="AO38" i="11"/>
  <c r="AO37" i="11"/>
  <c r="AO36" i="11"/>
  <c r="AO35" i="11"/>
  <c r="AO34" i="11"/>
  <c r="AO33" i="11"/>
  <c r="AO32" i="11"/>
  <c r="AO31" i="11"/>
  <c r="AP98" i="11"/>
  <c r="AP97" i="11"/>
  <c r="AP96" i="11"/>
  <c r="AP95" i="11"/>
  <c r="AP94" i="11"/>
  <c r="AP93" i="11"/>
  <c r="AP92" i="11"/>
  <c r="AP90" i="11"/>
  <c r="AP89" i="11"/>
  <c r="AP88" i="11"/>
  <c r="AP86" i="11"/>
  <c r="AP85" i="11"/>
  <c r="AP84" i="11"/>
  <c r="AP82" i="11"/>
  <c r="AP81" i="11"/>
  <c r="AP80" i="11"/>
  <c r="AP78" i="11"/>
  <c r="AP77" i="11"/>
  <c r="AP76" i="11"/>
  <c r="AP74" i="11"/>
  <c r="AP73" i="11"/>
  <c r="AP72" i="11"/>
  <c r="AP70" i="11"/>
  <c r="AP69" i="11"/>
  <c r="AP68" i="11"/>
  <c r="AP66" i="11"/>
  <c r="AP65" i="11"/>
  <c r="AP64" i="11"/>
  <c r="AP62" i="11"/>
  <c r="AP61" i="11"/>
  <c r="AP60" i="11"/>
  <c r="AP59" i="11"/>
  <c r="AP58" i="11"/>
  <c r="AP57" i="11"/>
  <c r="AP56" i="11"/>
  <c r="AP55" i="11"/>
  <c r="AP54" i="11"/>
  <c r="AP53" i="11"/>
  <c r="AP52" i="11"/>
  <c r="AP51" i="11"/>
  <c r="AP50" i="11"/>
  <c r="AP49" i="11"/>
  <c r="AP48" i="11"/>
  <c r="AP47" i="11"/>
  <c r="AP46" i="11"/>
  <c r="AP45" i="11"/>
  <c r="AP44" i="11"/>
  <c r="AP43" i="11"/>
  <c r="AP42" i="11"/>
  <c r="AP41" i="11"/>
  <c r="AP40" i="11"/>
  <c r="AP39" i="11"/>
  <c r="AP38" i="11"/>
  <c r="AP37" i="11"/>
  <c r="AP36" i="11"/>
  <c r="AP35" i="11"/>
  <c r="AP34" i="11"/>
  <c r="AP33" i="11"/>
  <c r="AP32" i="11"/>
  <c r="AP31" i="11"/>
  <c r="AQ98" i="11"/>
  <c r="AQ97" i="11"/>
  <c r="AQ96" i="11"/>
  <c r="AQ95" i="11"/>
  <c r="AQ94" i="11"/>
  <c r="AQ93" i="11"/>
  <c r="AQ92" i="11"/>
  <c r="AQ91" i="11"/>
  <c r="AQ90" i="11"/>
  <c r="AQ89" i="11"/>
  <c r="AQ88" i="11"/>
  <c r="AQ87" i="11"/>
  <c r="AQ86" i="11"/>
  <c r="AQ85" i="11"/>
  <c r="AQ84" i="11"/>
  <c r="AQ83" i="11"/>
  <c r="AQ82" i="11"/>
  <c r="AQ81" i="11"/>
  <c r="AQ80" i="11"/>
  <c r="AQ79" i="11"/>
  <c r="AQ78" i="11"/>
  <c r="AQ77" i="11"/>
  <c r="AQ76" i="11"/>
  <c r="AQ75" i="11"/>
  <c r="AQ74" i="11"/>
  <c r="AQ73" i="11"/>
  <c r="AQ72" i="11"/>
  <c r="AQ71" i="11"/>
  <c r="AQ70" i="11"/>
  <c r="AQ69" i="11"/>
  <c r="AQ68" i="11"/>
  <c r="AQ67" i="11"/>
  <c r="AQ66" i="11"/>
  <c r="AQ65" i="11"/>
  <c r="AQ64" i="11"/>
  <c r="AQ63" i="11"/>
  <c r="AQ62" i="11"/>
  <c r="AQ61" i="11"/>
  <c r="AQ60" i="11"/>
  <c r="AQ59" i="11"/>
  <c r="AQ58" i="11"/>
  <c r="AQ57" i="11"/>
  <c r="AQ56" i="11"/>
  <c r="AQ55" i="11"/>
  <c r="AQ54" i="11"/>
  <c r="AQ53" i="11"/>
  <c r="AQ52" i="11"/>
  <c r="AQ51" i="11"/>
  <c r="AQ50" i="11"/>
  <c r="AQ49" i="11"/>
  <c r="AQ48" i="11"/>
  <c r="AQ47" i="11"/>
  <c r="AQ46" i="11"/>
  <c r="AQ45" i="11"/>
  <c r="AQ44" i="11"/>
  <c r="AQ43" i="11"/>
  <c r="AQ42" i="11"/>
  <c r="AQ41" i="11"/>
  <c r="AQ40" i="11"/>
  <c r="AQ39" i="11"/>
  <c r="AQ38" i="11"/>
  <c r="AQ37" i="11"/>
  <c r="AQ36" i="11"/>
  <c r="AQ35" i="11"/>
  <c r="AQ34" i="11"/>
  <c r="AQ33" i="11"/>
  <c r="AQ32" i="11"/>
  <c r="AQ31" i="11"/>
  <c r="AR98" i="11"/>
  <c r="AR97" i="11"/>
  <c r="AR96" i="11"/>
  <c r="AR95" i="11"/>
  <c r="AR94" i="11"/>
  <c r="AR93" i="11"/>
  <c r="AR92" i="11"/>
  <c r="AR91" i="11"/>
  <c r="AR90" i="11"/>
  <c r="AR89" i="11"/>
  <c r="AR88" i="11"/>
  <c r="AR87" i="11"/>
  <c r="AR86" i="11"/>
  <c r="AR85" i="11"/>
  <c r="AR84" i="11"/>
  <c r="AR83" i="11"/>
  <c r="AR82" i="11"/>
  <c r="AR81" i="11"/>
  <c r="AR80" i="11"/>
  <c r="AR79" i="11"/>
  <c r="AR78" i="11"/>
  <c r="AR77" i="11"/>
  <c r="AR76" i="11"/>
  <c r="AR75" i="11"/>
  <c r="AR74" i="11"/>
  <c r="AR73" i="11"/>
  <c r="AR72" i="11"/>
  <c r="AR71" i="11"/>
  <c r="AR70" i="11"/>
  <c r="AR69" i="11"/>
  <c r="AR68" i="11"/>
  <c r="AR67" i="11"/>
  <c r="AR66" i="11"/>
  <c r="AR65" i="11"/>
  <c r="AR64" i="11"/>
  <c r="AR63" i="11"/>
  <c r="AR62" i="11"/>
  <c r="AR61" i="11"/>
  <c r="AR60" i="11"/>
  <c r="AR59" i="11"/>
  <c r="AR58" i="11"/>
  <c r="AR57" i="11"/>
  <c r="AR56" i="11"/>
  <c r="AR55" i="11"/>
  <c r="AR54" i="11"/>
  <c r="AR53" i="11"/>
  <c r="AR52" i="11"/>
  <c r="AR51" i="11"/>
  <c r="AR50" i="11"/>
  <c r="AR49" i="11"/>
  <c r="AR48" i="11"/>
  <c r="AR47" i="11"/>
  <c r="AR46" i="11"/>
  <c r="AR45" i="11"/>
  <c r="AR44" i="11"/>
  <c r="AR43" i="11"/>
  <c r="AR42" i="11"/>
  <c r="AR41" i="11"/>
  <c r="AR40" i="11"/>
  <c r="AR39" i="11"/>
  <c r="AR38" i="11"/>
  <c r="AR37" i="11"/>
  <c r="AR36" i="11"/>
  <c r="AR35" i="11"/>
  <c r="AR34" i="11"/>
  <c r="AR33" i="11"/>
  <c r="AR32" i="11"/>
  <c r="AR31" i="11"/>
  <c r="AS98" i="11"/>
  <c r="AS97" i="11"/>
  <c r="AS96" i="11"/>
  <c r="AS95" i="11"/>
  <c r="AS94" i="11"/>
  <c r="AS93" i="11"/>
  <c r="AS90" i="11"/>
  <c r="AS89" i="11"/>
  <c r="AS86" i="11"/>
  <c r="AS85" i="11"/>
  <c r="AS82" i="11"/>
  <c r="AS81" i="11"/>
  <c r="AS78" i="11"/>
  <c r="AS77" i="11"/>
  <c r="AS76" i="11"/>
  <c r="AS74" i="11"/>
  <c r="AS73" i="11"/>
  <c r="AS72" i="11"/>
  <c r="AS70" i="11"/>
  <c r="AS69" i="11"/>
  <c r="AS68" i="11"/>
  <c r="AS66" i="11"/>
  <c r="AS65" i="11"/>
  <c r="AS64" i="11"/>
  <c r="AS62" i="11"/>
  <c r="AS61" i="11"/>
  <c r="AS59" i="11"/>
  <c r="AS58" i="11"/>
  <c r="AS57" i="11"/>
  <c r="AS55" i="11"/>
  <c r="AS54" i="11"/>
  <c r="AS53" i="11"/>
  <c r="AS51" i="11"/>
  <c r="AS50" i="11"/>
  <c r="AS49" i="11"/>
  <c r="AS47" i="11"/>
  <c r="AS46" i="11"/>
  <c r="AS45" i="11"/>
  <c r="AS44" i="11"/>
  <c r="AS43" i="11"/>
  <c r="AS42" i="11"/>
  <c r="AS41" i="11"/>
  <c r="AS40" i="11"/>
  <c r="AS39" i="11"/>
  <c r="AS38" i="11"/>
  <c r="AS37" i="11"/>
  <c r="AS36" i="11"/>
  <c r="AS35" i="11"/>
  <c r="AS34" i="11"/>
  <c r="AS33" i="11"/>
  <c r="AS32" i="11"/>
  <c r="AS31" i="11"/>
  <c r="AT98" i="11"/>
  <c r="AT97" i="11"/>
  <c r="AT96" i="11"/>
  <c r="AT95" i="11"/>
  <c r="AT94" i="11"/>
  <c r="AT93" i="11"/>
  <c r="AT92" i="11"/>
  <c r="AT90" i="11"/>
  <c r="AT89" i="11"/>
  <c r="AT88" i="11"/>
  <c r="AT86" i="11"/>
  <c r="AT85" i="11"/>
  <c r="AT84" i="11"/>
  <c r="AT82" i="11"/>
  <c r="AT81" i="11"/>
  <c r="AT80" i="11"/>
  <c r="AT78" i="11"/>
  <c r="AT77" i="11"/>
  <c r="AT76" i="11"/>
  <c r="AT74" i="11"/>
  <c r="AT73" i="11"/>
  <c r="AT72" i="11"/>
  <c r="AT70" i="11"/>
  <c r="AT69" i="11"/>
  <c r="AT68" i="11"/>
  <c r="AT66" i="11"/>
  <c r="AT65" i="11"/>
  <c r="AT64" i="11"/>
  <c r="AT62" i="11"/>
  <c r="AT61" i="11"/>
  <c r="AT60" i="11"/>
  <c r="AT59" i="11"/>
  <c r="AT58" i="11"/>
  <c r="AT57" i="11"/>
  <c r="AT56" i="11"/>
  <c r="AT55" i="11"/>
  <c r="AT54" i="11"/>
  <c r="AT53" i="11"/>
  <c r="AT52" i="11"/>
  <c r="AT51" i="11"/>
  <c r="AT50" i="11"/>
  <c r="AT49" i="11"/>
  <c r="AT48" i="11"/>
  <c r="AT47" i="11"/>
  <c r="AT46" i="11"/>
  <c r="AT45" i="11"/>
  <c r="AT44" i="11"/>
  <c r="AT43" i="11"/>
  <c r="AT42" i="11"/>
  <c r="AT41" i="11"/>
  <c r="AT40" i="11"/>
  <c r="AT39" i="11"/>
  <c r="AT38" i="11"/>
  <c r="AT37" i="11"/>
  <c r="AT36" i="11"/>
  <c r="AT35" i="11"/>
  <c r="AT34" i="11"/>
  <c r="AT33" i="11"/>
  <c r="AT32" i="11"/>
  <c r="AT31" i="11"/>
  <c r="AU98" i="11"/>
  <c r="AU97" i="11"/>
  <c r="AU96" i="11"/>
  <c r="AU95" i="11"/>
  <c r="AU94" i="11"/>
  <c r="AU93" i="11"/>
  <c r="AU92" i="11"/>
  <c r="AU90" i="11"/>
  <c r="AU89" i="11"/>
  <c r="AU88" i="11"/>
  <c r="AU86" i="11"/>
  <c r="AU85" i="11"/>
  <c r="AU84" i="11"/>
  <c r="AU82" i="11"/>
  <c r="AU81" i="11"/>
  <c r="AU80" i="11"/>
  <c r="AU78" i="11"/>
  <c r="AU77" i="11"/>
  <c r="AU76" i="11"/>
  <c r="AU74" i="11"/>
  <c r="AU73" i="11"/>
  <c r="AU72" i="11"/>
  <c r="AU70" i="11"/>
  <c r="AU69" i="11"/>
  <c r="AU68" i="11"/>
  <c r="AU66" i="11"/>
  <c r="AU65" i="11"/>
  <c r="AU64" i="11"/>
  <c r="AU62" i="11"/>
  <c r="AU61" i="11"/>
  <c r="AU60" i="11"/>
  <c r="AU59" i="11"/>
  <c r="AU58" i="11"/>
  <c r="AU57" i="11"/>
  <c r="AU56" i="11"/>
  <c r="AU55" i="11"/>
  <c r="AU54" i="11"/>
  <c r="AU53" i="11"/>
  <c r="AU52" i="11"/>
  <c r="AU51" i="11"/>
  <c r="AU50" i="11"/>
  <c r="AU49" i="11"/>
  <c r="AU48" i="11"/>
  <c r="AU47" i="11"/>
  <c r="AU46" i="11"/>
  <c r="AU45" i="11"/>
  <c r="AU44" i="11"/>
  <c r="AU43" i="11"/>
  <c r="AU42" i="11"/>
  <c r="AU41" i="11"/>
  <c r="AU40" i="11"/>
  <c r="AU39" i="11"/>
  <c r="AU38" i="11"/>
  <c r="AU37" i="11"/>
  <c r="AU36" i="11"/>
  <c r="AU35" i="11"/>
  <c r="AU34" i="11"/>
  <c r="AU33" i="11"/>
  <c r="AU32" i="11"/>
  <c r="AU31" i="11"/>
  <c r="AV98" i="11"/>
  <c r="AV97" i="11"/>
  <c r="AV96" i="11"/>
  <c r="AV95" i="11"/>
  <c r="AV94" i="11"/>
  <c r="AV93" i="11"/>
  <c r="AV92" i="11"/>
  <c r="AV90" i="11"/>
  <c r="AV89" i="11"/>
  <c r="AV88" i="11"/>
  <c r="AV86" i="11"/>
  <c r="AV85" i="11"/>
  <c r="AV84" i="11"/>
  <c r="AV82" i="11"/>
  <c r="AV81" i="11"/>
  <c r="AV80" i="11"/>
  <c r="AV78" i="11"/>
  <c r="AV77" i="11"/>
  <c r="AV76" i="11"/>
  <c r="AV74" i="11"/>
  <c r="AV73" i="11"/>
  <c r="AV72" i="11"/>
  <c r="AV70" i="11"/>
  <c r="AV69" i="11"/>
  <c r="AV68" i="11"/>
  <c r="AV66" i="11"/>
  <c r="AV65" i="11"/>
  <c r="AV64" i="11"/>
  <c r="AV62" i="11"/>
  <c r="AV61" i="11"/>
  <c r="AV60" i="11"/>
  <c r="AV59" i="11"/>
  <c r="AV58" i="11"/>
  <c r="AV57" i="11"/>
  <c r="AV56" i="11"/>
  <c r="AV55" i="11"/>
  <c r="AV54" i="11"/>
  <c r="AV53" i="11"/>
  <c r="AV52" i="11"/>
  <c r="AV51" i="11"/>
  <c r="AV50" i="11"/>
  <c r="AV49" i="11"/>
  <c r="AV48" i="11"/>
  <c r="AV47" i="11"/>
  <c r="AV46" i="11"/>
  <c r="AV45" i="11"/>
  <c r="AV44" i="11"/>
  <c r="AV43" i="11"/>
  <c r="AV42" i="11"/>
  <c r="AV41" i="11"/>
  <c r="AV40" i="11"/>
  <c r="AV39" i="11"/>
  <c r="AV38" i="11"/>
  <c r="AV37" i="11"/>
  <c r="AV36" i="11"/>
  <c r="AV35" i="11"/>
  <c r="AV34" i="11"/>
  <c r="AV33" i="11"/>
  <c r="AV32" i="11"/>
  <c r="AV31" i="11"/>
  <c r="AW98" i="11"/>
  <c r="AW97" i="11"/>
  <c r="AW96" i="11"/>
  <c r="AW95" i="11"/>
  <c r="AW94" i="11"/>
  <c r="AW93" i="11"/>
  <c r="AW92" i="11"/>
  <c r="AW91" i="11"/>
  <c r="AW90" i="11"/>
  <c r="AW89" i="11"/>
  <c r="AW88" i="11"/>
  <c r="AW87" i="11"/>
  <c r="AW86" i="11"/>
  <c r="AW85" i="11"/>
  <c r="AW84" i="11"/>
  <c r="AW83" i="11"/>
  <c r="AW82" i="11"/>
  <c r="AW81" i="11"/>
  <c r="AW80" i="11"/>
  <c r="AW79" i="11"/>
  <c r="AW78" i="11"/>
  <c r="AW77" i="11"/>
  <c r="AW76" i="11"/>
  <c r="AW75" i="11"/>
  <c r="AW74" i="11"/>
  <c r="AW73" i="11"/>
  <c r="AW72" i="11"/>
  <c r="AW71" i="11"/>
  <c r="AW70" i="11"/>
  <c r="AW69" i="11"/>
  <c r="AW68" i="11"/>
  <c r="AW67" i="11"/>
  <c r="AW66" i="11"/>
  <c r="AW65" i="11"/>
  <c r="AW64" i="11"/>
  <c r="AW63" i="11"/>
  <c r="AW62" i="11"/>
  <c r="AW61" i="11"/>
  <c r="AW60" i="11"/>
  <c r="AW59" i="11"/>
  <c r="AW58" i="11"/>
  <c r="AW57" i="11"/>
  <c r="AW56" i="11"/>
  <c r="AW55" i="11"/>
  <c r="AW54" i="11"/>
  <c r="AW53" i="11"/>
  <c r="AW52" i="11"/>
  <c r="AW51" i="11"/>
  <c r="AW50" i="11"/>
  <c r="AW49" i="11"/>
  <c r="AW48" i="11"/>
  <c r="AW47" i="11"/>
  <c r="AW46" i="11"/>
  <c r="AW45" i="11"/>
  <c r="AW44" i="11"/>
  <c r="AW43" i="11"/>
  <c r="AW42" i="11"/>
  <c r="AW41" i="11"/>
  <c r="AW40" i="11"/>
  <c r="AW39" i="11"/>
  <c r="AW38" i="11"/>
  <c r="AW37" i="11"/>
  <c r="AW36" i="11"/>
  <c r="AW35" i="11"/>
  <c r="AW34" i="11"/>
  <c r="AW33" i="11"/>
  <c r="AW32" i="11"/>
  <c r="AW31" i="11"/>
  <c r="AX98" i="11"/>
  <c r="AX97" i="11"/>
  <c r="AX96" i="11"/>
  <c r="AX95" i="11"/>
  <c r="AX94" i="11"/>
  <c r="AX93" i="11"/>
  <c r="AX92" i="11"/>
  <c r="AX91" i="11"/>
  <c r="AX90" i="11"/>
  <c r="AX89" i="11"/>
  <c r="AX88" i="11"/>
  <c r="AX87" i="11"/>
  <c r="AX86" i="11"/>
  <c r="AX85" i="11"/>
  <c r="AX84" i="11"/>
  <c r="AX83" i="11"/>
  <c r="AX82" i="11"/>
  <c r="AX81" i="11"/>
  <c r="AX80" i="11"/>
  <c r="AX79" i="11"/>
  <c r="AX78" i="11"/>
  <c r="AX77" i="11"/>
  <c r="AX76" i="11"/>
  <c r="AX75" i="11"/>
  <c r="AX74" i="11"/>
  <c r="AX73" i="11"/>
  <c r="AX72" i="11"/>
  <c r="AX71" i="11"/>
  <c r="AX70" i="11"/>
  <c r="AX69" i="11"/>
  <c r="AX68" i="11"/>
  <c r="AX67" i="11"/>
  <c r="AX66" i="11"/>
  <c r="AX65" i="11"/>
  <c r="AX64" i="11"/>
  <c r="AX63" i="11"/>
  <c r="AX62" i="11"/>
  <c r="AX61" i="11"/>
  <c r="AX60" i="11"/>
  <c r="AX59" i="11"/>
  <c r="AX58" i="11"/>
  <c r="AX57" i="11"/>
  <c r="AX56" i="11"/>
  <c r="AX55" i="11"/>
  <c r="AX54" i="11"/>
  <c r="AX53" i="11"/>
  <c r="AX52" i="11"/>
  <c r="AX51" i="11"/>
  <c r="AX50" i="11"/>
  <c r="AX49" i="11"/>
  <c r="AX48" i="11"/>
  <c r="AX47" i="11"/>
  <c r="AX46" i="11"/>
  <c r="AX45" i="11"/>
  <c r="AX44" i="11"/>
  <c r="AX43" i="11"/>
  <c r="AX42" i="11"/>
  <c r="AX41" i="11"/>
  <c r="AX40" i="11"/>
  <c r="AX39" i="11"/>
  <c r="AX38" i="11"/>
  <c r="AX37" i="11"/>
  <c r="AX36" i="11"/>
  <c r="AX35" i="11"/>
  <c r="AX34" i="11"/>
  <c r="AX33" i="11"/>
  <c r="AX32" i="11"/>
  <c r="AX31" i="11"/>
  <c r="AY98" i="11"/>
  <c r="AY97" i="11"/>
  <c r="AY96" i="11"/>
  <c r="AY95" i="11"/>
  <c r="AY94" i="11"/>
  <c r="AY93" i="11"/>
  <c r="AY92" i="11"/>
  <c r="AY91" i="11"/>
  <c r="AY90" i="11"/>
  <c r="AY89" i="11"/>
  <c r="AY88" i="11"/>
  <c r="AY87" i="11"/>
  <c r="AY86" i="11"/>
  <c r="AY85" i="11"/>
  <c r="AY84" i="11"/>
  <c r="AY83" i="11"/>
  <c r="AY82" i="11"/>
  <c r="AY81" i="11"/>
  <c r="AY80" i="11"/>
  <c r="AY79" i="11"/>
  <c r="AY78" i="11"/>
  <c r="AY77" i="11"/>
  <c r="AY76" i="11"/>
  <c r="AY75" i="11"/>
  <c r="AY74" i="11"/>
  <c r="AY73" i="11"/>
  <c r="AY72" i="11"/>
  <c r="AY71" i="11"/>
  <c r="AY70" i="11"/>
  <c r="AY69" i="11"/>
  <c r="AY68" i="11"/>
  <c r="AY67" i="11"/>
  <c r="AY66" i="11"/>
  <c r="AY65" i="11"/>
  <c r="AY64" i="11"/>
  <c r="AY63" i="11"/>
  <c r="AY62" i="11"/>
  <c r="AY61" i="11"/>
  <c r="AY60" i="11"/>
  <c r="AY59" i="11"/>
  <c r="AY58" i="11"/>
  <c r="AY57" i="11"/>
  <c r="AY56" i="11"/>
  <c r="AY55" i="11"/>
  <c r="AY54" i="11"/>
  <c r="AY53" i="11"/>
  <c r="AY52" i="11"/>
  <c r="AY51" i="11"/>
  <c r="AY50" i="11"/>
  <c r="AY49" i="11"/>
  <c r="AY48" i="11"/>
  <c r="AY47" i="11"/>
  <c r="AY46" i="11"/>
  <c r="AY45" i="11"/>
  <c r="AY44" i="11"/>
  <c r="AY43" i="11"/>
  <c r="AY42" i="11"/>
  <c r="AY41" i="11"/>
  <c r="AY40" i="11"/>
  <c r="AY39" i="11"/>
  <c r="AY38" i="11"/>
  <c r="AY37" i="11"/>
  <c r="AY36" i="11"/>
  <c r="AY35" i="11"/>
  <c r="AY34" i="11"/>
  <c r="AY33" i="11"/>
  <c r="AY32" i="11"/>
  <c r="AY31" i="11"/>
  <c r="AZ98" i="11"/>
  <c r="AZ97" i="11"/>
  <c r="AZ96" i="11"/>
  <c r="AZ95" i="11"/>
  <c r="AZ94" i="11"/>
  <c r="AZ93" i="11"/>
  <c r="AZ92" i="11"/>
  <c r="AZ90" i="11"/>
  <c r="AZ89" i="11"/>
  <c r="AZ88" i="11"/>
  <c r="AZ86" i="11"/>
  <c r="AZ85" i="11"/>
  <c r="AZ84" i="11"/>
  <c r="AZ82" i="11"/>
  <c r="AZ81" i="11"/>
  <c r="AZ80" i="11"/>
  <c r="AZ78" i="11"/>
  <c r="AZ77" i="11"/>
  <c r="AZ76" i="11"/>
  <c r="AZ74" i="11"/>
  <c r="AZ73" i="11"/>
  <c r="AZ72" i="11"/>
  <c r="AZ70" i="11"/>
  <c r="AZ69" i="11"/>
  <c r="AZ68" i="11"/>
  <c r="AZ66" i="11"/>
  <c r="AZ65" i="11"/>
  <c r="AZ64" i="11"/>
  <c r="AZ62" i="11"/>
  <c r="AZ61" i="11"/>
  <c r="AZ60" i="11"/>
  <c r="AZ59" i="11"/>
  <c r="AZ58" i="11"/>
  <c r="AZ57" i="11"/>
  <c r="AZ56" i="11"/>
  <c r="AZ55" i="11"/>
  <c r="AZ54" i="11"/>
  <c r="AZ53" i="11"/>
  <c r="AZ52" i="11"/>
  <c r="AZ51" i="11"/>
  <c r="AZ50" i="11"/>
  <c r="AZ49" i="11"/>
  <c r="AZ48" i="11"/>
  <c r="AZ47" i="11"/>
  <c r="AZ46" i="11"/>
  <c r="AZ45" i="11"/>
  <c r="AZ44" i="11"/>
  <c r="AZ43" i="11"/>
  <c r="AZ42" i="11"/>
  <c r="AZ41" i="11"/>
  <c r="AZ40" i="11"/>
  <c r="AZ39" i="11"/>
  <c r="AZ38" i="11"/>
  <c r="AZ37" i="11"/>
  <c r="AZ36" i="11"/>
  <c r="AZ35" i="11"/>
  <c r="AZ34" i="11"/>
  <c r="AZ33" i="11"/>
  <c r="AZ32" i="11"/>
  <c r="AZ31" i="11"/>
  <c r="BA98" i="11"/>
  <c r="BA97" i="11"/>
  <c r="BA96" i="11"/>
  <c r="BA95" i="11"/>
  <c r="BA94" i="11"/>
  <c r="BA93" i="11"/>
  <c r="BA92" i="11"/>
  <c r="BA91" i="11"/>
  <c r="BA90" i="11"/>
  <c r="BA89" i="11"/>
  <c r="BA88" i="11"/>
  <c r="BA87" i="11"/>
  <c r="BA86" i="11"/>
  <c r="BA85" i="11"/>
  <c r="BA84" i="11"/>
  <c r="BA83" i="11"/>
  <c r="BA82" i="11"/>
  <c r="BA81" i="11"/>
  <c r="BA80" i="11"/>
  <c r="BA79" i="11"/>
  <c r="BA78" i="11"/>
  <c r="BA77" i="11"/>
  <c r="BA76" i="11"/>
  <c r="BA75" i="11"/>
  <c r="BA74" i="11"/>
  <c r="BA73" i="11"/>
  <c r="BA72" i="11"/>
  <c r="BA71" i="11"/>
  <c r="BA70" i="11"/>
  <c r="BA69" i="11"/>
  <c r="BA68" i="11"/>
  <c r="BA67" i="11"/>
  <c r="BA66" i="11"/>
  <c r="BA65" i="11"/>
  <c r="BA64" i="11"/>
  <c r="BA63" i="11"/>
  <c r="BA62" i="11"/>
  <c r="BA61" i="11"/>
  <c r="BA60" i="11"/>
  <c r="BA59" i="11"/>
  <c r="BA58" i="11"/>
  <c r="BA57" i="11"/>
  <c r="BA56" i="11"/>
  <c r="BA55" i="11"/>
  <c r="BA54" i="11"/>
  <c r="BA53" i="11"/>
  <c r="BA52" i="11"/>
  <c r="BA51" i="11"/>
  <c r="BA50" i="11"/>
  <c r="BA49" i="11"/>
  <c r="BA48" i="11"/>
  <c r="BA47" i="11"/>
  <c r="BA46" i="11"/>
  <c r="BA45" i="11"/>
  <c r="BA44" i="11"/>
  <c r="BA43" i="11"/>
  <c r="BA42" i="11"/>
  <c r="BA41" i="11"/>
  <c r="BA40" i="11"/>
  <c r="BA39" i="11"/>
  <c r="BA38" i="11"/>
  <c r="BA37" i="11"/>
  <c r="BA36" i="11"/>
  <c r="BA35" i="11"/>
  <c r="BA34" i="11"/>
  <c r="BA33" i="11"/>
  <c r="BA32" i="11"/>
  <c r="BA31" i="11"/>
  <c r="BB98" i="11"/>
  <c r="BB97" i="11"/>
  <c r="BB96" i="11"/>
  <c r="BB95" i="11"/>
  <c r="BB94" i="11"/>
  <c r="BB93" i="11"/>
  <c r="BB92" i="11"/>
  <c r="BB91" i="11"/>
  <c r="BB90" i="11"/>
  <c r="BB89" i="11"/>
  <c r="BB88" i="11"/>
  <c r="BB87" i="11"/>
  <c r="BB86" i="11"/>
  <c r="BB85" i="11"/>
  <c r="BB84" i="11"/>
  <c r="BB83" i="11"/>
  <c r="BB82" i="11"/>
  <c r="BB81" i="11"/>
  <c r="BB80" i="11"/>
  <c r="BB79" i="11"/>
  <c r="BB78" i="11"/>
  <c r="BB77" i="11"/>
  <c r="BB76" i="11"/>
  <c r="BB75" i="11"/>
  <c r="BB74" i="11"/>
  <c r="BB73" i="11"/>
  <c r="BB72" i="11"/>
  <c r="BB71" i="11"/>
  <c r="BB70" i="11"/>
  <c r="BB69" i="11"/>
  <c r="BB68" i="11"/>
  <c r="BB67" i="11"/>
  <c r="BB66" i="11"/>
  <c r="BB65" i="11"/>
  <c r="BB64" i="11"/>
  <c r="BB63" i="11"/>
  <c r="BB62" i="11"/>
  <c r="BB61" i="11"/>
  <c r="BB60" i="11"/>
  <c r="BB59" i="11"/>
  <c r="BB58" i="11"/>
  <c r="BB57" i="11"/>
  <c r="BB56" i="11"/>
  <c r="BB55" i="11"/>
  <c r="BB54" i="11"/>
  <c r="BB53" i="11"/>
  <c r="BB52" i="11"/>
  <c r="BB51" i="11"/>
  <c r="BB50" i="11"/>
  <c r="BB49" i="11"/>
  <c r="BB48" i="11"/>
  <c r="BB47" i="11"/>
  <c r="BB46" i="11"/>
  <c r="BB45" i="11"/>
  <c r="BB44" i="11"/>
  <c r="BB43" i="11"/>
  <c r="BB42" i="11"/>
  <c r="BB41" i="11"/>
  <c r="BB40" i="11"/>
  <c r="BB39" i="11"/>
  <c r="BB38" i="11"/>
  <c r="BB37" i="11"/>
  <c r="BB36" i="11"/>
  <c r="BB35" i="11"/>
  <c r="BB34" i="11"/>
  <c r="BB33" i="11"/>
  <c r="BB32" i="11"/>
  <c r="BB31" i="11"/>
  <c r="BC98" i="11"/>
  <c r="BC97" i="11"/>
  <c r="BC96" i="11"/>
  <c r="BC95" i="11"/>
  <c r="BC94" i="11"/>
  <c r="BC93" i="11"/>
  <c r="BC92" i="11"/>
  <c r="BC90" i="11"/>
  <c r="BC89" i="11"/>
  <c r="BC88" i="11"/>
  <c r="BC86" i="11"/>
  <c r="BC85" i="11"/>
  <c r="BC84" i="11"/>
  <c r="BC82" i="11"/>
  <c r="BC81" i="11"/>
  <c r="BC80" i="11"/>
  <c r="BC78" i="11"/>
  <c r="BC77" i="11"/>
  <c r="BC76" i="11"/>
  <c r="BC74" i="11"/>
  <c r="BC73" i="11"/>
  <c r="BC72" i="11"/>
  <c r="BC70" i="11"/>
  <c r="BC69" i="11"/>
  <c r="BC68" i="11"/>
  <c r="BC66" i="11"/>
  <c r="BC65" i="11"/>
  <c r="BC64" i="11"/>
  <c r="BC62" i="11"/>
  <c r="BC61" i="11"/>
  <c r="BC60" i="11"/>
  <c r="BC59" i="11"/>
  <c r="BC58" i="11"/>
  <c r="BC57" i="11"/>
  <c r="BC56" i="11"/>
  <c r="BC55" i="11"/>
  <c r="BC54" i="11"/>
  <c r="BC53" i="11"/>
  <c r="BC52" i="11"/>
  <c r="BC51" i="11"/>
  <c r="BC50" i="11"/>
  <c r="BC49" i="11"/>
  <c r="BC48" i="11"/>
  <c r="BC47" i="11"/>
  <c r="BC46" i="11"/>
  <c r="BC45" i="11"/>
  <c r="BC44" i="11"/>
  <c r="BC43" i="11"/>
  <c r="BC42" i="11"/>
  <c r="BC41" i="11"/>
  <c r="BC40" i="11"/>
  <c r="BC39" i="11"/>
  <c r="BC38" i="11"/>
  <c r="BC37" i="11"/>
  <c r="BC36" i="11"/>
  <c r="BC35" i="11"/>
  <c r="BC34" i="11"/>
  <c r="BC33" i="11"/>
  <c r="BC32" i="11"/>
  <c r="BC31" i="11"/>
  <c r="BD98" i="11"/>
  <c r="BD97" i="11"/>
  <c r="BD96" i="11"/>
  <c r="BD95" i="11"/>
  <c r="BD94" i="11"/>
  <c r="BD93" i="11"/>
  <c r="BD92" i="11"/>
  <c r="BD90" i="11"/>
  <c r="BD89" i="11"/>
  <c r="BD88" i="11"/>
  <c r="BD86" i="11"/>
  <c r="BD85" i="11"/>
  <c r="BD84" i="11"/>
  <c r="BD82" i="11"/>
  <c r="BD81" i="11"/>
  <c r="BD80" i="11"/>
  <c r="BD78" i="11"/>
  <c r="BD77" i="11"/>
  <c r="BD76" i="11"/>
  <c r="BD74" i="11"/>
  <c r="BD73" i="11"/>
  <c r="BD72" i="11"/>
  <c r="BD70" i="11"/>
  <c r="BD69" i="11"/>
  <c r="BD68" i="11"/>
  <c r="BD66" i="11"/>
  <c r="BD65" i="11"/>
  <c r="BD64" i="11"/>
  <c r="BD62" i="11"/>
  <c r="BD61" i="11"/>
  <c r="BD60" i="11"/>
  <c r="BD59" i="11"/>
  <c r="BD58" i="11"/>
  <c r="BD57" i="11"/>
  <c r="BD56" i="11"/>
  <c r="BD55" i="11"/>
  <c r="BD54" i="11"/>
  <c r="BD53" i="11"/>
  <c r="BD52" i="11"/>
  <c r="BD51" i="11"/>
  <c r="BD50" i="11"/>
  <c r="BD49" i="11"/>
  <c r="BD48" i="11"/>
  <c r="BD47" i="11"/>
  <c r="BD46" i="11"/>
  <c r="BD45" i="11"/>
  <c r="BD44" i="11"/>
  <c r="BD43" i="11"/>
  <c r="BD42" i="11"/>
  <c r="BD41" i="11"/>
  <c r="BD40" i="11"/>
  <c r="BD39" i="11"/>
  <c r="BD38" i="11"/>
  <c r="BD37" i="11"/>
  <c r="BD36" i="11"/>
  <c r="BD35" i="11"/>
  <c r="BD34" i="11"/>
  <c r="BD33" i="11"/>
  <c r="BD32" i="11"/>
  <c r="BD31" i="11"/>
  <c r="BE98" i="11"/>
  <c r="BE97" i="11"/>
  <c r="BE96" i="11"/>
  <c r="BE95" i="11"/>
  <c r="BE94" i="11"/>
  <c r="BE93" i="11"/>
  <c r="BE92" i="11"/>
  <c r="BE91" i="11"/>
  <c r="BE90" i="11"/>
  <c r="BE89" i="11"/>
  <c r="BE88" i="11"/>
  <c r="BE87" i="11"/>
  <c r="BE86" i="11"/>
  <c r="BE85" i="11"/>
  <c r="BE84" i="11"/>
  <c r="BE83" i="11"/>
  <c r="BE82" i="11"/>
  <c r="BE81" i="11"/>
  <c r="BE80" i="11"/>
  <c r="BE79" i="11"/>
  <c r="BE78" i="11"/>
  <c r="BE77" i="11"/>
  <c r="BE76" i="11"/>
  <c r="BE75" i="11"/>
  <c r="BE74" i="11"/>
  <c r="BE73" i="11"/>
  <c r="BE72" i="11"/>
  <c r="BE71" i="11"/>
  <c r="BE70" i="11"/>
  <c r="BE69" i="11"/>
  <c r="BE68" i="11"/>
  <c r="BE67" i="11"/>
  <c r="BE66" i="11"/>
  <c r="BE65" i="11"/>
  <c r="BE64" i="11"/>
  <c r="BE63" i="11"/>
  <c r="BE62" i="11"/>
  <c r="BE61" i="11"/>
  <c r="BE60" i="11"/>
  <c r="BE59" i="11"/>
  <c r="BE58" i="11"/>
  <c r="BE57" i="11"/>
  <c r="BE56" i="11"/>
  <c r="BE55" i="11"/>
  <c r="BE54" i="11"/>
  <c r="BE53" i="11"/>
  <c r="BE52" i="11"/>
  <c r="BE51" i="11"/>
  <c r="BE50" i="11"/>
  <c r="BE49" i="11"/>
  <c r="BE48" i="11"/>
  <c r="BE47" i="11"/>
  <c r="BE46" i="11"/>
  <c r="BE45" i="11"/>
  <c r="BE44" i="11"/>
  <c r="BE43" i="11"/>
  <c r="BE42" i="11"/>
  <c r="BE41" i="11"/>
  <c r="BE40" i="11"/>
  <c r="BE39" i="11"/>
  <c r="BE38" i="11"/>
  <c r="BE37" i="11"/>
  <c r="BE36" i="11"/>
  <c r="BE35" i="11"/>
  <c r="BE34" i="11"/>
  <c r="BE33" i="11"/>
  <c r="BE32" i="11"/>
  <c r="BE31" i="11"/>
  <c r="BF98" i="11"/>
  <c r="BF97" i="11"/>
  <c r="BF96" i="11"/>
  <c r="BF95" i="11"/>
  <c r="BF94" i="11"/>
  <c r="BF93" i="11"/>
  <c r="BF92" i="11"/>
  <c r="BF90" i="11"/>
  <c r="BF89" i="11"/>
  <c r="BF88" i="11"/>
  <c r="BF86" i="11"/>
  <c r="BF85" i="11"/>
  <c r="BF84" i="11"/>
  <c r="BF82" i="11"/>
  <c r="BF81" i="11"/>
  <c r="BF80" i="11"/>
  <c r="BF78" i="11"/>
  <c r="BF77" i="11"/>
  <c r="BF76" i="11"/>
  <c r="BF74" i="11"/>
  <c r="BF73" i="11"/>
  <c r="BF72" i="11"/>
  <c r="BF70" i="11"/>
  <c r="BF69" i="11"/>
  <c r="BF68" i="11"/>
  <c r="BF66" i="11"/>
  <c r="BF65" i="11"/>
  <c r="BF64" i="11"/>
  <c r="BF62" i="11"/>
  <c r="BF61" i="11"/>
  <c r="BF60" i="11"/>
  <c r="BF59" i="11"/>
  <c r="BF58" i="11"/>
  <c r="BF57" i="11"/>
  <c r="BF56" i="11"/>
  <c r="BF55" i="11"/>
  <c r="BF54" i="11"/>
  <c r="BF53" i="11"/>
  <c r="BF52" i="11"/>
  <c r="BF51" i="11"/>
  <c r="BF50" i="11"/>
  <c r="BF49" i="11"/>
  <c r="BF48" i="11"/>
  <c r="BF47" i="11"/>
  <c r="BF46" i="11"/>
  <c r="BF45" i="11"/>
  <c r="BF44" i="11"/>
  <c r="BF43" i="11"/>
  <c r="BF42" i="11"/>
  <c r="BF41" i="11"/>
  <c r="BF40" i="11"/>
  <c r="BF39" i="11"/>
  <c r="BF38" i="11"/>
  <c r="BF37" i="11"/>
  <c r="BF36" i="11"/>
  <c r="BF35" i="11"/>
  <c r="BF34" i="11"/>
  <c r="BF33" i="11"/>
  <c r="BF32" i="11"/>
  <c r="BF31" i="11"/>
  <c r="BG98" i="11"/>
  <c r="BG97" i="11"/>
  <c r="BG96" i="11"/>
  <c r="BG95" i="11"/>
  <c r="BG94" i="11"/>
  <c r="BG93" i="11"/>
  <c r="BG92" i="11"/>
  <c r="BG91" i="11"/>
  <c r="BG90" i="11"/>
  <c r="BG89" i="11"/>
  <c r="BG88" i="11"/>
  <c r="BG87" i="11"/>
  <c r="BG86" i="11"/>
  <c r="BG85" i="11"/>
  <c r="BG84" i="11"/>
  <c r="BG83" i="11"/>
  <c r="BG82" i="11"/>
  <c r="BG81" i="11"/>
  <c r="BG80" i="11"/>
  <c r="BG79" i="11"/>
  <c r="BG78" i="11"/>
  <c r="BG77" i="11"/>
  <c r="BG76" i="11"/>
  <c r="BG75" i="11"/>
  <c r="BG74" i="11"/>
  <c r="BG73" i="11"/>
  <c r="BG72" i="11"/>
  <c r="BG71" i="11"/>
  <c r="BG70" i="11"/>
  <c r="BG69" i="11"/>
  <c r="BG68" i="11"/>
  <c r="BG67" i="11"/>
  <c r="BG66" i="11"/>
  <c r="BG65" i="11"/>
  <c r="BG64" i="11"/>
  <c r="BG63" i="11"/>
  <c r="BG62" i="11"/>
  <c r="BG61" i="11"/>
  <c r="BG60" i="11"/>
  <c r="BG59" i="11"/>
  <c r="BG58" i="11"/>
  <c r="BG57" i="11"/>
  <c r="BG56" i="11"/>
  <c r="BG55" i="11"/>
  <c r="BG54" i="11"/>
  <c r="BG53" i="11"/>
  <c r="BG52" i="11"/>
  <c r="BG51" i="11"/>
  <c r="BG50" i="11"/>
  <c r="BG49" i="11"/>
  <c r="BG48" i="11"/>
  <c r="BG47" i="11"/>
  <c r="BG46" i="11"/>
  <c r="BG45" i="11"/>
  <c r="BG44" i="11"/>
  <c r="BG43" i="11"/>
  <c r="BG42" i="11"/>
  <c r="BG41" i="11"/>
  <c r="BG40" i="11"/>
  <c r="BG39" i="11"/>
  <c r="BG38" i="11"/>
  <c r="BG37" i="11"/>
  <c r="BG36" i="11"/>
  <c r="BG35" i="11"/>
  <c r="BG34" i="11"/>
  <c r="BG33" i="11"/>
  <c r="BG32" i="11"/>
  <c r="BG31" i="11"/>
  <c r="BH98" i="11"/>
  <c r="BH97" i="11"/>
  <c r="BH96" i="11"/>
  <c r="BH95" i="11"/>
  <c r="BH94" i="11"/>
  <c r="BH93" i="11"/>
  <c r="BH92" i="11"/>
  <c r="BH90" i="11"/>
  <c r="BH89" i="11"/>
  <c r="BH88" i="11"/>
  <c r="BH86" i="11"/>
  <c r="BH85" i="11"/>
  <c r="BH84" i="11"/>
  <c r="BH82" i="11"/>
  <c r="BH81" i="11"/>
  <c r="BH80" i="11"/>
  <c r="BH78" i="11"/>
  <c r="BH77" i="11"/>
  <c r="BH76" i="11"/>
  <c r="BH74" i="11"/>
  <c r="BH73" i="11"/>
  <c r="BH72" i="11"/>
  <c r="BH70" i="11"/>
  <c r="BH69" i="11"/>
  <c r="BH68" i="11"/>
  <c r="BH66" i="11"/>
  <c r="BH65" i="11"/>
  <c r="BH64" i="11"/>
  <c r="BH62" i="11"/>
  <c r="BH61" i="11"/>
  <c r="BH60" i="11"/>
  <c r="BH59" i="11"/>
  <c r="BH58" i="11"/>
  <c r="BH57" i="11"/>
  <c r="BH56" i="11"/>
  <c r="BH55" i="11"/>
  <c r="BH54" i="11"/>
  <c r="BH53" i="11"/>
  <c r="BH52" i="11"/>
  <c r="BH51" i="11"/>
  <c r="BH50" i="11"/>
  <c r="BH49" i="11"/>
  <c r="BH48" i="11"/>
  <c r="BH47" i="11"/>
  <c r="BH46" i="11"/>
  <c r="BH45" i="11"/>
  <c r="BH44" i="11"/>
  <c r="BH43" i="11"/>
  <c r="BH42" i="11"/>
  <c r="BH41" i="11"/>
  <c r="BH40" i="11"/>
  <c r="BH39" i="11"/>
  <c r="BH38" i="11"/>
  <c r="BH37" i="11"/>
  <c r="BH36" i="11"/>
  <c r="BH35" i="11"/>
  <c r="BH34" i="11"/>
  <c r="BH33" i="11"/>
  <c r="BH32" i="11"/>
  <c r="BH31" i="11"/>
  <c r="BI98" i="11"/>
  <c r="BI97" i="11"/>
  <c r="BI96" i="11"/>
  <c r="BI95" i="11"/>
  <c r="BI94" i="11"/>
  <c r="BI93" i="11"/>
  <c r="BI92" i="11"/>
  <c r="BI91" i="11"/>
  <c r="BI90" i="11"/>
  <c r="BI89" i="11"/>
  <c r="BI88" i="11"/>
  <c r="BI87" i="11"/>
  <c r="BI86" i="11"/>
  <c r="BI85" i="11"/>
  <c r="BI84" i="11"/>
  <c r="BI83" i="11"/>
  <c r="BI82" i="11"/>
  <c r="BI81" i="11"/>
  <c r="BI80" i="11"/>
  <c r="BI79" i="11"/>
  <c r="BI78" i="11"/>
  <c r="BI77" i="11"/>
  <c r="BI76" i="11"/>
  <c r="BI75" i="11"/>
  <c r="BI74" i="11"/>
  <c r="BI73" i="11"/>
  <c r="BI72" i="11"/>
  <c r="BI71" i="11"/>
  <c r="BI70" i="11"/>
  <c r="BI69" i="11"/>
  <c r="BI68" i="11"/>
  <c r="BI67" i="11"/>
  <c r="BI66" i="11"/>
  <c r="BI65" i="11"/>
  <c r="BI64" i="11"/>
  <c r="BI63" i="11"/>
  <c r="BI62" i="11"/>
  <c r="BI61" i="11"/>
  <c r="BI60" i="11"/>
  <c r="BI59" i="11"/>
  <c r="BI58" i="11"/>
  <c r="BI57" i="11"/>
  <c r="BI56" i="11"/>
  <c r="BI55" i="11"/>
  <c r="BI54" i="11"/>
  <c r="BI53" i="11"/>
  <c r="BI52" i="11"/>
  <c r="BI51" i="11"/>
  <c r="BI50" i="11"/>
  <c r="BI49" i="11"/>
  <c r="BI48" i="11"/>
  <c r="BI47" i="11"/>
  <c r="BI46" i="11"/>
  <c r="BI45" i="11"/>
  <c r="BI44" i="11"/>
  <c r="BI43" i="11"/>
  <c r="BI42" i="11"/>
  <c r="BI41" i="11"/>
  <c r="BI40" i="11"/>
  <c r="BI39" i="11"/>
  <c r="BI38" i="11"/>
  <c r="BI37" i="11"/>
  <c r="BI36" i="11"/>
  <c r="BI35" i="11"/>
  <c r="BI34" i="11"/>
  <c r="BI33" i="11"/>
  <c r="BI32" i="11"/>
  <c r="BI31" i="11"/>
  <c r="BJ98" i="11"/>
  <c r="BJ97" i="11"/>
  <c r="BJ96" i="11"/>
  <c r="BJ95" i="11"/>
  <c r="BJ94" i="11"/>
  <c r="BJ93" i="11"/>
  <c r="BJ92" i="11"/>
  <c r="BJ90" i="11"/>
  <c r="BJ89" i="11"/>
  <c r="BJ88" i="11"/>
  <c r="BJ86" i="11"/>
  <c r="BJ85" i="11"/>
  <c r="BJ84" i="11"/>
  <c r="BJ82" i="11"/>
  <c r="BJ81" i="11"/>
  <c r="BJ80" i="11"/>
  <c r="BJ78" i="11"/>
  <c r="BJ77" i="11"/>
  <c r="BJ76" i="11"/>
  <c r="BJ74" i="11"/>
  <c r="BJ73" i="11"/>
  <c r="BJ72" i="11"/>
  <c r="BJ70" i="11"/>
  <c r="BJ69" i="11"/>
  <c r="BJ68" i="11"/>
  <c r="BJ66" i="11"/>
  <c r="BJ65" i="11"/>
  <c r="BJ64" i="11"/>
  <c r="BJ62" i="11"/>
  <c r="BJ61" i="11"/>
  <c r="BJ60" i="11"/>
  <c r="BJ59" i="11"/>
  <c r="BJ58" i="11"/>
  <c r="BJ57" i="11"/>
  <c r="BJ56" i="11"/>
  <c r="BJ55" i="11"/>
  <c r="BJ54" i="11"/>
  <c r="BJ53" i="11"/>
  <c r="BJ52" i="11"/>
  <c r="BJ51" i="11"/>
  <c r="BJ50" i="11"/>
  <c r="BJ49" i="11"/>
  <c r="BJ48" i="11"/>
  <c r="BJ47" i="11"/>
  <c r="BJ46" i="11"/>
  <c r="BJ45" i="11"/>
  <c r="BJ44" i="11"/>
  <c r="BJ43" i="11"/>
  <c r="BJ42" i="11"/>
  <c r="BJ41" i="11"/>
  <c r="BJ40" i="11"/>
  <c r="BJ39" i="11"/>
  <c r="BJ38" i="11"/>
  <c r="BJ37" i="11"/>
  <c r="BJ36" i="11"/>
  <c r="BJ35" i="11"/>
  <c r="BJ34" i="11"/>
  <c r="BJ33" i="11"/>
  <c r="BJ32" i="11"/>
  <c r="BJ31" i="11"/>
  <c r="BK98" i="11"/>
  <c r="BK97" i="11"/>
  <c r="BK96" i="11"/>
  <c r="BK95" i="11"/>
  <c r="BK94" i="11"/>
  <c r="BK93" i="11"/>
  <c r="BK92" i="11"/>
  <c r="BK90" i="11"/>
  <c r="BK89" i="11"/>
  <c r="BK88" i="11"/>
  <c r="BK86" i="11"/>
  <c r="BK85" i="11"/>
  <c r="BK84" i="11"/>
  <c r="BK82" i="11"/>
  <c r="BK81" i="11"/>
  <c r="BK80" i="11"/>
  <c r="BK78" i="11"/>
  <c r="BK77" i="11"/>
  <c r="BK76" i="11"/>
  <c r="BK74" i="11"/>
  <c r="BK73" i="11"/>
  <c r="BK72" i="11"/>
  <c r="BK70" i="11"/>
  <c r="BK69" i="11"/>
  <c r="BK68" i="11"/>
  <c r="BK66" i="11"/>
  <c r="BK65" i="11"/>
  <c r="BK64" i="11"/>
  <c r="BK62" i="11"/>
  <c r="BK61" i="11"/>
  <c r="BK60" i="11"/>
  <c r="BK59" i="11"/>
  <c r="BK58" i="11"/>
  <c r="BK57" i="11"/>
  <c r="BK56" i="11"/>
  <c r="BK55" i="11"/>
  <c r="BK54" i="11"/>
  <c r="BK53" i="11"/>
  <c r="BK52" i="11"/>
  <c r="BK51" i="11"/>
  <c r="BK50" i="11"/>
  <c r="BK49" i="11"/>
  <c r="BK48" i="11"/>
  <c r="BK47" i="11"/>
  <c r="BK46" i="11"/>
  <c r="BK45" i="11"/>
  <c r="BK44" i="11"/>
  <c r="BK43" i="11"/>
  <c r="BK42" i="11"/>
  <c r="BK41" i="11"/>
  <c r="BK40" i="11"/>
  <c r="BK39" i="11"/>
  <c r="BK38" i="11"/>
  <c r="BK37" i="11"/>
  <c r="BK36" i="11"/>
  <c r="BK35" i="11"/>
  <c r="BK34" i="11"/>
  <c r="BK33" i="11"/>
  <c r="BK32" i="11"/>
  <c r="BK31" i="11"/>
  <c r="BL98" i="11"/>
  <c r="BL97" i="11"/>
  <c r="BL96" i="11"/>
  <c r="BL95" i="11"/>
  <c r="BL94" i="11"/>
  <c r="BL93" i="11"/>
  <c r="BL92" i="11"/>
  <c r="BL90" i="11"/>
  <c r="BL89" i="11"/>
  <c r="BL88" i="11"/>
  <c r="BL86" i="11"/>
  <c r="BL85" i="11"/>
  <c r="BL84" i="11"/>
  <c r="BL82" i="11"/>
  <c r="BL81" i="11"/>
  <c r="BL80" i="11"/>
  <c r="BL78" i="11"/>
  <c r="BL77" i="11"/>
  <c r="BL76" i="11"/>
  <c r="BL74" i="11"/>
  <c r="BL73" i="11"/>
  <c r="BL72" i="11"/>
  <c r="BL70" i="11"/>
  <c r="BL69" i="11"/>
  <c r="BL68" i="11"/>
  <c r="BL66" i="11"/>
  <c r="BL65" i="11"/>
  <c r="BL64" i="11"/>
  <c r="BL62" i="11"/>
  <c r="BL61" i="11"/>
  <c r="BL60" i="11"/>
  <c r="BL59" i="11"/>
  <c r="BL58" i="11"/>
  <c r="BL57" i="11"/>
  <c r="BL56" i="11"/>
  <c r="BL55" i="11"/>
  <c r="BL54" i="11"/>
  <c r="BL53" i="11"/>
  <c r="BL52" i="11"/>
  <c r="BL51" i="11"/>
  <c r="BL50" i="11"/>
  <c r="BL49" i="11"/>
  <c r="BL48" i="11"/>
  <c r="BL47" i="11"/>
  <c r="BL46" i="11"/>
  <c r="BL45" i="11"/>
  <c r="BL44" i="11"/>
  <c r="BL43" i="11"/>
  <c r="BL42" i="11"/>
  <c r="BL41" i="11"/>
  <c r="BL40" i="11"/>
  <c r="BL39" i="11"/>
  <c r="BL38" i="11"/>
  <c r="BL37" i="11"/>
  <c r="BL36" i="11"/>
  <c r="BL35" i="11"/>
  <c r="BL34" i="11"/>
  <c r="BL33" i="11"/>
  <c r="BL32" i="11"/>
  <c r="BL31" i="11"/>
  <c r="BM98" i="11"/>
  <c r="BM97" i="11"/>
  <c r="BM96" i="11"/>
  <c r="BM95" i="11"/>
  <c r="BM94" i="11"/>
  <c r="BM93" i="11"/>
  <c r="BM90" i="11"/>
  <c r="BM89" i="11"/>
  <c r="BM86" i="11"/>
  <c r="BM85" i="11"/>
  <c r="BM82" i="11"/>
  <c r="BM81" i="11"/>
  <c r="BM78" i="11"/>
  <c r="BM77" i="11"/>
  <c r="BM76" i="11"/>
  <c r="BM74" i="11"/>
  <c r="BM73" i="11"/>
  <c r="BM72" i="11"/>
  <c r="BM70" i="11"/>
  <c r="BM69" i="11"/>
  <c r="BM68" i="11"/>
  <c r="BM66" i="11"/>
  <c r="BM65" i="11"/>
  <c r="BM64" i="11"/>
  <c r="BM62" i="11"/>
  <c r="BM61" i="11"/>
  <c r="BM59" i="11"/>
  <c r="BM58" i="11"/>
  <c r="BM57" i="11"/>
  <c r="BM55" i="11"/>
  <c r="BM54" i="11"/>
  <c r="BM53" i="11"/>
  <c r="BM51" i="11"/>
  <c r="BM50" i="11"/>
  <c r="BM49" i="11"/>
  <c r="BM47" i="11"/>
  <c r="BM46" i="11"/>
  <c r="BM45" i="11"/>
  <c r="BM44" i="11"/>
  <c r="BM43" i="11"/>
  <c r="BM42" i="11"/>
  <c r="BM41" i="11"/>
  <c r="BM40" i="11"/>
  <c r="BM39" i="11"/>
  <c r="BM38" i="11"/>
  <c r="BM37" i="11"/>
  <c r="BM36" i="11"/>
  <c r="BM35" i="11"/>
  <c r="BM34" i="11"/>
  <c r="BM33" i="11"/>
  <c r="BM32" i="11"/>
  <c r="BM31" i="11"/>
  <c r="BN98" i="11"/>
  <c r="BN97" i="11"/>
  <c r="BN96" i="11"/>
  <c r="BN95" i="11"/>
  <c r="BN94" i="11"/>
  <c r="BN93" i="11"/>
  <c r="BN92" i="11"/>
  <c r="BN91" i="11"/>
  <c r="BN90" i="11"/>
  <c r="BN89" i="11"/>
  <c r="BN88" i="11"/>
  <c r="BN87" i="11"/>
  <c r="BN86" i="11"/>
  <c r="BN85" i="11"/>
  <c r="BN84" i="11"/>
  <c r="BN83" i="11"/>
  <c r="BN82" i="11"/>
  <c r="BN81" i="11"/>
  <c r="BN80" i="11"/>
  <c r="BN79" i="11"/>
  <c r="BN78" i="11"/>
  <c r="BN77" i="11"/>
  <c r="BN76" i="11"/>
  <c r="BN75" i="11"/>
  <c r="BN74" i="11"/>
  <c r="BN73" i="11"/>
  <c r="BN72" i="11"/>
  <c r="BN71" i="11"/>
  <c r="BN70" i="11"/>
  <c r="BN69" i="11"/>
  <c r="BN68" i="11"/>
  <c r="BN67" i="11"/>
  <c r="BN66" i="11"/>
  <c r="BN65" i="11"/>
  <c r="BN64" i="11"/>
  <c r="BN63" i="11"/>
  <c r="BN62" i="11"/>
  <c r="BN61" i="11"/>
  <c r="BN60" i="11"/>
  <c r="BN59" i="11"/>
  <c r="BN58" i="11"/>
  <c r="BN57" i="11"/>
  <c r="BN56" i="11"/>
  <c r="BN55" i="11"/>
  <c r="BN54" i="11"/>
  <c r="BN53" i="11"/>
  <c r="BN52" i="11"/>
  <c r="BN51" i="11"/>
  <c r="BN50" i="11"/>
  <c r="BN49" i="11"/>
  <c r="BN48" i="11"/>
  <c r="BN47" i="11"/>
  <c r="BN46" i="11"/>
  <c r="BN45" i="11"/>
  <c r="BN44" i="11"/>
  <c r="BN43" i="11"/>
  <c r="BN42" i="11"/>
  <c r="BN41" i="11"/>
  <c r="BN40" i="11"/>
  <c r="BN39" i="11"/>
  <c r="BN38" i="11"/>
  <c r="BN37" i="11"/>
  <c r="BN36" i="11"/>
  <c r="BN35" i="11"/>
  <c r="BN34" i="11"/>
  <c r="BN33" i="11"/>
  <c r="BN32" i="11"/>
  <c r="BN31" i="11"/>
  <c r="BO98" i="11"/>
  <c r="BO97" i="11"/>
  <c r="BO96" i="11"/>
  <c r="BO95" i="11"/>
  <c r="BO94" i="11"/>
  <c r="BO93" i="11"/>
  <c r="BO92" i="11"/>
  <c r="BO91" i="11"/>
  <c r="BO90" i="11"/>
  <c r="BO89" i="11"/>
  <c r="BO88" i="11"/>
  <c r="BO87" i="11"/>
  <c r="BO86" i="11"/>
  <c r="BO85" i="11"/>
  <c r="BO84" i="11"/>
  <c r="BO83" i="11"/>
  <c r="BO82" i="11"/>
  <c r="BO81" i="11"/>
  <c r="BO80" i="11"/>
  <c r="BO79" i="11"/>
  <c r="BO78" i="11"/>
  <c r="BO77" i="11"/>
  <c r="BO76" i="11"/>
  <c r="BO75" i="11"/>
  <c r="BO74" i="11"/>
  <c r="BO73" i="11"/>
  <c r="BO72" i="11"/>
  <c r="BO71" i="11"/>
  <c r="BO70" i="11"/>
  <c r="BO69" i="11"/>
  <c r="BO68" i="11"/>
  <c r="BO67" i="11"/>
  <c r="BO66" i="11"/>
  <c r="BO65" i="11"/>
  <c r="BO64" i="11"/>
  <c r="BO63" i="11"/>
  <c r="BO62" i="11"/>
  <c r="BO61" i="11"/>
  <c r="BO60" i="11"/>
  <c r="BO59" i="11"/>
  <c r="BO58" i="11"/>
  <c r="BO57" i="11"/>
  <c r="BO56" i="11"/>
  <c r="BO55" i="11"/>
  <c r="BO54" i="11"/>
  <c r="BO53" i="11"/>
  <c r="BO52" i="11"/>
  <c r="BO51" i="11"/>
  <c r="BO50" i="11"/>
  <c r="BO49" i="11"/>
  <c r="BO48" i="11"/>
  <c r="BO47" i="11"/>
  <c r="BO46" i="11"/>
  <c r="BO45" i="11"/>
  <c r="BO44" i="11"/>
  <c r="BO43" i="11"/>
  <c r="BO42" i="11"/>
  <c r="BO41" i="11"/>
  <c r="BO40" i="11"/>
  <c r="BO39" i="11"/>
  <c r="BO38" i="11"/>
  <c r="BO37" i="11"/>
  <c r="BO36" i="11"/>
  <c r="BO35" i="11"/>
  <c r="BO34" i="11"/>
  <c r="BO33" i="11"/>
  <c r="BO32" i="11"/>
  <c r="BO31" i="11"/>
  <c r="BP98" i="11"/>
  <c r="BP97" i="11"/>
  <c r="BP96" i="11"/>
  <c r="BP95" i="11"/>
  <c r="BP94" i="11"/>
  <c r="BP93" i="11"/>
  <c r="BP92" i="11"/>
  <c r="BP90" i="11"/>
  <c r="BP89" i="11"/>
  <c r="BP88" i="11"/>
  <c r="BP86" i="11"/>
  <c r="BP85" i="11"/>
  <c r="BP84" i="11"/>
  <c r="BP82" i="11"/>
  <c r="BP81" i="11"/>
  <c r="BP80" i="11"/>
  <c r="BP78" i="11"/>
  <c r="BP77" i="11"/>
  <c r="BP76" i="11"/>
  <c r="BP74" i="11"/>
  <c r="BP73" i="11"/>
  <c r="BP72" i="11"/>
  <c r="BP70" i="11"/>
  <c r="BP69" i="11"/>
  <c r="BP68" i="11"/>
  <c r="BP66" i="11"/>
  <c r="BP65" i="11"/>
  <c r="BP64" i="11"/>
  <c r="BP62" i="11"/>
  <c r="BP61" i="11"/>
  <c r="BP60" i="11"/>
  <c r="BP59" i="11"/>
  <c r="BP58" i="11"/>
  <c r="BP57" i="11"/>
  <c r="BP56" i="11"/>
  <c r="BP55" i="11"/>
  <c r="BP54" i="11"/>
  <c r="BP53" i="11"/>
  <c r="BP52" i="11"/>
  <c r="BP51" i="11"/>
  <c r="BP50" i="11"/>
  <c r="BP49" i="11"/>
  <c r="BP48" i="11"/>
  <c r="BP47" i="11"/>
  <c r="BP46" i="11"/>
  <c r="BP45" i="11"/>
  <c r="BP44" i="11"/>
  <c r="BP43" i="11"/>
  <c r="BP42" i="11"/>
  <c r="BP41" i="11"/>
  <c r="BP40" i="11"/>
  <c r="BP39" i="11"/>
  <c r="BP38" i="11"/>
  <c r="BP37" i="11"/>
  <c r="BP36" i="11"/>
  <c r="BP35" i="11"/>
  <c r="BP34" i="11"/>
  <c r="BP33" i="11"/>
  <c r="BP32" i="11"/>
  <c r="BP31" i="11"/>
  <c r="BQ98" i="11"/>
  <c r="BQ97" i="11"/>
  <c r="BQ96" i="11"/>
  <c r="BQ95" i="11"/>
  <c r="BQ94" i="11"/>
  <c r="BQ93" i="11"/>
  <c r="BQ90" i="11"/>
  <c r="BQ89" i="11"/>
  <c r="BQ86" i="11"/>
  <c r="BQ85" i="11"/>
  <c r="BQ82" i="11"/>
  <c r="BQ81" i="11"/>
  <c r="BQ78" i="11"/>
  <c r="BQ77" i="11"/>
  <c r="BQ76" i="11"/>
  <c r="BQ74" i="11"/>
  <c r="BQ73" i="11"/>
  <c r="BQ72" i="11"/>
  <c r="BQ70" i="11"/>
  <c r="BQ69" i="11"/>
  <c r="BQ68" i="11"/>
  <c r="BQ66" i="11"/>
  <c r="BQ65" i="11"/>
  <c r="BQ64" i="11"/>
  <c r="BQ62" i="11"/>
  <c r="BQ61" i="11"/>
  <c r="BQ59" i="11"/>
  <c r="BQ58" i="11"/>
  <c r="BQ57" i="11"/>
  <c r="BQ55" i="11"/>
  <c r="BQ54" i="11"/>
  <c r="BQ53" i="11"/>
  <c r="BQ51" i="11"/>
  <c r="BQ50" i="11"/>
  <c r="BQ49" i="11"/>
  <c r="BQ47" i="11"/>
  <c r="BQ46" i="11"/>
  <c r="BQ45" i="11"/>
  <c r="BQ44" i="11"/>
  <c r="BQ43" i="11"/>
  <c r="BQ42" i="11"/>
  <c r="BQ41" i="11"/>
  <c r="BQ40" i="11"/>
  <c r="BQ39" i="11"/>
  <c r="BQ38" i="11"/>
  <c r="BQ37" i="11"/>
  <c r="BQ36" i="11"/>
  <c r="BQ35" i="11"/>
  <c r="BQ34" i="11"/>
  <c r="BQ33" i="11"/>
  <c r="BQ32" i="11"/>
  <c r="BQ31" i="11"/>
  <c r="BR98" i="11"/>
  <c r="BR97" i="11"/>
  <c r="BR96" i="11"/>
  <c r="BR95" i="11"/>
  <c r="BR94" i="11"/>
  <c r="BR93" i="11"/>
  <c r="BR92" i="11"/>
  <c r="BR91" i="11"/>
  <c r="BR90" i="11"/>
  <c r="BR89" i="11"/>
  <c r="BR88" i="11"/>
  <c r="BR87" i="11"/>
  <c r="BR86" i="11"/>
  <c r="BR85" i="11"/>
  <c r="BR84" i="11"/>
  <c r="BR83" i="11"/>
  <c r="BR82" i="11"/>
  <c r="BR81" i="11"/>
  <c r="BR80" i="11"/>
  <c r="BR79" i="11"/>
  <c r="BR78" i="11"/>
  <c r="BR77" i="11"/>
  <c r="BR76" i="11"/>
  <c r="BR75" i="11"/>
  <c r="BR74" i="11"/>
  <c r="BR73" i="11"/>
  <c r="BR72" i="11"/>
  <c r="BR71" i="11"/>
  <c r="BR70" i="11"/>
  <c r="BR69" i="11"/>
  <c r="BR68" i="11"/>
  <c r="BR67" i="11"/>
  <c r="BR66" i="11"/>
  <c r="BR65" i="11"/>
  <c r="BR64" i="11"/>
  <c r="BR63" i="11"/>
  <c r="BR62" i="11"/>
  <c r="BR61" i="11"/>
  <c r="BR60" i="11"/>
  <c r="BR59" i="11"/>
  <c r="BR58" i="11"/>
  <c r="BR57" i="11"/>
  <c r="BR56" i="11"/>
  <c r="BR55" i="11"/>
  <c r="BR54" i="11"/>
  <c r="BR53" i="11"/>
  <c r="BR52" i="11"/>
  <c r="BR51" i="11"/>
  <c r="BR50" i="11"/>
  <c r="BR49" i="11"/>
  <c r="BR48" i="11"/>
  <c r="BR47" i="11"/>
  <c r="BR46" i="11"/>
  <c r="BR45" i="11"/>
  <c r="BR44" i="11"/>
  <c r="BR43" i="11"/>
  <c r="BR42" i="11"/>
  <c r="BR41" i="11"/>
  <c r="BR40" i="11"/>
  <c r="BR39" i="11"/>
  <c r="BR38" i="11"/>
  <c r="BR37" i="11"/>
  <c r="BR36" i="11"/>
  <c r="BR35" i="11"/>
  <c r="BR34" i="11"/>
  <c r="BR33" i="11"/>
  <c r="BR32" i="11"/>
  <c r="BR31" i="11"/>
  <c r="BS98" i="11"/>
  <c r="BS97" i="11"/>
  <c r="BS96" i="11"/>
  <c r="BS95" i="11"/>
  <c r="BS94" i="11"/>
  <c r="BS93" i="11"/>
  <c r="BS92" i="11"/>
  <c r="BS90" i="11"/>
  <c r="BS89" i="11"/>
  <c r="BS88" i="11"/>
  <c r="BS86" i="11"/>
  <c r="BS85" i="11"/>
  <c r="BS84" i="11"/>
  <c r="BS82" i="11"/>
  <c r="BS81" i="11"/>
  <c r="BS80" i="11"/>
  <c r="BS78" i="11"/>
  <c r="BS77" i="11"/>
  <c r="BS76" i="11"/>
  <c r="BS74" i="11"/>
  <c r="BS73" i="11"/>
  <c r="BS72" i="11"/>
  <c r="BS70" i="11"/>
  <c r="BS69" i="11"/>
  <c r="BS68" i="11"/>
  <c r="BS66" i="11"/>
  <c r="BS65" i="11"/>
  <c r="BS64" i="11"/>
  <c r="BS62" i="11"/>
  <c r="BS61" i="11"/>
  <c r="BS60" i="11"/>
  <c r="BS59" i="11"/>
  <c r="BS58" i="11"/>
  <c r="BS57" i="11"/>
  <c r="BS56" i="11"/>
  <c r="BS55" i="11"/>
  <c r="BS54" i="11"/>
  <c r="BS53" i="11"/>
  <c r="BS52" i="11"/>
  <c r="BS51" i="11"/>
  <c r="BS50" i="11"/>
  <c r="BS49" i="11"/>
  <c r="BS48" i="11"/>
  <c r="BS47" i="11"/>
  <c r="BS46" i="11"/>
  <c r="BS45" i="11"/>
  <c r="BS44" i="11"/>
  <c r="BS43" i="11"/>
  <c r="BS42" i="11"/>
  <c r="BS41" i="11"/>
  <c r="BS40" i="11"/>
  <c r="BS39" i="11"/>
  <c r="BS38" i="11"/>
  <c r="BS37" i="11"/>
  <c r="BS36" i="11"/>
  <c r="BS35" i="11"/>
  <c r="BS34" i="11"/>
  <c r="BS33" i="11"/>
  <c r="BS32" i="11"/>
  <c r="BS31" i="11"/>
  <c r="BT98" i="11"/>
  <c r="BT97" i="11"/>
  <c r="BT96" i="11"/>
  <c r="BT95" i="11"/>
  <c r="BT94" i="11"/>
  <c r="BT93" i="11"/>
  <c r="BT92" i="11"/>
  <c r="BT90" i="11"/>
  <c r="BT89" i="11"/>
  <c r="BT88" i="11"/>
  <c r="BT86" i="11"/>
  <c r="BT85" i="11"/>
  <c r="BT84" i="11"/>
  <c r="BT82" i="11"/>
  <c r="BT81" i="11"/>
  <c r="BT80" i="11"/>
  <c r="BT78" i="11"/>
  <c r="BT77" i="11"/>
  <c r="BT76" i="11"/>
  <c r="BT74" i="11"/>
  <c r="BT73" i="11"/>
  <c r="BT72" i="11"/>
  <c r="BT70" i="11"/>
  <c r="BT69" i="11"/>
  <c r="BT68" i="11"/>
  <c r="BT66" i="11"/>
  <c r="BT65" i="11"/>
  <c r="BT64" i="11"/>
  <c r="BT62" i="11"/>
  <c r="BT61" i="11"/>
  <c r="BT60" i="11"/>
  <c r="BT59" i="11"/>
  <c r="BT58" i="11"/>
  <c r="BT57" i="11"/>
  <c r="BT56" i="11"/>
  <c r="BT55" i="11"/>
  <c r="BT54" i="11"/>
  <c r="BT53" i="11"/>
  <c r="BT52" i="11"/>
  <c r="BT51" i="11"/>
  <c r="BT50" i="11"/>
  <c r="BT49" i="11"/>
  <c r="BT48" i="11"/>
  <c r="BT47" i="11"/>
  <c r="BT46" i="11"/>
  <c r="BT45" i="11"/>
  <c r="BT44" i="11"/>
  <c r="BT43" i="11"/>
  <c r="BT42" i="11"/>
  <c r="BT41" i="11"/>
  <c r="BT40" i="11"/>
  <c r="BT39" i="11"/>
  <c r="BT38" i="11"/>
  <c r="BT37" i="11"/>
  <c r="BT36" i="11"/>
  <c r="BT35" i="11"/>
  <c r="BT34" i="11"/>
  <c r="BT33" i="11"/>
  <c r="BT32" i="11"/>
  <c r="BT31" i="11"/>
  <c r="BU98" i="11"/>
  <c r="BU97" i="11"/>
  <c r="BU96" i="11"/>
  <c r="BU95" i="11"/>
  <c r="BU94" i="11"/>
  <c r="BU93" i="11"/>
  <c r="BU90" i="11"/>
  <c r="BU89" i="11"/>
  <c r="BU86" i="11"/>
  <c r="BU85" i="11"/>
  <c r="BU82" i="11"/>
  <c r="BU81" i="11"/>
  <c r="BU78" i="11"/>
  <c r="BU77" i="11"/>
  <c r="BU76" i="11"/>
  <c r="BU74" i="11"/>
  <c r="BU73" i="11"/>
  <c r="BU72" i="11"/>
  <c r="BU70" i="11"/>
  <c r="BU69" i="11"/>
  <c r="BU68" i="11"/>
  <c r="BU66" i="11"/>
  <c r="BU65" i="11"/>
  <c r="BU64" i="11"/>
  <c r="BU62" i="11"/>
  <c r="BU61" i="11"/>
  <c r="BU59" i="11"/>
  <c r="BU58" i="11"/>
  <c r="BU57" i="11"/>
  <c r="BU55" i="11"/>
  <c r="BU54" i="11"/>
  <c r="BU53" i="11"/>
  <c r="BU51" i="11"/>
  <c r="BU50" i="11"/>
  <c r="BU49" i="11"/>
  <c r="BU47" i="11"/>
  <c r="BU46" i="11"/>
  <c r="BU45" i="11"/>
  <c r="BU44" i="11"/>
  <c r="BU43" i="11"/>
  <c r="BU42" i="11"/>
  <c r="BU41" i="11"/>
  <c r="BU40" i="11"/>
  <c r="BU39" i="11"/>
  <c r="BU38" i="11"/>
  <c r="BU37" i="11"/>
  <c r="BU36" i="11"/>
  <c r="BU35" i="11"/>
  <c r="BU34" i="11"/>
  <c r="BU33" i="11"/>
  <c r="BU32" i="11"/>
  <c r="BU31" i="11"/>
  <c r="BV98" i="11"/>
  <c r="BV97" i="11"/>
  <c r="BV96" i="11"/>
  <c r="BV95" i="11"/>
  <c r="BV94" i="11"/>
  <c r="BV93" i="11"/>
  <c r="BV92" i="11"/>
  <c r="BV90" i="11"/>
  <c r="BV89" i="11"/>
  <c r="BV88" i="11"/>
  <c r="BV86" i="11"/>
  <c r="BV85" i="11"/>
  <c r="BV84" i="11"/>
  <c r="BV82" i="11"/>
  <c r="BV81" i="11"/>
  <c r="BV80" i="11"/>
  <c r="BV78" i="11"/>
  <c r="BV77" i="11"/>
  <c r="BV76" i="11"/>
  <c r="BV74" i="11"/>
  <c r="BV73" i="11"/>
  <c r="BV72" i="11"/>
  <c r="BV70" i="11"/>
  <c r="BV69" i="11"/>
  <c r="BV68" i="11"/>
  <c r="BV66" i="11"/>
  <c r="BV65" i="11"/>
  <c r="BV64" i="11"/>
  <c r="BV62" i="11"/>
  <c r="BV61" i="11"/>
  <c r="BV60" i="11"/>
  <c r="BV59" i="11"/>
  <c r="BV58" i="11"/>
  <c r="BV57" i="11"/>
  <c r="BV56" i="11"/>
  <c r="BV55" i="11"/>
  <c r="BV54" i="11"/>
  <c r="BV53" i="11"/>
  <c r="BV52" i="11"/>
  <c r="BV51" i="11"/>
  <c r="BV50" i="11"/>
  <c r="BV49" i="11"/>
  <c r="BV48" i="11"/>
  <c r="BV47" i="11"/>
  <c r="BV46" i="11"/>
  <c r="BV45" i="11"/>
  <c r="BV44" i="11"/>
  <c r="BV43" i="11"/>
  <c r="BV42" i="11"/>
  <c r="BV41" i="11"/>
  <c r="BV40" i="11"/>
  <c r="BV39" i="11"/>
  <c r="BV38" i="11"/>
  <c r="BV37" i="11"/>
  <c r="BV36" i="11"/>
  <c r="BV35" i="11"/>
  <c r="BV34" i="11"/>
  <c r="BV33" i="11"/>
  <c r="BV32" i="11"/>
  <c r="BV31" i="11"/>
  <c r="BW98" i="11"/>
  <c r="BW97" i="11"/>
  <c r="BW96" i="11"/>
  <c r="BW95" i="11"/>
  <c r="BW94" i="11"/>
  <c r="BW93" i="11"/>
  <c r="BW92" i="11"/>
  <c r="BW91" i="11"/>
  <c r="BW90" i="11"/>
  <c r="BW89" i="11"/>
  <c r="BW88" i="11"/>
  <c r="BW87" i="11"/>
  <c r="BW86" i="11"/>
  <c r="BW85" i="11"/>
  <c r="BW84" i="11"/>
  <c r="BW83" i="11"/>
  <c r="BW82" i="11"/>
  <c r="BW81" i="11"/>
  <c r="BW80" i="11"/>
  <c r="BW79" i="11"/>
  <c r="BW78" i="11"/>
  <c r="BW77" i="11"/>
  <c r="BW76" i="11"/>
  <c r="BW75" i="11"/>
  <c r="BW74" i="11"/>
  <c r="BW73" i="11"/>
  <c r="BW72" i="11"/>
  <c r="BW71" i="11"/>
  <c r="BW70" i="11"/>
  <c r="BW69" i="11"/>
  <c r="BW68" i="11"/>
  <c r="BW67" i="11"/>
  <c r="BW66" i="11"/>
  <c r="BW65" i="11"/>
  <c r="BW64" i="11"/>
  <c r="BW63" i="11"/>
  <c r="BW62" i="11"/>
  <c r="BW61" i="11"/>
  <c r="BW60" i="11"/>
  <c r="BW59" i="11"/>
  <c r="BW58" i="11"/>
  <c r="BW57" i="11"/>
  <c r="BW56" i="11"/>
  <c r="BW55" i="11"/>
  <c r="BW54" i="11"/>
  <c r="BW53" i="11"/>
  <c r="BW52" i="11"/>
  <c r="BW51" i="11"/>
  <c r="BW50" i="11"/>
  <c r="BW49" i="11"/>
  <c r="BW48" i="11"/>
  <c r="BW47" i="11"/>
  <c r="BW46" i="11"/>
  <c r="BW45" i="11"/>
  <c r="BW44" i="11"/>
  <c r="BW43" i="11"/>
  <c r="BW42" i="11"/>
  <c r="BW41" i="11"/>
  <c r="BW40" i="11"/>
  <c r="BW39" i="11"/>
  <c r="BW38" i="11"/>
  <c r="BW37" i="11"/>
  <c r="BW36" i="11"/>
  <c r="BW35" i="11"/>
  <c r="BW34" i="11"/>
  <c r="BW33" i="11"/>
  <c r="BW32" i="11"/>
  <c r="BW31" i="11"/>
  <c r="BX98" i="11"/>
  <c r="BX97" i="11"/>
  <c r="BX96" i="11"/>
  <c r="BX95" i="11"/>
  <c r="BX94" i="11"/>
  <c r="BX93" i="11"/>
  <c r="BX92" i="11"/>
  <c r="BX90" i="11"/>
  <c r="BX89" i="11"/>
  <c r="BX88" i="11"/>
  <c r="BX86" i="11"/>
  <c r="BX85" i="11"/>
  <c r="BX84" i="11"/>
  <c r="BX82" i="11"/>
  <c r="BX81" i="11"/>
  <c r="BX80" i="11"/>
  <c r="BX78" i="11"/>
  <c r="BX77" i="11"/>
  <c r="BX76" i="11"/>
  <c r="BX74" i="11"/>
  <c r="BX73" i="11"/>
  <c r="BX72" i="11"/>
  <c r="BX70" i="11"/>
  <c r="BX69" i="11"/>
  <c r="BX68" i="11"/>
  <c r="BX66" i="11"/>
  <c r="BX65" i="11"/>
  <c r="BX64" i="11"/>
  <c r="BX62" i="11"/>
  <c r="BX61" i="11"/>
  <c r="BX60" i="11"/>
  <c r="BX59" i="11"/>
  <c r="BX58" i="11"/>
  <c r="BX57" i="11"/>
  <c r="BX56" i="11"/>
  <c r="BX55" i="11"/>
  <c r="BX54" i="11"/>
  <c r="BX53" i="11"/>
  <c r="BX52" i="11"/>
  <c r="BX51" i="11"/>
  <c r="BX50" i="11"/>
  <c r="BX49" i="11"/>
  <c r="BX48" i="11"/>
  <c r="BX47" i="11"/>
  <c r="BX46" i="11"/>
  <c r="BX45" i="11"/>
  <c r="BX44" i="11"/>
  <c r="BX43" i="11"/>
  <c r="BX42" i="11"/>
  <c r="BX41" i="11"/>
  <c r="BX40" i="11"/>
  <c r="BX39" i="11"/>
  <c r="BX38" i="11"/>
  <c r="BX37" i="11"/>
  <c r="BX36" i="11"/>
  <c r="BX35" i="11"/>
  <c r="BX34" i="11"/>
  <c r="BX33" i="11"/>
  <c r="BX32" i="11"/>
  <c r="BX31" i="11"/>
  <c r="BY98" i="11"/>
  <c r="BY97" i="11"/>
  <c r="BY96" i="11"/>
  <c r="BY95" i="11"/>
  <c r="BY94" i="11"/>
  <c r="BY93" i="11"/>
  <c r="BY90" i="11"/>
  <c r="BY89" i="11"/>
  <c r="BY86" i="11"/>
  <c r="BY85" i="11"/>
  <c r="BY82" i="11"/>
  <c r="BY81" i="11"/>
  <c r="BY78" i="11"/>
  <c r="BY77" i="11"/>
  <c r="BY76" i="11"/>
  <c r="BY74" i="11"/>
  <c r="BY73" i="11"/>
  <c r="BY72" i="11"/>
  <c r="BY70" i="11"/>
  <c r="BY69" i="11"/>
  <c r="BY68" i="11"/>
  <c r="BY66" i="11"/>
  <c r="BY65" i="11"/>
  <c r="BY64" i="11"/>
  <c r="BY62" i="11"/>
  <c r="BY61" i="11"/>
  <c r="BY59" i="11"/>
  <c r="BY58" i="11"/>
  <c r="BY57" i="11"/>
  <c r="BY55" i="11"/>
  <c r="BY54" i="11"/>
  <c r="BY53" i="11"/>
  <c r="BY51" i="11"/>
  <c r="BY50" i="11"/>
  <c r="BY49" i="11"/>
  <c r="BY47" i="11"/>
  <c r="BY46" i="11"/>
  <c r="BY45" i="11"/>
  <c r="BY44" i="11"/>
  <c r="BY43" i="11"/>
  <c r="BY42" i="11"/>
  <c r="BY41" i="11"/>
  <c r="BY40" i="11"/>
  <c r="BY39" i="11"/>
  <c r="BY38" i="11"/>
  <c r="BY37" i="11"/>
  <c r="BY36" i="11"/>
  <c r="BY35" i="11"/>
  <c r="BY34" i="11"/>
  <c r="BY33" i="11"/>
  <c r="BY32" i="11"/>
  <c r="BY31" i="11"/>
  <c r="BZ98" i="11"/>
  <c r="BZ97" i="11"/>
  <c r="BZ96" i="11"/>
  <c r="BZ95" i="11"/>
  <c r="BZ94" i="11"/>
  <c r="BZ93" i="11"/>
  <c r="BZ92" i="11"/>
  <c r="BZ90" i="11"/>
  <c r="BZ89" i="11"/>
  <c r="BZ88" i="11"/>
  <c r="BZ86" i="11"/>
  <c r="BZ85" i="11"/>
  <c r="BZ84" i="11"/>
  <c r="BZ82" i="11"/>
  <c r="BZ81" i="11"/>
  <c r="BZ80" i="11"/>
  <c r="BZ78" i="11"/>
  <c r="BZ77" i="11"/>
  <c r="BZ76" i="11"/>
  <c r="BZ74" i="11"/>
  <c r="BZ73" i="11"/>
  <c r="BZ72" i="11"/>
  <c r="BZ70" i="11"/>
  <c r="BZ69" i="11"/>
  <c r="BZ68" i="11"/>
  <c r="BZ66" i="11"/>
  <c r="BZ65" i="11"/>
  <c r="BZ64" i="11"/>
  <c r="BZ62" i="11"/>
  <c r="BZ61" i="11"/>
  <c r="BZ60" i="11"/>
  <c r="BZ59" i="11"/>
  <c r="BZ58" i="11"/>
  <c r="BZ57" i="11"/>
  <c r="BZ56" i="11"/>
  <c r="BZ55" i="11"/>
  <c r="BZ54" i="11"/>
  <c r="BZ53" i="11"/>
  <c r="BZ52" i="11"/>
  <c r="BZ51" i="11"/>
  <c r="BZ50" i="11"/>
  <c r="BZ49" i="11"/>
  <c r="BZ48" i="11"/>
  <c r="BZ47" i="11"/>
  <c r="BZ46" i="11"/>
  <c r="BZ45" i="11"/>
  <c r="BZ44" i="11"/>
  <c r="BZ43" i="11"/>
  <c r="BZ42" i="11"/>
  <c r="BZ41" i="11"/>
  <c r="BZ40" i="11"/>
  <c r="BZ39" i="11"/>
  <c r="BZ38" i="11"/>
  <c r="BZ37" i="11"/>
  <c r="BZ36" i="11"/>
  <c r="BZ35" i="11"/>
  <c r="BZ34" i="11"/>
  <c r="BZ33" i="11"/>
  <c r="BZ32" i="11"/>
  <c r="BZ31" i="11"/>
  <c r="CA98" i="11"/>
  <c r="CA97" i="11"/>
  <c r="CA96" i="11"/>
  <c r="CA95" i="11"/>
  <c r="CA94" i="11"/>
  <c r="CA93" i="11"/>
  <c r="CA92" i="11"/>
  <c r="CA90" i="11"/>
  <c r="CA89" i="11"/>
  <c r="CA88" i="11"/>
  <c r="CA86" i="11"/>
  <c r="CA85" i="11"/>
  <c r="CA84" i="11"/>
  <c r="CA82" i="11"/>
  <c r="CA81" i="11"/>
  <c r="CA80" i="11"/>
  <c r="CA78" i="11"/>
  <c r="CA77" i="11"/>
  <c r="CA76" i="11"/>
  <c r="CA74" i="11"/>
  <c r="CA73" i="11"/>
  <c r="CA72" i="11"/>
  <c r="CA70" i="11"/>
  <c r="CA69" i="11"/>
  <c r="CA68" i="11"/>
  <c r="CA66" i="11"/>
  <c r="CA65" i="11"/>
  <c r="CA64" i="11"/>
  <c r="CA62" i="11"/>
  <c r="CA61" i="11"/>
  <c r="CA60" i="11"/>
  <c r="CA59" i="11"/>
  <c r="CA58" i="11"/>
  <c r="CA57" i="11"/>
  <c r="CA56" i="11"/>
  <c r="CA55" i="11"/>
  <c r="CA54" i="11"/>
  <c r="CA53" i="11"/>
  <c r="CA52" i="11"/>
  <c r="CA51" i="11"/>
  <c r="CA50" i="11"/>
  <c r="CA49" i="11"/>
  <c r="CA48" i="11"/>
  <c r="CA47" i="11"/>
  <c r="CA46" i="11"/>
  <c r="CA45" i="11"/>
  <c r="CA44" i="11"/>
  <c r="CA43" i="11"/>
  <c r="CA42" i="11"/>
  <c r="CA41" i="11"/>
  <c r="CA40" i="11"/>
  <c r="CA39" i="11"/>
  <c r="CA38" i="11"/>
  <c r="CA37" i="11"/>
  <c r="CA36" i="11"/>
  <c r="CA35" i="11"/>
  <c r="CA34" i="11"/>
  <c r="CA33" i="11"/>
  <c r="CA32" i="11"/>
  <c r="CA31" i="11"/>
  <c r="CB98" i="11"/>
  <c r="CB97" i="11"/>
  <c r="CB96" i="11"/>
  <c r="CB95" i="11"/>
  <c r="CB94" i="11"/>
  <c r="CB93" i="11"/>
  <c r="CB92" i="11"/>
  <c r="CB91" i="11"/>
  <c r="CB90" i="11"/>
  <c r="CB89" i="11"/>
  <c r="CB88" i="11"/>
  <c r="CB87" i="11"/>
  <c r="CB86" i="11"/>
  <c r="CB85" i="11"/>
  <c r="CB84" i="11"/>
  <c r="CB83" i="11"/>
  <c r="CB82" i="11"/>
  <c r="CB81" i="11"/>
  <c r="CB80" i="11"/>
  <c r="CB79" i="11"/>
  <c r="CB78" i="11"/>
  <c r="CB77" i="11"/>
  <c r="CB76" i="11"/>
  <c r="CB75" i="11"/>
  <c r="CB74" i="11"/>
  <c r="CB73" i="11"/>
  <c r="CB72" i="11"/>
  <c r="CB71" i="11"/>
  <c r="CB70" i="11"/>
  <c r="CB69" i="11"/>
  <c r="CB68" i="11"/>
  <c r="CB67" i="11"/>
  <c r="CB66" i="11"/>
  <c r="CB65" i="11"/>
  <c r="CB64" i="11"/>
  <c r="CB63" i="11"/>
  <c r="CB62" i="11"/>
  <c r="CB61" i="11"/>
  <c r="CB60" i="11"/>
  <c r="CB59" i="11"/>
  <c r="CB58" i="11"/>
  <c r="CB57" i="11"/>
  <c r="CB56" i="11"/>
  <c r="CB55" i="11"/>
  <c r="CB54" i="11"/>
  <c r="CB53" i="11"/>
  <c r="CB52" i="11"/>
  <c r="CB51" i="11"/>
  <c r="CB50" i="11"/>
  <c r="CB49" i="11"/>
  <c r="CB48" i="11"/>
  <c r="CB47" i="11"/>
  <c r="CB46" i="11"/>
  <c r="CB45" i="11"/>
  <c r="CB44" i="11"/>
  <c r="CB43" i="11"/>
  <c r="CB42" i="11"/>
  <c r="CB41" i="11"/>
  <c r="CB40" i="11"/>
  <c r="CB39" i="11"/>
  <c r="CB38" i="11"/>
  <c r="CB37" i="11"/>
  <c r="CB36" i="11"/>
  <c r="CB35" i="11"/>
  <c r="CB34" i="11"/>
  <c r="CB33" i="11"/>
  <c r="CB32" i="11"/>
  <c r="CB31" i="11"/>
  <c r="CC98" i="11"/>
  <c r="CC97" i="11"/>
  <c r="CC96" i="11"/>
  <c r="CC95" i="11"/>
  <c r="CC94" i="11"/>
  <c r="CC93" i="11"/>
  <c r="CC92" i="11"/>
  <c r="CC91" i="11"/>
  <c r="CC90" i="11"/>
  <c r="CC89" i="11"/>
  <c r="CC88" i="11"/>
  <c r="CC87" i="11"/>
  <c r="CC86" i="11"/>
  <c r="CC85" i="11"/>
  <c r="CC84" i="11"/>
  <c r="CC83" i="11"/>
  <c r="CC82" i="11"/>
  <c r="CC81" i="11"/>
  <c r="CC80" i="11"/>
  <c r="CC79" i="11"/>
  <c r="CC78" i="11"/>
  <c r="CC77" i="11"/>
  <c r="CC76" i="11"/>
  <c r="CC75" i="11"/>
  <c r="CC74" i="11"/>
  <c r="CC73" i="11"/>
  <c r="CC72" i="11"/>
  <c r="CC71" i="11"/>
  <c r="CC70" i="11"/>
  <c r="CC69" i="11"/>
  <c r="CC68" i="11"/>
  <c r="CC67" i="11"/>
  <c r="CC66" i="11"/>
  <c r="CC65" i="11"/>
  <c r="CC64" i="11"/>
  <c r="CC63" i="11"/>
  <c r="CC62" i="11"/>
  <c r="CC61" i="11"/>
  <c r="CC60" i="11"/>
  <c r="CC59" i="11"/>
  <c r="CC58" i="11"/>
  <c r="CC57" i="11"/>
  <c r="CC56" i="11"/>
  <c r="CC55" i="11"/>
  <c r="CC54" i="11"/>
  <c r="CC53" i="11"/>
  <c r="CC52" i="11"/>
  <c r="CC51" i="11"/>
  <c r="CC50" i="11"/>
  <c r="CC49" i="11"/>
  <c r="CC48" i="11"/>
  <c r="CC47" i="11"/>
  <c r="CC46" i="11"/>
  <c r="CC45" i="11"/>
  <c r="CC44" i="11"/>
  <c r="CC43" i="11"/>
  <c r="CC42" i="11"/>
  <c r="CC41" i="11"/>
  <c r="CC40" i="11"/>
  <c r="CC39" i="11"/>
  <c r="CC38" i="11"/>
  <c r="CC37" i="11"/>
  <c r="CC36" i="11"/>
  <c r="CC35" i="11"/>
  <c r="CC34" i="11"/>
  <c r="CC33" i="11"/>
  <c r="CC32" i="11"/>
  <c r="CC31" i="11"/>
  <c r="CD98" i="11"/>
  <c r="CD97" i="11"/>
  <c r="CD96" i="11"/>
  <c r="CD95" i="11"/>
  <c r="CD94" i="11"/>
  <c r="CD93" i="11"/>
  <c r="CD92" i="11"/>
  <c r="CD91" i="11"/>
  <c r="CD90" i="11"/>
  <c r="CD89" i="11"/>
  <c r="CD88" i="11"/>
  <c r="CD87" i="11"/>
  <c r="CD86" i="11"/>
  <c r="CD85" i="11"/>
  <c r="CD84" i="11"/>
  <c r="CD83" i="11"/>
  <c r="CD82" i="11"/>
  <c r="CD81" i="11"/>
  <c r="CD80" i="11"/>
  <c r="CD79" i="11"/>
  <c r="CD78" i="11"/>
  <c r="CD77" i="11"/>
  <c r="CD76" i="11"/>
  <c r="CD75" i="11"/>
  <c r="CD74" i="11"/>
  <c r="CD73" i="11"/>
  <c r="CD72" i="11"/>
  <c r="CD71" i="11"/>
  <c r="CD70" i="11"/>
  <c r="CD69" i="11"/>
  <c r="CD68" i="11"/>
  <c r="CD67" i="11"/>
  <c r="CD66" i="11"/>
  <c r="CD65" i="11"/>
  <c r="CD64" i="11"/>
  <c r="CD63" i="11"/>
  <c r="CD62" i="11"/>
  <c r="CD61" i="11"/>
  <c r="CD60" i="11"/>
  <c r="CD59" i="11"/>
  <c r="CD58" i="11"/>
  <c r="CD57" i="11"/>
  <c r="CD56" i="11"/>
  <c r="CD55" i="11"/>
  <c r="CD54" i="11"/>
  <c r="CD53" i="11"/>
  <c r="CD52" i="11"/>
  <c r="CD51" i="11"/>
  <c r="CD50" i="11"/>
  <c r="CD49" i="11"/>
  <c r="CD48" i="11"/>
  <c r="CD47" i="11"/>
  <c r="CD46" i="11"/>
  <c r="CD45" i="11"/>
  <c r="CD44" i="11"/>
  <c r="CD43" i="11"/>
  <c r="CD42" i="11"/>
  <c r="CD41" i="11"/>
  <c r="CD40" i="11"/>
  <c r="CD39" i="11"/>
  <c r="CD38" i="11"/>
  <c r="CD37" i="11"/>
  <c r="CD36" i="11"/>
  <c r="CD35" i="11"/>
  <c r="CD34" i="11"/>
  <c r="CD33" i="11"/>
  <c r="CD32" i="11"/>
  <c r="CD31" i="11"/>
  <c r="CE98" i="11"/>
  <c r="CE97" i="11"/>
  <c r="CE96" i="11"/>
  <c r="CE95" i="11"/>
  <c r="CE94" i="11"/>
  <c r="CE93" i="11"/>
  <c r="CE92" i="11"/>
  <c r="CE91" i="11"/>
  <c r="CE90" i="11"/>
  <c r="CE89" i="11"/>
  <c r="CE88" i="11"/>
  <c r="CE87" i="11"/>
  <c r="CE86" i="11"/>
  <c r="CE85" i="11"/>
  <c r="CE84" i="11"/>
  <c r="CE83" i="11"/>
  <c r="CE82" i="11"/>
  <c r="CE81" i="11"/>
  <c r="CE80" i="11"/>
  <c r="CE79" i="11"/>
  <c r="CE78" i="11"/>
  <c r="CE77" i="11"/>
  <c r="CE76" i="11"/>
  <c r="CE75" i="11"/>
  <c r="CE74" i="11"/>
  <c r="CE73" i="11"/>
  <c r="CE72" i="11"/>
  <c r="CE71" i="11"/>
  <c r="CE70" i="11"/>
  <c r="CE69" i="11"/>
  <c r="CE68" i="11"/>
  <c r="CE67" i="11"/>
  <c r="CE66" i="11"/>
  <c r="CE65" i="11"/>
  <c r="CE64" i="11"/>
  <c r="CE63" i="11"/>
  <c r="CE62" i="11"/>
  <c r="CE61" i="11"/>
  <c r="CE60" i="11"/>
  <c r="CE59" i="11"/>
  <c r="CE58" i="11"/>
  <c r="CE57" i="11"/>
  <c r="CE56" i="11"/>
  <c r="CE55" i="11"/>
  <c r="CE54" i="11"/>
  <c r="CE53" i="11"/>
  <c r="CE52" i="11"/>
  <c r="CE51" i="11"/>
  <c r="CE50" i="11"/>
  <c r="CE49" i="11"/>
  <c r="CE48" i="11"/>
  <c r="CE47" i="11"/>
  <c r="CE46" i="11"/>
  <c r="CE45" i="11"/>
  <c r="CE44" i="11"/>
  <c r="CE43" i="11"/>
  <c r="CE42" i="11"/>
  <c r="CE41" i="11"/>
  <c r="CE40" i="11"/>
  <c r="CE39" i="11"/>
  <c r="CE38" i="11"/>
  <c r="CE37" i="11"/>
  <c r="CE36" i="11"/>
  <c r="CE35" i="11"/>
  <c r="CE34" i="11"/>
  <c r="CE33" i="11"/>
  <c r="CE32" i="11"/>
  <c r="CE31" i="11"/>
  <c r="F30" i="11"/>
  <c r="W91" i="11" s="1"/>
  <c r="E30" i="11"/>
  <c r="Z91" i="11" s="1"/>
  <c r="AG91" i="11"/>
  <c r="D31" i="11"/>
  <c r="AG80" i="11" s="1"/>
  <c r="CE28" i="11"/>
  <c r="CD28" i="11"/>
  <c r="CC28" i="11"/>
  <c r="CB28" i="11"/>
  <c r="CA28" i="11"/>
  <c r="BZ28" i="11"/>
  <c r="BY28" i="11"/>
  <c r="BX28" i="11"/>
  <c r="BW28" i="11"/>
  <c r="BV28" i="11"/>
  <c r="BU28" i="11"/>
  <c r="BT28" i="11"/>
  <c r="BS28" i="11"/>
  <c r="BR28" i="11"/>
  <c r="BQ28" i="11"/>
  <c r="BP28" i="11"/>
  <c r="BO28" i="11"/>
  <c r="BN28" i="11"/>
  <c r="BM28" i="11"/>
  <c r="BL28" i="11"/>
  <c r="BK28" i="11"/>
  <c r="BJ28" i="11"/>
  <c r="BI28" i="11"/>
  <c r="BH28" i="11"/>
  <c r="BG28" i="11"/>
  <c r="BF28" i="11"/>
  <c r="BE28" i="11"/>
  <c r="BD28" i="11"/>
  <c r="BC28" i="11"/>
  <c r="BB28" i="11"/>
  <c r="BA28" i="11"/>
  <c r="AZ28" i="11"/>
  <c r="AY28" i="11"/>
  <c r="AX28" i="11"/>
  <c r="AW28" i="11"/>
  <c r="AV28" i="11"/>
  <c r="AU28" i="11"/>
  <c r="AT28" i="11"/>
  <c r="AS28" i="11"/>
  <c r="AR28" i="11"/>
  <c r="AQ28" i="11"/>
  <c r="AP28" i="11"/>
  <c r="AO28" i="11"/>
  <c r="AN28" i="11"/>
  <c r="AM28" i="11"/>
  <c r="AL28" i="11"/>
  <c r="AK28" i="11"/>
  <c r="AJ28" i="11"/>
  <c r="AI28" i="11"/>
  <c r="AH28" i="11"/>
  <c r="AG28" i="11"/>
  <c r="AF28" i="11"/>
  <c r="AE28" i="11"/>
  <c r="AD28" i="11"/>
  <c r="AC28" i="11"/>
  <c r="AB28" i="11"/>
  <c r="AA28" i="11"/>
  <c r="Z28" i="11"/>
  <c r="Y28" i="11"/>
  <c r="X28" i="11"/>
  <c r="W28" i="11"/>
  <c r="V28" i="11"/>
  <c r="U28" i="11"/>
  <c r="T28" i="11"/>
  <c r="S28" i="11"/>
  <c r="R28" i="11"/>
  <c r="Q28" i="11"/>
  <c r="P28" i="11"/>
  <c r="CB27" i="11"/>
  <c r="BX27" i="11"/>
  <c r="BT27" i="11"/>
  <c r="BP27" i="11"/>
  <c r="BL27" i="11"/>
  <c r="BH27" i="11"/>
  <c r="BD27" i="11"/>
  <c r="AZ27" i="11"/>
  <c r="AV27" i="11"/>
  <c r="AR27" i="11"/>
  <c r="AN27" i="11"/>
  <c r="AJ27" i="11"/>
  <c r="AF27" i="11"/>
  <c r="AB27" i="11"/>
  <c r="X27" i="11"/>
  <c r="T27" i="11"/>
  <c r="P27" i="11"/>
  <c r="L35" i="9"/>
  <c r="L39" i="9"/>
  <c r="L43" i="9"/>
  <c r="L47" i="9"/>
  <c r="L51" i="9"/>
  <c r="L55" i="9"/>
  <c r="L59" i="9"/>
  <c r="L63" i="9"/>
  <c r="L67" i="9"/>
  <c r="L71" i="9"/>
  <c r="L75" i="9"/>
  <c r="L79" i="9"/>
  <c r="L83" i="9"/>
  <c r="L87" i="9"/>
  <c r="L91" i="9"/>
  <c r="L95" i="9"/>
  <c r="P27" i="9"/>
  <c r="L31" i="9"/>
  <c r="AB27" i="9"/>
  <c r="AF27" i="9"/>
  <c r="AJ27" i="9"/>
  <c r="AN27" i="9"/>
  <c r="AR27" i="9"/>
  <c r="AV27" i="9"/>
  <c r="AZ27" i="9"/>
  <c r="BD27" i="9"/>
  <c r="BH27" i="9"/>
  <c r="BL27" i="9"/>
  <c r="BP27" i="9"/>
  <c r="BT27" i="9"/>
  <c r="BX27" i="9"/>
  <c r="CB27" i="9"/>
  <c r="T27" i="9"/>
  <c r="X27" i="9"/>
  <c r="O89" i="9"/>
  <c r="O76" i="9"/>
  <c r="O78" i="9"/>
  <c r="O61" i="9"/>
  <c r="O43" i="9"/>
  <c r="O64" i="9"/>
  <c r="O40" i="9"/>
  <c r="O32" i="9"/>
  <c r="O47" i="9"/>
  <c r="O90" i="9"/>
  <c r="O66" i="9"/>
  <c r="O62" i="9"/>
  <c r="O74" i="9"/>
  <c r="O96" i="9"/>
  <c r="O69" i="9"/>
  <c r="O81" i="9"/>
  <c r="O86" i="9"/>
  <c r="O82" i="9"/>
  <c r="O34" i="9"/>
  <c r="O80" i="9"/>
  <c r="O49" i="9"/>
  <c r="O38" i="9"/>
  <c r="O65" i="9"/>
  <c r="O33" i="9"/>
  <c r="O52" i="9"/>
  <c r="O93" i="9"/>
  <c r="O85" i="9"/>
  <c r="O53" i="9"/>
  <c r="O60" i="9"/>
  <c r="O54" i="9"/>
  <c r="O79" i="9"/>
  <c r="O37" i="9"/>
  <c r="O31" i="9"/>
  <c r="O46" i="9"/>
  <c r="O67" i="9"/>
  <c r="O68" i="9"/>
  <c r="O56" i="9"/>
  <c r="O94" i="9"/>
  <c r="O35" i="9"/>
  <c r="O88" i="9"/>
  <c r="O48" i="9"/>
  <c r="O87" i="9"/>
  <c r="O51" i="9"/>
  <c r="O72" i="9"/>
  <c r="O92" i="9"/>
  <c r="O55" i="9"/>
  <c r="O98" i="9"/>
  <c r="O71" i="9"/>
  <c r="O44" i="9"/>
  <c r="O63" i="9"/>
  <c r="O70" i="9"/>
  <c r="O45" i="9"/>
  <c r="O59" i="9"/>
  <c r="O77" i="9"/>
  <c r="O91" i="9"/>
  <c r="O73" i="9"/>
  <c r="O41" i="9"/>
  <c r="O39" i="9"/>
  <c r="O50" i="9"/>
  <c r="O36" i="9"/>
  <c r="O58" i="9"/>
  <c r="O97" i="9"/>
  <c r="O95" i="9"/>
  <c r="O57" i="9"/>
  <c r="O42" i="9"/>
  <c r="O75" i="9"/>
  <c r="O84" i="9"/>
  <c r="O83" i="9"/>
  <c r="BZ63" i="11" l="1"/>
  <c r="BZ67" i="11"/>
  <c r="BZ71" i="11"/>
  <c r="BZ75" i="11"/>
  <c r="BZ79" i="11"/>
  <c r="BZ83" i="11"/>
  <c r="BZ87" i="11"/>
  <c r="BZ91" i="11"/>
  <c r="BV63" i="11"/>
  <c r="BV67" i="11"/>
  <c r="BV71" i="11"/>
  <c r="BV75" i="11"/>
  <c r="BV79" i="11"/>
  <c r="BV83" i="11"/>
  <c r="BV87" i="11"/>
  <c r="BV91" i="11"/>
  <c r="BJ63" i="11"/>
  <c r="BJ67" i="11"/>
  <c r="BJ71" i="11"/>
  <c r="BJ75" i="11"/>
  <c r="BJ79" i="11"/>
  <c r="BJ83" i="11"/>
  <c r="BJ87" i="11"/>
  <c r="BJ91" i="11"/>
  <c r="BF63" i="11"/>
  <c r="BF67" i="11"/>
  <c r="BF71" i="11"/>
  <c r="BF75" i="11"/>
  <c r="BF79" i="11"/>
  <c r="BF83" i="11"/>
  <c r="BF87" i="11"/>
  <c r="BF91" i="11"/>
  <c r="AO10" i="11"/>
  <c r="AO12" i="11"/>
  <c r="BQ92" i="11"/>
  <c r="W9" i="11"/>
  <c r="W10" i="11"/>
  <c r="W11" i="11"/>
  <c r="W12" i="11"/>
  <c r="BM48" i="11"/>
  <c r="AV13" i="11" s="1"/>
  <c r="BM52" i="11"/>
  <c r="V14" i="11" s="1"/>
  <c r="BM56" i="11"/>
  <c r="V15" i="11" s="1"/>
  <c r="BM60" i="11"/>
  <c r="V16" i="11" s="1"/>
  <c r="AK92" i="11"/>
  <c r="O9" i="11"/>
  <c r="O10" i="11"/>
  <c r="O11" i="11"/>
  <c r="O12" i="11"/>
  <c r="AG48" i="11"/>
  <c r="N13" i="11" s="1"/>
  <c r="AG52" i="11"/>
  <c r="AN14" i="11" s="1"/>
  <c r="AG56" i="11"/>
  <c r="N15" i="11" s="1"/>
  <c r="AG60" i="11"/>
  <c r="AN16" i="11" s="1"/>
  <c r="AO9" i="11"/>
  <c r="BU92" i="11"/>
  <c r="BQ48" i="11"/>
  <c r="W13" i="11" s="1"/>
  <c r="BQ52" i="11"/>
  <c r="W14" i="11" s="1"/>
  <c r="BQ56" i="11"/>
  <c r="W15" i="11" s="1"/>
  <c r="BQ60" i="11"/>
  <c r="W16" i="11" s="1"/>
  <c r="AW9" i="11"/>
  <c r="AW10" i="11"/>
  <c r="AW11" i="11"/>
  <c r="AW12" i="11"/>
  <c r="AW13" i="11"/>
  <c r="AO92" i="11"/>
  <c r="AK48" i="11"/>
  <c r="AO13" i="11" s="1"/>
  <c r="AK52" i="11"/>
  <c r="AO14" i="11" s="1"/>
  <c r="AK56" i="11"/>
  <c r="O15" i="11" s="1"/>
  <c r="AK60" i="11"/>
  <c r="O16" i="11" s="1"/>
  <c r="BY92" i="11"/>
  <c r="BU48" i="11"/>
  <c r="X13" i="11" s="1"/>
  <c r="BU52" i="11"/>
  <c r="X14" i="11" s="1"/>
  <c r="BU56" i="11"/>
  <c r="AX15" i="11" s="1"/>
  <c r="BU60" i="11"/>
  <c r="AX16" i="11" s="1"/>
  <c r="AS92" i="11"/>
  <c r="AO48" i="11"/>
  <c r="AP13" i="11" s="1"/>
  <c r="AO52" i="11"/>
  <c r="AP14" i="11" s="1"/>
  <c r="AO56" i="11"/>
  <c r="P15" i="11" s="1"/>
  <c r="AO60" i="11"/>
  <c r="AP16" i="11" s="1"/>
  <c r="AO11" i="11"/>
  <c r="BY48" i="11"/>
  <c r="Y13" i="11" s="1"/>
  <c r="BY52" i="11"/>
  <c r="AY14" i="11" s="1"/>
  <c r="BY56" i="11"/>
  <c r="Y15" i="11" s="1"/>
  <c r="BY60" i="11"/>
  <c r="AY16" i="11" s="1"/>
  <c r="BM92" i="11"/>
  <c r="AS48" i="11"/>
  <c r="AQ13" i="11" s="1"/>
  <c r="AS52" i="11"/>
  <c r="Q14" i="11" s="1"/>
  <c r="AS56" i="11"/>
  <c r="AQ15" i="11" s="1"/>
  <c r="AS60" i="11"/>
  <c r="Q16" i="11" s="1"/>
  <c r="AG92" i="11"/>
  <c r="N24" i="11" s="1"/>
  <c r="AT9" i="11"/>
  <c r="AT11" i="11"/>
  <c r="AT13" i="11"/>
  <c r="AT15" i="11"/>
  <c r="AL9" i="11"/>
  <c r="AL11" i="11"/>
  <c r="AL13" i="11"/>
  <c r="AL15" i="11"/>
  <c r="AK9" i="11"/>
  <c r="AK11" i="11"/>
  <c r="AK13" i="11"/>
  <c r="AK15" i="11"/>
  <c r="BY84" i="11"/>
  <c r="BU84" i="11"/>
  <c r="BQ84" i="11"/>
  <c r="BM84" i="11"/>
  <c r="AS84" i="11"/>
  <c r="AO84" i="11"/>
  <c r="AK84" i="11"/>
  <c r="AG84" i="11"/>
  <c r="BY88" i="11"/>
  <c r="BU88" i="11"/>
  <c r="BQ88" i="11"/>
  <c r="BM88" i="11"/>
  <c r="AS88" i="11"/>
  <c r="AO88" i="11"/>
  <c r="AK88" i="11"/>
  <c r="AG88" i="11"/>
  <c r="AT10" i="11"/>
  <c r="AT12" i="11"/>
  <c r="AT14" i="11"/>
  <c r="AT16" i="11"/>
  <c r="AL10" i="11"/>
  <c r="AL12" i="11"/>
  <c r="AL14" i="11"/>
  <c r="AL16" i="11"/>
  <c r="AL24" i="11"/>
  <c r="AK10" i="11"/>
  <c r="AK12" i="11"/>
  <c r="AK14" i="11"/>
  <c r="AK16" i="11"/>
  <c r="AK24" i="11"/>
  <c r="CA63" i="11"/>
  <c r="CA67" i="11"/>
  <c r="CA71" i="11"/>
  <c r="CA75" i="11"/>
  <c r="CA79" i="11"/>
  <c r="CA83" i="11"/>
  <c r="CA87" i="11"/>
  <c r="CA91" i="11"/>
  <c r="BY80" i="11"/>
  <c r="BU80" i="11"/>
  <c r="AX9" i="11"/>
  <c r="AX10" i="11"/>
  <c r="AX11" i="11"/>
  <c r="AX12" i="11"/>
  <c r="AX13" i="11"/>
  <c r="AX14" i="11"/>
  <c r="BS63" i="11"/>
  <c r="BS67" i="11"/>
  <c r="BS71" i="11"/>
  <c r="BS75" i="11"/>
  <c r="BS79" i="11"/>
  <c r="BS83" i="11"/>
  <c r="BS87" i="11"/>
  <c r="BS91" i="11"/>
  <c r="BQ80" i="11"/>
  <c r="BM80" i="11"/>
  <c r="BK63" i="11"/>
  <c r="BK67" i="11"/>
  <c r="BK71" i="11"/>
  <c r="BK75" i="11"/>
  <c r="BK79" i="11"/>
  <c r="BK83" i="11"/>
  <c r="BK87" i="11"/>
  <c r="BK91" i="11"/>
  <c r="BC63" i="11"/>
  <c r="BC67" i="11"/>
  <c r="BC71" i="11"/>
  <c r="BC75" i="11"/>
  <c r="BC79" i="11"/>
  <c r="BC83" i="11"/>
  <c r="BC87" i="11"/>
  <c r="BC91" i="11"/>
  <c r="AS9" i="11"/>
  <c r="AS10" i="11"/>
  <c r="AS11" i="11"/>
  <c r="AS12" i="11"/>
  <c r="AS13" i="11"/>
  <c r="AS14" i="11"/>
  <c r="AS15" i="11"/>
  <c r="AS16" i="11"/>
  <c r="AU63" i="11"/>
  <c r="AU67" i="11"/>
  <c r="AU71" i="11"/>
  <c r="AU75" i="11"/>
  <c r="AU79" i="11"/>
  <c r="AU83" i="11"/>
  <c r="AU87" i="11"/>
  <c r="AU91" i="11"/>
  <c r="AT63" i="11"/>
  <c r="AT67" i="11"/>
  <c r="AT71" i="11"/>
  <c r="AT75" i="11"/>
  <c r="AT79" i="11"/>
  <c r="AT83" i="11"/>
  <c r="AT87" i="11"/>
  <c r="AT91" i="11"/>
  <c r="AS80" i="11"/>
  <c r="AP63" i="11"/>
  <c r="AP67" i="11"/>
  <c r="AP71" i="11"/>
  <c r="AP75" i="11"/>
  <c r="AP79" i="11"/>
  <c r="AP83" i="11"/>
  <c r="AP87" i="11"/>
  <c r="AP91" i="11"/>
  <c r="AO80" i="11"/>
  <c r="AP9" i="11"/>
  <c r="AP10" i="11"/>
  <c r="AP11" i="11"/>
  <c r="AP12" i="11"/>
  <c r="AM63" i="11"/>
  <c r="AM67" i="11"/>
  <c r="AM71" i="11"/>
  <c r="AM75" i="11"/>
  <c r="AM79" i="11"/>
  <c r="AM83" i="11"/>
  <c r="AM87" i="11"/>
  <c r="AM91" i="11"/>
  <c r="AK80" i="11"/>
  <c r="AE63" i="11"/>
  <c r="AE67" i="11"/>
  <c r="AE71" i="11"/>
  <c r="AE75" i="11"/>
  <c r="AE79" i="11"/>
  <c r="AE83" i="11"/>
  <c r="AE87" i="11"/>
  <c r="AE91" i="11"/>
  <c r="AD63" i="11"/>
  <c r="AM17" i="11" s="1"/>
  <c r="AD67" i="11"/>
  <c r="AM18" i="11" s="1"/>
  <c r="AD71" i="11"/>
  <c r="AM19" i="11" s="1"/>
  <c r="AD75" i="11"/>
  <c r="M20" i="11" s="1"/>
  <c r="AD79" i="11"/>
  <c r="AM21" i="11" s="1"/>
  <c r="AD83" i="11"/>
  <c r="M22" i="11" s="1"/>
  <c r="AD87" i="11"/>
  <c r="AM23" i="11" s="1"/>
  <c r="AD91" i="11"/>
  <c r="M24" i="11" s="1"/>
  <c r="Z63" i="11"/>
  <c r="AL17" i="11" s="1"/>
  <c r="Z67" i="11"/>
  <c r="AL18" i="11" s="1"/>
  <c r="Z71" i="11"/>
  <c r="AL19" i="11" s="1"/>
  <c r="Z75" i="11"/>
  <c r="AL20" i="11" s="1"/>
  <c r="Z79" i="11"/>
  <c r="AL21" i="11" s="1"/>
  <c r="Z83" i="11"/>
  <c r="L22" i="11" s="1"/>
  <c r="Z87" i="11"/>
  <c r="L23" i="11" s="1"/>
  <c r="W63" i="11"/>
  <c r="AK17" i="11" s="1"/>
  <c r="W67" i="11"/>
  <c r="AK18" i="11" s="1"/>
  <c r="W71" i="11"/>
  <c r="AK19" i="11" s="1"/>
  <c r="W75" i="11"/>
  <c r="AK20" i="11" s="1"/>
  <c r="W79" i="11"/>
  <c r="AK21" i="11" s="1"/>
  <c r="W83" i="11"/>
  <c r="AK22" i="11" s="1"/>
  <c r="W87" i="11"/>
  <c r="K23" i="11" s="1"/>
  <c r="AY10" i="11"/>
  <c r="Y10" i="11"/>
  <c r="AY12" i="11"/>
  <c r="Y12" i="11"/>
  <c r="AV9" i="11"/>
  <c r="V9" i="11"/>
  <c r="AV11" i="11"/>
  <c r="V11" i="11"/>
  <c r="AU9" i="11"/>
  <c r="U9" i="11"/>
  <c r="AU11" i="11"/>
  <c r="U11" i="11"/>
  <c r="AU13" i="11"/>
  <c r="U13" i="11"/>
  <c r="AU15" i="11"/>
  <c r="U15" i="11"/>
  <c r="AR16" i="11"/>
  <c r="R16" i="11"/>
  <c r="L9" i="11"/>
  <c r="L10" i="11"/>
  <c r="L11" i="11"/>
  <c r="T11" i="11"/>
  <c r="T12" i="11"/>
  <c r="T13" i="11"/>
  <c r="T14" i="11"/>
  <c r="L15" i="11"/>
  <c r="L16" i="11"/>
  <c r="L24" i="11"/>
  <c r="BY63" i="11"/>
  <c r="BY71" i="11"/>
  <c r="BY79" i="11"/>
  <c r="BY87" i="11"/>
  <c r="BX63" i="11"/>
  <c r="BX71" i="11"/>
  <c r="BX79" i="11"/>
  <c r="BX87" i="11"/>
  <c r="BU63" i="11"/>
  <c r="BU71" i="11"/>
  <c r="BU79" i="11"/>
  <c r="BU87" i="11"/>
  <c r="BU91" i="11"/>
  <c r="BT67" i="11"/>
  <c r="BT75" i="11"/>
  <c r="BT83" i="11"/>
  <c r="BT87" i="11"/>
  <c r="BQ63" i="11"/>
  <c r="BQ71" i="11"/>
  <c r="BQ79" i="11"/>
  <c r="BQ83" i="11"/>
  <c r="BQ91" i="11"/>
  <c r="BP63" i="11"/>
  <c r="BP71" i="11"/>
  <c r="BP79" i="11"/>
  <c r="BP87" i="11"/>
  <c r="BM63" i="11"/>
  <c r="BM71" i="11"/>
  <c r="BM79" i="11"/>
  <c r="BM87" i="11"/>
  <c r="BL63" i="11"/>
  <c r="BL67" i="11"/>
  <c r="BL75" i="11"/>
  <c r="BL83" i="11"/>
  <c r="BL91" i="11"/>
  <c r="BH63" i="11"/>
  <c r="BH71" i="11"/>
  <c r="BH79" i="11"/>
  <c r="BH87" i="11"/>
  <c r="BH91" i="11"/>
  <c r="BD67" i="11"/>
  <c r="BD71" i="11"/>
  <c r="BD79" i="11"/>
  <c r="BD87" i="11"/>
  <c r="AZ63" i="11"/>
  <c r="AZ71" i="11"/>
  <c r="AZ79" i="11"/>
  <c r="AZ91" i="11"/>
  <c r="K9" i="11"/>
  <c r="S9" i="11"/>
  <c r="K10" i="11"/>
  <c r="S10" i="11"/>
  <c r="K11" i="11"/>
  <c r="S11" i="11"/>
  <c r="K12" i="11"/>
  <c r="S12" i="11"/>
  <c r="K13" i="11"/>
  <c r="S13" i="11"/>
  <c r="K14" i="11"/>
  <c r="S14" i="11"/>
  <c r="K15" i="11"/>
  <c r="S15" i="11"/>
  <c r="K16" i="11"/>
  <c r="S16" i="11"/>
  <c r="K24" i="11"/>
  <c r="P9" i="11"/>
  <c r="X9" i="11"/>
  <c r="P10" i="11"/>
  <c r="X10" i="11"/>
  <c r="P11" i="11"/>
  <c r="X11" i="11"/>
  <c r="P12" i="11"/>
  <c r="X12" i="11"/>
  <c r="AY9" i="11"/>
  <c r="Y9" i="11"/>
  <c r="AY11" i="11"/>
  <c r="Y11" i="11"/>
  <c r="AV10" i="11"/>
  <c r="V10" i="11"/>
  <c r="AV12" i="11"/>
  <c r="V12" i="11"/>
  <c r="AU10" i="11"/>
  <c r="U10" i="11"/>
  <c r="AU12" i="11"/>
  <c r="U12" i="11"/>
  <c r="AU14" i="11"/>
  <c r="U14" i="11"/>
  <c r="AU16" i="11"/>
  <c r="U16" i="11"/>
  <c r="AR9" i="11"/>
  <c r="R9" i="11"/>
  <c r="AR10" i="11"/>
  <c r="R10" i="11"/>
  <c r="AR11" i="11"/>
  <c r="R11" i="11"/>
  <c r="AR12" i="11"/>
  <c r="R12" i="11"/>
  <c r="AR13" i="11"/>
  <c r="R13" i="11"/>
  <c r="AR14" i="11"/>
  <c r="R14" i="11"/>
  <c r="AR15" i="11"/>
  <c r="R15" i="11"/>
  <c r="AQ9" i="11"/>
  <c r="Q9" i="11"/>
  <c r="AQ10" i="11"/>
  <c r="Q10" i="11"/>
  <c r="AQ11" i="11"/>
  <c r="Q11" i="11"/>
  <c r="AQ12" i="11"/>
  <c r="Q12" i="11"/>
  <c r="AN9" i="11"/>
  <c r="N9" i="11"/>
  <c r="AN10" i="11"/>
  <c r="N10" i="11"/>
  <c r="AN11" i="11"/>
  <c r="N11" i="11"/>
  <c r="AN12" i="11"/>
  <c r="N12" i="11"/>
  <c r="AM9" i="11"/>
  <c r="M9" i="11"/>
  <c r="AM10" i="11"/>
  <c r="M10" i="11"/>
  <c r="AM11" i="11"/>
  <c r="M11" i="11"/>
  <c r="AM12" i="11"/>
  <c r="M12" i="11"/>
  <c r="AM13" i="11"/>
  <c r="M13" i="11"/>
  <c r="AM14" i="11"/>
  <c r="M14" i="11"/>
  <c r="AM15" i="11"/>
  <c r="M15" i="11"/>
  <c r="AM16" i="11"/>
  <c r="M16" i="11"/>
  <c r="AJ9" i="11"/>
  <c r="J9" i="11"/>
  <c r="AJ10" i="11"/>
  <c r="J10" i="11"/>
  <c r="AJ11" i="11"/>
  <c r="J11" i="11"/>
  <c r="AJ12" i="11"/>
  <c r="J12" i="11"/>
  <c r="AJ13" i="11"/>
  <c r="J13" i="11"/>
  <c r="AJ14" i="11"/>
  <c r="J14" i="11"/>
  <c r="AJ15" i="11"/>
  <c r="J15" i="11"/>
  <c r="AJ16" i="11"/>
  <c r="J16" i="11"/>
  <c r="AJ17" i="11"/>
  <c r="J17" i="11"/>
  <c r="AJ18" i="11"/>
  <c r="J18" i="11"/>
  <c r="AJ19" i="11"/>
  <c r="J19" i="11"/>
  <c r="AJ20" i="11"/>
  <c r="J20" i="11"/>
  <c r="AJ21" i="11"/>
  <c r="J21" i="11"/>
  <c r="AJ22" i="11"/>
  <c r="J22" i="11"/>
  <c r="AJ23" i="11"/>
  <c r="J23" i="11"/>
  <c r="AJ24" i="11"/>
  <c r="J24" i="11"/>
  <c r="T9" i="11"/>
  <c r="T10" i="11"/>
  <c r="L12" i="11"/>
  <c r="L13" i="11"/>
  <c r="L14" i="11"/>
  <c r="T15" i="11"/>
  <c r="T16" i="11"/>
  <c r="BY67" i="11"/>
  <c r="BY75" i="11"/>
  <c r="BY83" i="11"/>
  <c r="BY91" i="11"/>
  <c r="BX67" i="11"/>
  <c r="BX75" i="11"/>
  <c r="BX83" i="11"/>
  <c r="BX91" i="11"/>
  <c r="BU67" i="11"/>
  <c r="BU75" i="11"/>
  <c r="BU83" i="11"/>
  <c r="BT63" i="11"/>
  <c r="BT71" i="11"/>
  <c r="BT79" i="11"/>
  <c r="BT91" i="11"/>
  <c r="BQ67" i="11"/>
  <c r="BQ75" i="11"/>
  <c r="BQ87" i="11"/>
  <c r="BP67" i="11"/>
  <c r="BP75" i="11"/>
  <c r="BP83" i="11"/>
  <c r="BP91" i="11"/>
  <c r="BM67" i="11"/>
  <c r="BM75" i="11"/>
  <c r="BM83" i="11"/>
  <c r="BM91" i="11"/>
  <c r="BL71" i="11"/>
  <c r="BL79" i="11"/>
  <c r="BL87" i="11"/>
  <c r="BH67" i="11"/>
  <c r="BH75" i="11"/>
  <c r="BH83" i="11"/>
  <c r="BD63" i="11"/>
  <c r="BD75" i="11"/>
  <c r="BD83" i="11"/>
  <c r="BD91" i="11"/>
  <c r="AZ67" i="11"/>
  <c r="AZ75" i="11"/>
  <c r="AZ83" i="11"/>
  <c r="AZ87" i="11"/>
  <c r="AV63" i="11"/>
  <c r="AV67" i="11"/>
  <c r="AV71" i="11"/>
  <c r="AV75" i="11"/>
  <c r="AV79" i="11"/>
  <c r="AV83" i="11"/>
  <c r="AV87" i="11"/>
  <c r="AV91" i="11"/>
  <c r="AS63" i="11"/>
  <c r="AS67" i="11"/>
  <c r="AS71" i="11"/>
  <c r="AS75" i="11"/>
  <c r="AS79" i="11"/>
  <c r="AS83" i="11"/>
  <c r="AS87" i="11"/>
  <c r="AS91" i="11"/>
  <c r="AO63" i="11"/>
  <c r="AO67" i="11"/>
  <c r="AO71" i="11"/>
  <c r="AO75" i="11"/>
  <c r="AO79" i="11"/>
  <c r="AO83" i="11"/>
  <c r="AO87" i="11"/>
  <c r="AO91" i="11"/>
  <c r="AK63" i="11"/>
  <c r="AK67" i="11"/>
  <c r="AK71" i="11"/>
  <c r="AK75" i="11"/>
  <c r="AK79" i="11"/>
  <c r="AK83" i="11"/>
  <c r="AK87" i="11"/>
  <c r="AK91" i="11"/>
  <c r="AG63" i="11"/>
  <c r="AN17" i="11" s="1"/>
  <c r="AG67" i="11"/>
  <c r="AN18" i="11" s="1"/>
  <c r="AG71" i="11"/>
  <c r="AN19" i="11" s="1"/>
  <c r="AG75" i="11"/>
  <c r="AN20" i="11" s="1"/>
  <c r="AG79" i="11"/>
  <c r="AN21" i="11" s="1"/>
  <c r="AG83" i="11"/>
  <c r="AG87" i="11"/>
  <c r="M31" i="9"/>
  <c r="M32" i="9"/>
  <c r="M33" i="9"/>
  <c r="M34" i="9"/>
  <c r="M35" i="9"/>
  <c r="M36" i="9"/>
  <c r="M37" i="9"/>
  <c r="M38" i="9"/>
  <c r="M39" i="9"/>
  <c r="M40" i="9"/>
  <c r="M41" i="9"/>
  <c r="M42" i="9"/>
  <c r="M43" i="9"/>
  <c r="M44" i="9"/>
  <c r="M45" i="9"/>
  <c r="M46" i="9"/>
  <c r="M47" i="9"/>
  <c r="M48" i="9"/>
  <c r="M49" i="9"/>
  <c r="M50" i="9"/>
  <c r="M51" i="9"/>
  <c r="M52" i="9"/>
  <c r="M53" i="9"/>
  <c r="M54" i="9"/>
  <c r="M55" i="9"/>
  <c r="M56" i="9"/>
  <c r="M57" i="9"/>
  <c r="M58" i="9"/>
  <c r="M59" i="9"/>
  <c r="M60" i="9"/>
  <c r="M61" i="9"/>
  <c r="M62" i="9"/>
  <c r="M63" i="9"/>
  <c r="M64" i="9"/>
  <c r="M65" i="9"/>
  <c r="M66" i="9"/>
  <c r="M67" i="9"/>
  <c r="M68" i="9"/>
  <c r="M69" i="9"/>
  <c r="M70" i="9"/>
  <c r="M71" i="9"/>
  <c r="M72" i="9"/>
  <c r="M73" i="9"/>
  <c r="M74" i="9"/>
  <c r="M75" i="9"/>
  <c r="M76" i="9"/>
  <c r="M77" i="9"/>
  <c r="M78" i="9"/>
  <c r="M79" i="9"/>
  <c r="M80" i="9"/>
  <c r="M81" i="9"/>
  <c r="M82" i="9"/>
  <c r="M83" i="9"/>
  <c r="M84" i="9"/>
  <c r="M85" i="9"/>
  <c r="M86" i="9"/>
  <c r="M87" i="9"/>
  <c r="M88" i="9"/>
  <c r="M89" i="9"/>
  <c r="M90" i="9"/>
  <c r="M91" i="9"/>
  <c r="M92" i="9"/>
  <c r="M93" i="9"/>
  <c r="M94" i="9"/>
  <c r="M95" i="9"/>
  <c r="M96" i="9"/>
  <c r="M97" i="9"/>
  <c r="M98" i="9"/>
  <c r="C30" i="9"/>
  <c r="F33" i="9"/>
  <c r="E33" i="9"/>
  <c r="D33" i="9"/>
  <c r="C33" i="9"/>
  <c r="F32" i="9"/>
  <c r="D32" i="9"/>
  <c r="C32" i="9"/>
  <c r="C31" i="9"/>
  <c r="D30" i="9"/>
  <c r="AV30" i="9"/>
  <c r="BE30" i="9"/>
  <c r="AN30" i="9"/>
  <c r="BD30" i="9"/>
  <c r="AP30" i="9"/>
  <c r="BC30" i="9"/>
  <c r="BT30" i="9"/>
  <c r="BB30" i="9"/>
  <c r="BA30" i="9"/>
  <c r="AB30" i="9"/>
  <c r="AJ30" i="9"/>
  <c r="BI30" i="9"/>
  <c r="X30" i="9"/>
  <c r="AG30" i="9"/>
  <c r="S30" i="9"/>
  <c r="AU30" i="9"/>
  <c r="CE30" i="9"/>
  <c r="BN30" i="9"/>
  <c r="AR30" i="9"/>
  <c r="V30" i="9"/>
  <c r="BH30" i="9"/>
  <c r="AK30" i="9"/>
  <c r="BU30" i="9"/>
  <c r="Y30" i="9"/>
  <c r="BM30" i="9"/>
  <c r="AM30" i="9"/>
  <c r="BZ30" i="9"/>
  <c r="BR30" i="9"/>
  <c r="BL30" i="9"/>
  <c r="CC30" i="9"/>
  <c r="BF30" i="9"/>
  <c r="CB30" i="9"/>
  <c r="BP30" i="9"/>
  <c r="BV30" i="9"/>
  <c r="AH30" i="9"/>
  <c r="U30" i="9"/>
  <c r="BK30" i="9"/>
  <c r="AD30" i="9"/>
  <c r="CD30" i="9"/>
  <c r="CA30" i="9"/>
  <c r="AY30" i="9"/>
  <c r="BY30" i="9"/>
  <c r="AF30" i="9"/>
  <c r="AW30" i="9"/>
  <c r="BS30" i="9"/>
  <c r="Q30" i="9"/>
  <c r="AC30" i="9"/>
  <c r="AL30" i="9"/>
  <c r="BW30" i="9"/>
  <c r="W30" i="9"/>
  <c r="AE30" i="9"/>
  <c r="BX30" i="9"/>
  <c r="BJ30" i="9"/>
  <c r="AT30" i="9"/>
  <c r="Z30" i="9"/>
  <c r="AQ30" i="9"/>
  <c r="AS30" i="9"/>
  <c r="AO30" i="9"/>
  <c r="BO30" i="9"/>
  <c r="AI30" i="9"/>
  <c r="AX30" i="9"/>
  <c r="AA30" i="9"/>
  <c r="BG30" i="9"/>
  <c r="T30" i="9"/>
  <c r="BQ30" i="9"/>
  <c r="R30" i="9"/>
  <c r="AZ30" i="9"/>
  <c r="AW16" i="11" l="1"/>
  <c r="BV16" i="11" s="1"/>
  <c r="AW15" i="11"/>
  <c r="BV15" i="11" s="1"/>
  <c r="AW14" i="11"/>
  <c r="BV14" i="11" s="1"/>
  <c r="Q13" i="11"/>
  <c r="BP13" i="11" s="1"/>
  <c r="N14" i="11"/>
  <c r="BM14" i="11" s="1"/>
  <c r="Y16" i="11"/>
  <c r="BX16" i="11" s="1"/>
  <c r="M23" i="11"/>
  <c r="BL23" i="11" s="1"/>
  <c r="AV16" i="11"/>
  <c r="BU16" i="11" s="1"/>
  <c r="P18" i="11"/>
  <c r="M19" i="11"/>
  <c r="BL19" i="11" s="1"/>
  <c r="Q15" i="11"/>
  <c r="BP15" i="11" s="1"/>
  <c r="P13" i="11"/>
  <c r="BO13" i="11" s="1"/>
  <c r="N16" i="11"/>
  <c r="BM16" i="11" s="1"/>
  <c r="N22" i="11"/>
  <c r="AQ21" i="11"/>
  <c r="AQ17" i="11"/>
  <c r="M18" i="11"/>
  <c r="BL18" i="11" s="1"/>
  <c r="AV14" i="11"/>
  <c r="BU14" i="11" s="1"/>
  <c r="BN9" i="11"/>
  <c r="L21" i="11"/>
  <c r="BK21" i="11" s="1"/>
  <c r="V13" i="11"/>
  <c r="BU13" i="11" s="1"/>
  <c r="AN24" i="11"/>
  <c r="BM24" i="11" s="1"/>
  <c r="M21" i="11"/>
  <c r="BL21" i="11" s="1"/>
  <c r="K18" i="11"/>
  <c r="BJ18" i="11" s="1"/>
  <c r="P20" i="11"/>
  <c r="Q24" i="11"/>
  <c r="AM22" i="11"/>
  <c r="BL22" i="11" s="1"/>
  <c r="M17" i="11"/>
  <c r="BL17" i="11" s="1"/>
  <c r="AN13" i="11"/>
  <c r="P16" i="11"/>
  <c r="BO16" i="11" s="1"/>
  <c r="K22" i="11"/>
  <c r="BJ22" i="11" s="1"/>
  <c r="Y14" i="11"/>
  <c r="BX14" i="11" s="1"/>
  <c r="BV13" i="11"/>
  <c r="BV10" i="11"/>
  <c r="AN15" i="11"/>
  <c r="BM15" i="11" s="1"/>
  <c r="AY13" i="11"/>
  <c r="BX13" i="11" s="1"/>
  <c r="L19" i="11"/>
  <c r="BK19" i="11" s="1"/>
  <c r="AQ18" i="11"/>
  <c r="AQ16" i="11"/>
  <c r="BP16" i="11" s="1"/>
  <c r="K20" i="11"/>
  <c r="BJ20" i="11" s="1"/>
  <c r="AL23" i="11"/>
  <c r="BK23" i="11" s="1"/>
  <c r="X15" i="11"/>
  <c r="BW15" i="11" s="1"/>
  <c r="BN10" i="11"/>
  <c r="BP11" i="11"/>
  <c r="BP9" i="11"/>
  <c r="BQ14" i="11"/>
  <c r="BQ12" i="11"/>
  <c r="BQ10" i="11"/>
  <c r="BT16" i="11"/>
  <c r="BT12" i="11"/>
  <c r="BT15" i="11"/>
  <c r="BT11" i="11"/>
  <c r="BX10" i="11"/>
  <c r="BO12" i="11"/>
  <c r="BW14" i="11"/>
  <c r="BJ10" i="11"/>
  <c r="BK12" i="11"/>
  <c r="BJ11" i="11"/>
  <c r="BS13" i="11"/>
  <c r="BV9" i="11"/>
  <c r="BP12" i="11"/>
  <c r="BP10" i="11"/>
  <c r="BQ15" i="11"/>
  <c r="BQ13" i="11"/>
  <c r="BQ11" i="11"/>
  <c r="BQ9" i="11"/>
  <c r="BT14" i="11"/>
  <c r="BQ16" i="11"/>
  <c r="BT13" i="11"/>
  <c r="BT9" i="11"/>
  <c r="BV11" i="11"/>
  <c r="BI23" i="11"/>
  <c r="BI21" i="11"/>
  <c r="BI19" i="11"/>
  <c r="BI17" i="11"/>
  <c r="BI15" i="11"/>
  <c r="BI13" i="11"/>
  <c r="BI11" i="11"/>
  <c r="BI9" i="11"/>
  <c r="BL15" i="11"/>
  <c r="BL13" i="11"/>
  <c r="BL11" i="11"/>
  <c r="BL9" i="11"/>
  <c r="BM12" i="11"/>
  <c r="BM10" i="11"/>
  <c r="BU12" i="11"/>
  <c r="BX9" i="11"/>
  <c r="BU9" i="11"/>
  <c r="BR15" i="11"/>
  <c r="BR11" i="11"/>
  <c r="BW11" i="11"/>
  <c r="BJ12" i="11"/>
  <c r="BS14" i="11"/>
  <c r="BK15" i="11"/>
  <c r="BS15" i="11"/>
  <c r="BX12" i="11"/>
  <c r="BR14" i="11"/>
  <c r="BJ24" i="11"/>
  <c r="BS12" i="11"/>
  <c r="BK13" i="11"/>
  <c r="BO9" i="11"/>
  <c r="BK14" i="11"/>
  <c r="BJ13" i="11"/>
  <c r="BT10" i="11"/>
  <c r="BO10" i="11"/>
  <c r="BR16" i="11"/>
  <c r="BR12" i="11"/>
  <c r="BW12" i="11"/>
  <c r="BJ14" i="11"/>
  <c r="BK16" i="11"/>
  <c r="BS16" i="11"/>
  <c r="BJ15" i="11"/>
  <c r="BK9" i="11"/>
  <c r="BS9" i="11"/>
  <c r="BR10" i="11"/>
  <c r="BW10" i="11"/>
  <c r="BI24" i="11"/>
  <c r="BI22" i="11"/>
  <c r="BI20" i="11"/>
  <c r="BI18" i="11"/>
  <c r="BI16" i="11"/>
  <c r="BI14" i="11"/>
  <c r="BI12" i="11"/>
  <c r="BI10" i="11"/>
  <c r="BL16" i="11"/>
  <c r="BL14" i="11"/>
  <c r="BL12" i="11"/>
  <c r="BL10" i="11"/>
  <c r="BM11" i="11"/>
  <c r="BM9" i="11"/>
  <c r="BU10" i="11"/>
  <c r="BX11" i="11"/>
  <c r="BU11" i="11"/>
  <c r="BO11" i="11"/>
  <c r="BR13" i="11"/>
  <c r="BR9" i="11"/>
  <c r="BW13" i="11"/>
  <c r="BW9" i="11"/>
  <c r="BJ16" i="11"/>
  <c r="BK24" i="11"/>
  <c r="BK10" i="11"/>
  <c r="BS10" i="11"/>
  <c r="BJ9" i="11"/>
  <c r="BK11" i="11"/>
  <c r="BS11" i="11"/>
  <c r="BN11" i="11"/>
  <c r="BV12" i="11"/>
  <c r="BN12" i="11"/>
  <c r="AV15" i="11"/>
  <c r="BU15" i="11" s="1"/>
  <c r="AK23" i="11"/>
  <c r="BJ23" i="11" s="1"/>
  <c r="AO15" i="11"/>
  <c r="BN15" i="11" s="1"/>
  <c r="L18" i="11"/>
  <c r="BK18" i="11" s="1"/>
  <c r="AQ14" i="11"/>
  <c r="BP14" i="11" s="1"/>
  <c r="AY15" i="11"/>
  <c r="BX15" i="11" s="1"/>
  <c r="P21" i="11"/>
  <c r="P17" i="11"/>
  <c r="K19" i="11"/>
  <c r="BJ19" i="11" s="1"/>
  <c r="P14" i="11"/>
  <c r="BO14" i="11" s="1"/>
  <c r="O13" i="11"/>
  <c r="BN13" i="11" s="1"/>
  <c r="X16" i="11"/>
  <c r="BW16" i="11" s="1"/>
  <c r="AP15" i="11"/>
  <c r="BO15" i="11" s="1"/>
  <c r="AL22" i="11"/>
  <c r="BK22" i="11" s="1"/>
  <c r="O14" i="11"/>
  <c r="BN14" i="11" s="1"/>
  <c r="AO16" i="11"/>
  <c r="BN16" i="11" s="1"/>
  <c r="AN22" i="11"/>
  <c r="AQ22" i="11"/>
  <c r="Q22" i="11"/>
  <c r="K21" i="11"/>
  <c r="BJ21" i="11" s="1"/>
  <c r="K17" i="11"/>
  <c r="L20" i="11"/>
  <c r="BK20" i="11" s="1"/>
  <c r="AP22" i="11"/>
  <c r="AP18" i="11"/>
  <c r="AM24" i="11"/>
  <c r="BL24" i="11" s="1"/>
  <c r="AM20" i="11"/>
  <c r="BL20" i="11" s="1"/>
  <c r="AN23" i="11"/>
  <c r="P23" i="11"/>
  <c r="P19" i="11"/>
  <c r="AQ23" i="11"/>
  <c r="AQ19" i="11"/>
  <c r="N18" i="11"/>
  <c r="BM18" i="11" s="1"/>
  <c r="Q18" i="11"/>
  <c r="P22" i="11"/>
  <c r="L17" i="11"/>
  <c r="AP24" i="11"/>
  <c r="AP20" i="11"/>
  <c r="AQ24" i="11"/>
  <c r="AQ20" i="11"/>
  <c r="N20" i="11"/>
  <c r="BM20" i="11" s="1"/>
  <c r="Q20" i="11"/>
  <c r="P24" i="11"/>
  <c r="AO23" i="11"/>
  <c r="O23" i="11"/>
  <c r="AR23" i="11"/>
  <c r="R23" i="11"/>
  <c r="AS22" i="11"/>
  <c r="S22" i="11"/>
  <c r="AO21" i="11"/>
  <c r="O21" i="11"/>
  <c r="AO17" i="11"/>
  <c r="O17" i="11"/>
  <c r="AR21" i="11"/>
  <c r="R21" i="11"/>
  <c r="AR17" i="11"/>
  <c r="R17" i="11"/>
  <c r="AS18" i="11"/>
  <c r="S18" i="11"/>
  <c r="AT17" i="11"/>
  <c r="T17" i="11"/>
  <c r="AV23" i="11"/>
  <c r="V23" i="11"/>
  <c r="AW22" i="11"/>
  <c r="W22" i="11"/>
  <c r="AX19" i="11"/>
  <c r="X19" i="11"/>
  <c r="AY18" i="11"/>
  <c r="Y18" i="11"/>
  <c r="AS24" i="11"/>
  <c r="S24" i="11"/>
  <c r="T23" i="11"/>
  <c r="AT23" i="11"/>
  <c r="AU24" i="11"/>
  <c r="U24" i="11"/>
  <c r="AU17" i="11"/>
  <c r="U17" i="11"/>
  <c r="AV18" i="11"/>
  <c r="V18" i="11"/>
  <c r="AW19" i="11"/>
  <c r="W19" i="11"/>
  <c r="AX22" i="11"/>
  <c r="X22" i="11"/>
  <c r="AY23" i="11"/>
  <c r="Y23" i="11"/>
  <c r="AO22" i="11"/>
  <c r="O22" i="11"/>
  <c r="AO18" i="11"/>
  <c r="O18" i="11"/>
  <c r="AR22" i="11"/>
  <c r="R22" i="11"/>
  <c r="AR18" i="11"/>
  <c r="R18" i="11"/>
  <c r="AS20" i="11"/>
  <c r="S20" i="11"/>
  <c r="AT20" i="11"/>
  <c r="T20" i="11"/>
  <c r="AU18" i="11"/>
  <c r="U18" i="11"/>
  <c r="AW24" i="11"/>
  <c r="W24" i="11"/>
  <c r="AX21" i="11"/>
  <c r="X21" i="11"/>
  <c r="AY20" i="11"/>
  <c r="Y20" i="11"/>
  <c r="AS17" i="11"/>
  <c r="S17" i="11"/>
  <c r="AT18" i="11"/>
  <c r="T18" i="11"/>
  <c r="AU19" i="11"/>
  <c r="U19" i="11"/>
  <c r="AV20" i="11"/>
  <c r="V20" i="11"/>
  <c r="AW21" i="11"/>
  <c r="W21" i="11"/>
  <c r="AX23" i="11"/>
  <c r="X23" i="11"/>
  <c r="AY17" i="11"/>
  <c r="Y17" i="11"/>
  <c r="N23" i="11"/>
  <c r="N21" i="11"/>
  <c r="BM21" i="11" s="1"/>
  <c r="N19" i="11"/>
  <c r="BM19" i="11" s="1"/>
  <c r="N17" i="11"/>
  <c r="Q23" i="11"/>
  <c r="Q21" i="11"/>
  <c r="Q19" i="11"/>
  <c r="Q17" i="11"/>
  <c r="AP21" i="11"/>
  <c r="AP17" i="11"/>
  <c r="AO19" i="11"/>
  <c r="O19" i="11"/>
  <c r="AR19" i="11"/>
  <c r="R19" i="11"/>
  <c r="AT22" i="11"/>
  <c r="T22" i="11"/>
  <c r="AU20" i="11"/>
  <c r="U20" i="11"/>
  <c r="AV19" i="11"/>
  <c r="V19" i="11"/>
  <c r="W18" i="11"/>
  <c r="AW18" i="11"/>
  <c r="AX24" i="11"/>
  <c r="X24" i="11"/>
  <c r="AY22" i="11"/>
  <c r="Y22" i="11"/>
  <c r="AS19" i="11"/>
  <c r="S19" i="11"/>
  <c r="AT19" i="11"/>
  <c r="T19" i="11"/>
  <c r="AU21" i="11"/>
  <c r="U21" i="11"/>
  <c r="AV22" i="11"/>
  <c r="V22" i="11"/>
  <c r="AW23" i="11"/>
  <c r="W23" i="11"/>
  <c r="AX18" i="11"/>
  <c r="X18" i="11"/>
  <c r="AY19" i="11"/>
  <c r="Y19" i="11"/>
  <c r="AO24" i="11"/>
  <c r="O24" i="11"/>
  <c r="AO20" i="11"/>
  <c r="O20" i="11"/>
  <c r="AR24" i="11"/>
  <c r="R24" i="11"/>
  <c r="AR20" i="11"/>
  <c r="R20" i="11"/>
  <c r="AS23" i="11"/>
  <c r="S23" i="11"/>
  <c r="AT24" i="11"/>
  <c r="T24" i="11"/>
  <c r="AU22" i="11"/>
  <c r="U22" i="11"/>
  <c r="AV21" i="11"/>
  <c r="V21" i="11"/>
  <c r="AW20" i="11"/>
  <c r="W20" i="11"/>
  <c r="AX17" i="11"/>
  <c r="X17" i="11"/>
  <c r="AY24" i="11"/>
  <c r="Y24" i="11"/>
  <c r="AS21" i="11"/>
  <c r="S21" i="11"/>
  <c r="AT21" i="11"/>
  <c r="T21" i="11"/>
  <c r="AU23" i="11"/>
  <c r="U23" i="11"/>
  <c r="AV24" i="11"/>
  <c r="V24" i="11"/>
  <c r="AV17" i="11"/>
  <c r="V17" i="11"/>
  <c r="AW17" i="11"/>
  <c r="W17" i="11"/>
  <c r="AX20" i="11"/>
  <c r="X20" i="11"/>
  <c r="AY21" i="11"/>
  <c r="Y21" i="11"/>
  <c r="AP23" i="11"/>
  <c r="AP19" i="11"/>
  <c r="Q98" i="9"/>
  <c r="Q97" i="9"/>
  <c r="Q96" i="9"/>
  <c r="Q95" i="9"/>
  <c r="Q94" i="9"/>
  <c r="Q93" i="9"/>
  <c r="Q92" i="9"/>
  <c r="Q91" i="9"/>
  <c r="Q90" i="9"/>
  <c r="Q89" i="9"/>
  <c r="Q88" i="9"/>
  <c r="Q87" i="9"/>
  <c r="Q86" i="9"/>
  <c r="Q85" i="9"/>
  <c r="Q84" i="9"/>
  <c r="Q83" i="9"/>
  <c r="Q82" i="9"/>
  <c r="Q81" i="9"/>
  <c r="Q80" i="9"/>
  <c r="Q79" i="9"/>
  <c r="Q78" i="9"/>
  <c r="Q77" i="9"/>
  <c r="Q76" i="9"/>
  <c r="Q75" i="9"/>
  <c r="Q74" i="9"/>
  <c r="Q73" i="9"/>
  <c r="Q72" i="9"/>
  <c r="Q71" i="9"/>
  <c r="Q70" i="9"/>
  <c r="Q69" i="9"/>
  <c r="Q66" i="9"/>
  <c r="Q62" i="9"/>
  <c r="Q65" i="9"/>
  <c r="Q61" i="9"/>
  <c r="Q68" i="9"/>
  <c r="Q64" i="9"/>
  <c r="Q60" i="9"/>
  <c r="Q58" i="9"/>
  <c r="Q57" i="9"/>
  <c r="Q56" i="9"/>
  <c r="Q55" i="9"/>
  <c r="Q54" i="9"/>
  <c r="Q53" i="9"/>
  <c r="Q52" i="9"/>
  <c r="Q51" i="9"/>
  <c r="Q50" i="9"/>
  <c r="Q49" i="9"/>
  <c r="Q48" i="9"/>
  <c r="Q47" i="9"/>
  <c r="Q46" i="9"/>
  <c r="Q45" i="9"/>
  <c r="Q44" i="9"/>
  <c r="Q43" i="9"/>
  <c r="Q42" i="9"/>
  <c r="Q41" i="9"/>
  <c r="Q40" i="9"/>
  <c r="Q39" i="9"/>
  <c r="Q38" i="9"/>
  <c r="Q37" i="9"/>
  <c r="Q36" i="9"/>
  <c r="Q35" i="9"/>
  <c r="Q34" i="9"/>
  <c r="Q33" i="9"/>
  <c r="Q32" i="9"/>
  <c r="Q31" i="9"/>
  <c r="Q67" i="9"/>
  <c r="Q59" i="9"/>
  <c r="Q63" i="9"/>
  <c r="R95" i="9"/>
  <c r="R98" i="9"/>
  <c r="R94" i="9"/>
  <c r="R93" i="9"/>
  <c r="R92" i="9"/>
  <c r="R91" i="9"/>
  <c r="R90" i="9"/>
  <c r="R89" i="9"/>
  <c r="R88" i="9"/>
  <c r="R87" i="9"/>
  <c r="R97" i="9"/>
  <c r="R85" i="9"/>
  <c r="R81" i="9"/>
  <c r="R77" i="9"/>
  <c r="R84" i="9"/>
  <c r="R80" i="9"/>
  <c r="R76" i="9"/>
  <c r="R75" i="9"/>
  <c r="R74" i="9"/>
  <c r="R73" i="9"/>
  <c r="R72" i="9"/>
  <c r="R71" i="9"/>
  <c r="R70" i="9"/>
  <c r="R69" i="9"/>
  <c r="R83" i="9"/>
  <c r="R79" i="9"/>
  <c r="R96" i="9"/>
  <c r="R78" i="9"/>
  <c r="R67" i="9"/>
  <c r="R63" i="9"/>
  <c r="R59" i="9"/>
  <c r="R66" i="9"/>
  <c r="R62" i="9"/>
  <c r="R86" i="9"/>
  <c r="R65" i="9"/>
  <c r="R61" i="9"/>
  <c r="R57" i="9"/>
  <c r="R53" i="9"/>
  <c r="R49" i="9"/>
  <c r="R45" i="9"/>
  <c r="R41" i="9"/>
  <c r="R37" i="9"/>
  <c r="R33" i="9"/>
  <c r="R32" i="9"/>
  <c r="R55" i="9"/>
  <c r="R68" i="9"/>
  <c r="R58" i="9"/>
  <c r="R54" i="9"/>
  <c r="R50" i="9"/>
  <c r="R46" i="9"/>
  <c r="R42" i="9"/>
  <c r="R40" i="9"/>
  <c r="R36" i="9"/>
  <c r="R64" i="9"/>
  <c r="R51" i="9"/>
  <c r="R47" i="9"/>
  <c r="R82" i="9"/>
  <c r="R60" i="9"/>
  <c r="R56" i="9"/>
  <c r="R52" i="9"/>
  <c r="R48" i="9"/>
  <c r="R44" i="9"/>
  <c r="R38" i="9"/>
  <c r="R34" i="9"/>
  <c r="R35" i="9"/>
  <c r="R43" i="9"/>
  <c r="R31" i="9"/>
  <c r="R39" i="9"/>
  <c r="S96" i="9"/>
  <c r="S95" i="9"/>
  <c r="S98" i="9"/>
  <c r="S94" i="9"/>
  <c r="S93" i="9"/>
  <c r="S92" i="9"/>
  <c r="S91" i="9"/>
  <c r="S90" i="9"/>
  <c r="S89" i="9"/>
  <c r="S88" i="9"/>
  <c r="S97" i="9"/>
  <c r="S86" i="9"/>
  <c r="S82" i="9"/>
  <c r="S78" i="9"/>
  <c r="S85" i="9"/>
  <c r="S81" i="9"/>
  <c r="S77" i="9"/>
  <c r="S87" i="9"/>
  <c r="S84" i="9"/>
  <c r="S80" i="9"/>
  <c r="S76" i="9"/>
  <c r="S75" i="9"/>
  <c r="S74" i="9"/>
  <c r="S73" i="9"/>
  <c r="S72" i="9"/>
  <c r="S71" i="9"/>
  <c r="S70" i="9"/>
  <c r="S69" i="9"/>
  <c r="S68" i="9"/>
  <c r="S67" i="9"/>
  <c r="S66" i="9"/>
  <c r="S65" i="9"/>
  <c r="S64" i="9"/>
  <c r="S63" i="9"/>
  <c r="S62" i="9"/>
  <c r="S61" i="9"/>
  <c r="S60" i="9"/>
  <c r="S59" i="9"/>
  <c r="S83" i="9"/>
  <c r="S58" i="9"/>
  <c r="S57" i="9"/>
  <c r="S56" i="9"/>
  <c r="S55" i="9"/>
  <c r="S54" i="9"/>
  <c r="S53" i="9"/>
  <c r="S52" i="9"/>
  <c r="S51" i="9"/>
  <c r="S50" i="9"/>
  <c r="S49" i="9"/>
  <c r="S48" i="9"/>
  <c r="S47" i="9"/>
  <c r="S46" i="9"/>
  <c r="S45" i="9"/>
  <c r="S44" i="9"/>
  <c r="S43" i="9"/>
  <c r="S42" i="9"/>
  <c r="S41" i="9"/>
  <c r="S79" i="9"/>
  <c r="S38" i="9"/>
  <c r="S34" i="9"/>
  <c r="S33" i="9"/>
  <c r="S37" i="9"/>
  <c r="S39" i="9"/>
  <c r="S35" i="9"/>
  <c r="S31" i="9"/>
  <c r="S40" i="9"/>
  <c r="S32" i="9"/>
  <c r="S36" i="9"/>
  <c r="T97" i="9"/>
  <c r="T96" i="9"/>
  <c r="T95" i="9"/>
  <c r="T92" i="9"/>
  <c r="T88" i="9"/>
  <c r="T83" i="9"/>
  <c r="T79" i="9"/>
  <c r="T98" i="9"/>
  <c r="T93" i="9"/>
  <c r="T89" i="9"/>
  <c r="T86" i="9"/>
  <c r="T82" i="9"/>
  <c r="T78" i="9"/>
  <c r="T94" i="9"/>
  <c r="T90" i="9"/>
  <c r="T85" i="9"/>
  <c r="T81" i="9"/>
  <c r="T77" i="9"/>
  <c r="T91" i="9"/>
  <c r="T76" i="9"/>
  <c r="T72" i="9"/>
  <c r="T68" i="9"/>
  <c r="T64" i="9"/>
  <c r="T60" i="9"/>
  <c r="T84" i="9"/>
  <c r="T73" i="9"/>
  <c r="T69" i="9"/>
  <c r="T67" i="9"/>
  <c r="T63" i="9"/>
  <c r="T59" i="9"/>
  <c r="T58" i="9"/>
  <c r="T57" i="9"/>
  <c r="T56" i="9"/>
  <c r="T55" i="9"/>
  <c r="T54" i="9"/>
  <c r="T53" i="9"/>
  <c r="T52" i="9"/>
  <c r="T51" i="9"/>
  <c r="T50" i="9"/>
  <c r="T49" i="9"/>
  <c r="T48" i="9"/>
  <c r="T47" i="9"/>
  <c r="T46" i="9"/>
  <c r="T45" i="9"/>
  <c r="T44" i="9"/>
  <c r="T43" i="9"/>
  <c r="T42" i="9"/>
  <c r="T41" i="9"/>
  <c r="T80" i="9"/>
  <c r="T74" i="9"/>
  <c r="T70" i="9"/>
  <c r="T66" i="9"/>
  <c r="T62" i="9"/>
  <c r="T61" i="9"/>
  <c r="T39" i="9"/>
  <c r="T35" i="9"/>
  <c r="T31" i="9"/>
  <c r="T34" i="9"/>
  <c r="T38" i="9"/>
  <c r="T71" i="9"/>
  <c r="T87" i="9"/>
  <c r="T75" i="9"/>
  <c r="T65" i="9"/>
  <c r="T40" i="9"/>
  <c r="T36" i="9"/>
  <c r="T32" i="9"/>
  <c r="T37" i="9"/>
  <c r="T33" i="9"/>
  <c r="U98" i="9"/>
  <c r="U97" i="9"/>
  <c r="U96" i="9"/>
  <c r="U95" i="9"/>
  <c r="U94" i="9"/>
  <c r="U93" i="9"/>
  <c r="U92" i="9"/>
  <c r="U91" i="9"/>
  <c r="U90" i="9"/>
  <c r="U89" i="9"/>
  <c r="U88" i="9"/>
  <c r="U87" i="9"/>
  <c r="U86" i="9"/>
  <c r="U85" i="9"/>
  <c r="U84" i="9"/>
  <c r="U83" i="9"/>
  <c r="U82" i="9"/>
  <c r="U81" i="9"/>
  <c r="U80" i="9"/>
  <c r="U79" i="9"/>
  <c r="U78" i="9"/>
  <c r="U77" i="9"/>
  <c r="U76" i="9"/>
  <c r="U75" i="9"/>
  <c r="U74" i="9"/>
  <c r="U73" i="9"/>
  <c r="U72" i="9"/>
  <c r="U71" i="9"/>
  <c r="U70" i="9"/>
  <c r="U69" i="9"/>
  <c r="U68" i="9"/>
  <c r="U65" i="9"/>
  <c r="U61" i="9"/>
  <c r="U64" i="9"/>
  <c r="U60" i="9"/>
  <c r="U67" i="9"/>
  <c r="U63" i="9"/>
  <c r="U59" i="9"/>
  <c r="U58" i="9"/>
  <c r="U57" i="9"/>
  <c r="U56" i="9"/>
  <c r="U55" i="9"/>
  <c r="U54" i="9"/>
  <c r="U53" i="9"/>
  <c r="U52" i="9"/>
  <c r="U51" i="9"/>
  <c r="U50" i="9"/>
  <c r="U49" i="9"/>
  <c r="U48" i="9"/>
  <c r="U47" i="9"/>
  <c r="U46" i="9"/>
  <c r="U45" i="9"/>
  <c r="U44" i="9"/>
  <c r="U43" i="9"/>
  <c r="U42" i="9"/>
  <c r="U41" i="9"/>
  <c r="U40" i="9"/>
  <c r="U39" i="9"/>
  <c r="U38" i="9"/>
  <c r="U37" i="9"/>
  <c r="U36" i="9"/>
  <c r="U35" i="9"/>
  <c r="U34" i="9"/>
  <c r="U33" i="9"/>
  <c r="U32" i="9"/>
  <c r="U31" i="9"/>
  <c r="U66" i="9"/>
  <c r="U62" i="9"/>
  <c r="V98" i="9"/>
  <c r="V97" i="9"/>
  <c r="V94" i="9"/>
  <c r="V93" i="9"/>
  <c r="V92" i="9"/>
  <c r="V91" i="9"/>
  <c r="V90" i="9"/>
  <c r="V89" i="9"/>
  <c r="V88" i="9"/>
  <c r="V87" i="9"/>
  <c r="V96" i="9"/>
  <c r="V84" i="9"/>
  <c r="V80" i="9"/>
  <c r="V83" i="9"/>
  <c r="V79" i="9"/>
  <c r="V76" i="9"/>
  <c r="V75" i="9"/>
  <c r="V74" i="9"/>
  <c r="V73" i="9"/>
  <c r="V72" i="9"/>
  <c r="V71" i="9"/>
  <c r="V70" i="9"/>
  <c r="V69" i="9"/>
  <c r="V68" i="9"/>
  <c r="V86" i="9"/>
  <c r="V82" i="9"/>
  <c r="V78" i="9"/>
  <c r="V77" i="9"/>
  <c r="V66" i="9"/>
  <c r="V62" i="9"/>
  <c r="V95" i="9"/>
  <c r="V65" i="9"/>
  <c r="V61" i="9"/>
  <c r="V85" i="9"/>
  <c r="V64" i="9"/>
  <c r="V60" i="9"/>
  <c r="V81" i="9"/>
  <c r="V56" i="9"/>
  <c r="V52" i="9"/>
  <c r="V48" i="9"/>
  <c r="V44" i="9"/>
  <c r="V40" i="9"/>
  <c r="V36" i="9"/>
  <c r="V32" i="9"/>
  <c r="V63" i="9"/>
  <c r="V58" i="9"/>
  <c r="V50" i="9"/>
  <c r="V67" i="9"/>
  <c r="V57" i="9"/>
  <c r="V53" i="9"/>
  <c r="V49" i="9"/>
  <c r="V45" i="9"/>
  <c r="V41" i="9"/>
  <c r="V39" i="9"/>
  <c r="V35" i="9"/>
  <c r="V31" i="9"/>
  <c r="V54" i="9"/>
  <c r="V59" i="9"/>
  <c r="V55" i="9"/>
  <c r="V51" i="9"/>
  <c r="V47" i="9"/>
  <c r="V43" i="9"/>
  <c r="V37" i="9"/>
  <c r="V33" i="9"/>
  <c r="V34" i="9"/>
  <c r="V46" i="9"/>
  <c r="V42" i="9"/>
  <c r="V38" i="9"/>
  <c r="W95" i="9"/>
  <c r="W98" i="9"/>
  <c r="W97" i="9"/>
  <c r="W94" i="9"/>
  <c r="W93" i="9"/>
  <c r="W90" i="9"/>
  <c r="W89" i="9"/>
  <c r="W96" i="9"/>
  <c r="W85" i="9"/>
  <c r="W81" i="9"/>
  <c r="W77" i="9"/>
  <c r="W76" i="9"/>
  <c r="W74" i="9"/>
  <c r="W73" i="9"/>
  <c r="W72" i="9"/>
  <c r="W70" i="9"/>
  <c r="W69" i="9"/>
  <c r="W68" i="9"/>
  <c r="W66" i="9"/>
  <c r="W65" i="9"/>
  <c r="W64" i="9"/>
  <c r="W62" i="9"/>
  <c r="W61" i="9"/>
  <c r="W59" i="9"/>
  <c r="W82" i="9"/>
  <c r="W58" i="9"/>
  <c r="W57" i="9"/>
  <c r="W55" i="9"/>
  <c r="W54" i="9"/>
  <c r="W53" i="9"/>
  <c r="W51" i="9"/>
  <c r="W50" i="9"/>
  <c r="W49" i="9"/>
  <c r="W47" i="9"/>
  <c r="W46" i="9"/>
  <c r="W45" i="9"/>
  <c r="W44" i="9"/>
  <c r="W43" i="9"/>
  <c r="W42" i="9"/>
  <c r="W41" i="9"/>
  <c r="W78" i="9"/>
  <c r="W86" i="9"/>
  <c r="W37" i="9"/>
  <c r="W33" i="9"/>
  <c r="W40" i="9"/>
  <c r="W36" i="9"/>
  <c r="W32" i="9"/>
  <c r="W38" i="9"/>
  <c r="W34" i="9"/>
  <c r="W39" i="9"/>
  <c r="W31" i="9"/>
  <c r="W35" i="9"/>
  <c r="X96" i="9"/>
  <c r="X95" i="9"/>
  <c r="X98" i="9"/>
  <c r="X91" i="9"/>
  <c r="X87" i="9"/>
  <c r="X86" i="9"/>
  <c r="X82" i="9"/>
  <c r="X78" i="9"/>
  <c r="X97" i="9"/>
  <c r="X92" i="9"/>
  <c r="X88" i="9"/>
  <c r="X85" i="9"/>
  <c r="X81" i="9"/>
  <c r="X77" i="9"/>
  <c r="X93" i="9"/>
  <c r="X89" i="9"/>
  <c r="X84" i="9"/>
  <c r="X80" i="9"/>
  <c r="X90" i="9"/>
  <c r="X75" i="9"/>
  <c r="X71" i="9"/>
  <c r="X67" i="9"/>
  <c r="X63" i="9"/>
  <c r="X59" i="9"/>
  <c r="X94" i="9"/>
  <c r="X83" i="9"/>
  <c r="X76" i="9"/>
  <c r="X72" i="9"/>
  <c r="X68" i="9"/>
  <c r="X66" i="9"/>
  <c r="X62" i="9"/>
  <c r="X58" i="9"/>
  <c r="X57" i="9"/>
  <c r="X56" i="9"/>
  <c r="X55" i="9"/>
  <c r="X54" i="9"/>
  <c r="X53" i="9"/>
  <c r="X52" i="9"/>
  <c r="X51" i="9"/>
  <c r="X50" i="9"/>
  <c r="X49" i="9"/>
  <c r="X48" i="9"/>
  <c r="X47" i="9"/>
  <c r="X46" i="9"/>
  <c r="X45" i="9"/>
  <c r="X44" i="9"/>
  <c r="X43" i="9"/>
  <c r="X42" i="9"/>
  <c r="X41" i="9"/>
  <c r="X79" i="9"/>
  <c r="X73" i="9"/>
  <c r="X69" i="9"/>
  <c r="X65" i="9"/>
  <c r="X61" i="9"/>
  <c r="X60" i="9"/>
  <c r="X38" i="9"/>
  <c r="X34" i="9"/>
  <c r="X33" i="9"/>
  <c r="X70" i="9"/>
  <c r="X37" i="9"/>
  <c r="X74" i="9"/>
  <c r="X64" i="9"/>
  <c r="X39" i="9"/>
  <c r="X35" i="9"/>
  <c r="X31" i="9"/>
  <c r="X40" i="9"/>
  <c r="X36" i="9"/>
  <c r="X32" i="9"/>
  <c r="Y98" i="9"/>
  <c r="Y97" i="9"/>
  <c r="Y96" i="9"/>
  <c r="Y95" i="9"/>
  <c r="Y94" i="9"/>
  <c r="Y93" i="9"/>
  <c r="Y92" i="9"/>
  <c r="Y91" i="9"/>
  <c r="Y90" i="9"/>
  <c r="Y89" i="9"/>
  <c r="Y88" i="9"/>
  <c r="Y87" i="9"/>
  <c r="Y86" i="9"/>
  <c r="Y85" i="9"/>
  <c r="Y84" i="9"/>
  <c r="Y83" i="9"/>
  <c r="Y82" i="9"/>
  <c r="Y81" i="9"/>
  <c r="Y80" i="9"/>
  <c r="Y79" i="9"/>
  <c r="Y78" i="9"/>
  <c r="Y77" i="9"/>
  <c r="Y76" i="9"/>
  <c r="Y75" i="9"/>
  <c r="Y74" i="9"/>
  <c r="Y73" i="9"/>
  <c r="Y72" i="9"/>
  <c r="Y71" i="9"/>
  <c r="Y70" i="9"/>
  <c r="Y69" i="9"/>
  <c r="Y68" i="9"/>
  <c r="Y64" i="9"/>
  <c r="Y60" i="9"/>
  <c r="Y67" i="9"/>
  <c r="Y63" i="9"/>
  <c r="Y59" i="9"/>
  <c r="Y66" i="9"/>
  <c r="Y62" i="9"/>
  <c r="Y58" i="9"/>
  <c r="Y57" i="9"/>
  <c r="Y56" i="9"/>
  <c r="Y55" i="9"/>
  <c r="Y54" i="9"/>
  <c r="Y53" i="9"/>
  <c r="Y52" i="9"/>
  <c r="Y51" i="9"/>
  <c r="Y50" i="9"/>
  <c r="Y49" i="9"/>
  <c r="Y48" i="9"/>
  <c r="Y47" i="9"/>
  <c r="Y46" i="9"/>
  <c r="Y45" i="9"/>
  <c r="Y44" i="9"/>
  <c r="Y43" i="9"/>
  <c r="Y42" i="9"/>
  <c r="Y41" i="9"/>
  <c r="Y40" i="9"/>
  <c r="Y39" i="9"/>
  <c r="Y38" i="9"/>
  <c r="Y37" i="9"/>
  <c r="Y36" i="9"/>
  <c r="Y35" i="9"/>
  <c r="Y34" i="9"/>
  <c r="Y33" i="9"/>
  <c r="Y32" i="9"/>
  <c r="Y31" i="9"/>
  <c r="Y65" i="9"/>
  <c r="Y61" i="9"/>
  <c r="Z97" i="9"/>
  <c r="Z96" i="9"/>
  <c r="Z94" i="9"/>
  <c r="Z90" i="9"/>
  <c r="Z95" i="9"/>
  <c r="Z86" i="9"/>
  <c r="Z82" i="9"/>
  <c r="Z78" i="9"/>
  <c r="Z76" i="9"/>
  <c r="Z74" i="9"/>
  <c r="Z72" i="9"/>
  <c r="Z70" i="9"/>
  <c r="Z69" i="9"/>
  <c r="Z68" i="9"/>
  <c r="Z98" i="9"/>
  <c r="Z85" i="9"/>
  <c r="Z81" i="9"/>
  <c r="Z65" i="9"/>
  <c r="Z64" i="9"/>
  <c r="Z59" i="9"/>
  <c r="Z55" i="9"/>
  <c r="Z51" i="9"/>
  <c r="Z47" i="9"/>
  <c r="Z43" i="9"/>
  <c r="Z39" i="9"/>
  <c r="Z35" i="9"/>
  <c r="Z31" i="9"/>
  <c r="Z62" i="9"/>
  <c r="Z53" i="9"/>
  <c r="Z49" i="9"/>
  <c r="Z66" i="9"/>
  <c r="Z44" i="9"/>
  <c r="Z38" i="9"/>
  <c r="Z34" i="9"/>
  <c r="Z58" i="9"/>
  <c r="Z54" i="9"/>
  <c r="Z50" i="9"/>
  <c r="Z46" i="9"/>
  <c r="Z42" i="9"/>
  <c r="Z40" i="9"/>
  <c r="Z36" i="9"/>
  <c r="Z32" i="9"/>
  <c r="Z33" i="9"/>
  <c r="Z37" i="9"/>
  <c r="AA98" i="9"/>
  <c r="AA97" i="9"/>
  <c r="AA96" i="9"/>
  <c r="AA94" i="9"/>
  <c r="AA93" i="9"/>
  <c r="AA92" i="9"/>
  <c r="AA91" i="9"/>
  <c r="AA90" i="9"/>
  <c r="AA89" i="9"/>
  <c r="AA88" i="9"/>
  <c r="AA87" i="9"/>
  <c r="AA95" i="9"/>
  <c r="AA84" i="9"/>
  <c r="AA80" i="9"/>
  <c r="AA83" i="9"/>
  <c r="AA79" i="9"/>
  <c r="AA86" i="9"/>
  <c r="AA82" i="9"/>
  <c r="AA78" i="9"/>
  <c r="AA76" i="9"/>
  <c r="AA75" i="9"/>
  <c r="AA74" i="9"/>
  <c r="AA73" i="9"/>
  <c r="AA72" i="9"/>
  <c r="AA71" i="9"/>
  <c r="AA70" i="9"/>
  <c r="AA69" i="9"/>
  <c r="AA68" i="9"/>
  <c r="AA67" i="9"/>
  <c r="AA66" i="9"/>
  <c r="AA65" i="9"/>
  <c r="AA64" i="9"/>
  <c r="AA63" i="9"/>
  <c r="AA62" i="9"/>
  <c r="AA61" i="9"/>
  <c r="AA60" i="9"/>
  <c r="AA59" i="9"/>
  <c r="AA58" i="9"/>
  <c r="AA81" i="9"/>
  <c r="AA57" i="9"/>
  <c r="AA56" i="9"/>
  <c r="AA55" i="9"/>
  <c r="AA54" i="9"/>
  <c r="AA53" i="9"/>
  <c r="AA52" i="9"/>
  <c r="AA51" i="9"/>
  <c r="AA50" i="9"/>
  <c r="AA49" i="9"/>
  <c r="AA48" i="9"/>
  <c r="AA47" i="9"/>
  <c r="AA46" i="9"/>
  <c r="AA45" i="9"/>
  <c r="AA44" i="9"/>
  <c r="AA43" i="9"/>
  <c r="AA42" i="9"/>
  <c r="AA41" i="9"/>
  <c r="AA77" i="9"/>
  <c r="AA40" i="9"/>
  <c r="AA36" i="9"/>
  <c r="AA32" i="9"/>
  <c r="AA31" i="9"/>
  <c r="AA85" i="9"/>
  <c r="AA39" i="9"/>
  <c r="AA35" i="9"/>
  <c r="AA37" i="9"/>
  <c r="AA33" i="9"/>
  <c r="AA38" i="9"/>
  <c r="AA34" i="9"/>
  <c r="AB95" i="9"/>
  <c r="AB98" i="9"/>
  <c r="AB97" i="9"/>
  <c r="AB94" i="9"/>
  <c r="AB90" i="9"/>
  <c r="AB85" i="9"/>
  <c r="AB81" i="9"/>
  <c r="AB77" i="9"/>
  <c r="AB96" i="9"/>
  <c r="AB91" i="9"/>
  <c r="AB87" i="9"/>
  <c r="AB84" i="9"/>
  <c r="AB80" i="9"/>
  <c r="AB92" i="9"/>
  <c r="AB88" i="9"/>
  <c r="AB83" i="9"/>
  <c r="AB79" i="9"/>
  <c r="AB89" i="9"/>
  <c r="AB86" i="9"/>
  <c r="AB74" i="9"/>
  <c r="AB70" i="9"/>
  <c r="AB66" i="9"/>
  <c r="AB62" i="9"/>
  <c r="AB58" i="9"/>
  <c r="AB93" i="9"/>
  <c r="AB82" i="9"/>
  <c r="AB75" i="9"/>
  <c r="AB71" i="9"/>
  <c r="AB65" i="9"/>
  <c r="AB61" i="9"/>
  <c r="AB57" i="9"/>
  <c r="AB56" i="9"/>
  <c r="AB55" i="9"/>
  <c r="AB54" i="9"/>
  <c r="AB53" i="9"/>
  <c r="AB52" i="9"/>
  <c r="AB51" i="9"/>
  <c r="AB50" i="9"/>
  <c r="AB49" i="9"/>
  <c r="AB48" i="9"/>
  <c r="AB47" i="9"/>
  <c r="AB46" i="9"/>
  <c r="AB45" i="9"/>
  <c r="AB44" i="9"/>
  <c r="AB43" i="9"/>
  <c r="AB42" i="9"/>
  <c r="AB41" i="9"/>
  <c r="AB78" i="9"/>
  <c r="AB76" i="9"/>
  <c r="AB72" i="9"/>
  <c r="AB68" i="9"/>
  <c r="AB64" i="9"/>
  <c r="AB60" i="9"/>
  <c r="AB59" i="9"/>
  <c r="AB37" i="9"/>
  <c r="AB33" i="9"/>
  <c r="AB32" i="9"/>
  <c r="AB69" i="9"/>
  <c r="AB67" i="9"/>
  <c r="AB40" i="9"/>
  <c r="AB36" i="9"/>
  <c r="AB73" i="9"/>
  <c r="AB63" i="9"/>
  <c r="AB38" i="9"/>
  <c r="AB34" i="9"/>
  <c r="AB39" i="9"/>
  <c r="AB35" i="9"/>
  <c r="AB31" i="9"/>
  <c r="AC98" i="9"/>
  <c r="AC97" i="9"/>
  <c r="AC96" i="9"/>
  <c r="AC95" i="9"/>
  <c r="AC94" i="9"/>
  <c r="AC93" i="9"/>
  <c r="AC92" i="9"/>
  <c r="AC91" i="9"/>
  <c r="AC90" i="9"/>
  <c r="AC89" i="9"/>
  <c r="AC88" i="9"/>
  <c r="AC87" i="9"/>
  <c r="AC86" i="9"/>
  <c r="AC85" i="9"/>
  <c r="AC84" i="9"/>
  <c r="AC83" i="9"/>
  <c r="AC82" i="9"/>
  <c r="AC81" i="9"/>
  <c r="AC80" i="9"/>
  <c r="AC79" i="9"/>
  <c r="AC78" i="9"/>
  <c r="AC77" i="9"/>
  <c r="AC76" i="9"/>
  <c r="AC75" i="9"/>
  <c r="AC74" i="9"/>
  <c r="AC73" i="9"/>
  <c r="AC72" i="9"/>
  <c r="AC71" i="9"/>
  <c r="AC70" i="9"/>
  <c r="AC69" i="9"/>
  <c r="AC68" i="9"/>
  <c r="AC67" i="9"/>
  <c r="AC63" i="9"/>
  <c r="AC59" i="9"/>
  <c r="AC66" i="9"/>
  <c r="AC62" i="9"/>
  <c r="AC58" i="9"/>
  <c r="AC65" i="9"/>
  <c r="AC61" i="9"/>
  <c r="AC57" i="9"/>
  <c r="AC56" i="9"/>
  <c r="AC55" i="9"/>
  <c r="AC54" i="9"/>
  <c r="AC53" i="9"/>
  <c r="AC52" i="9"/>
  <c r="AC51" i="9"/>
  <c r="AC50" i="9"/>
  <c r="AC49" i="9"/>
  <c r="AC48" i="9"/>
  <c r="AC47" i="9"/>
  <c r="AC46" i="9"/>
  <c r="AC45" i="9"/>
  <c r="AC44" i="9"/>
  <c r="AC43" i="9"/>
  <c r="AC42" i="9"/>
  <c r="AC41" i="9"/>
  <c r="AC40" i="9"/>
  <c r="AC39" i="9"/>
  <c r="AC38" i="9"/>
  <c r="AC37" i="9"/>
  <c r="AC36" i="9"/>
  <c r="AC35" i="9"/>
  <c r="AC34" i="9"/>
  <c r="AC33" i="9"/>
  <c r="AC32" i="9"/>
  <c r="AC31" i="9"/>
  <c r="AC64" i="9"/>
  <c r="AC60" i="9"/>
  <c r="AD96" i="9"/>
  <c r="AD95" i="9"/>
  <c r="AD94" i="9"/>
  <c r="AD90" i="9"/>
  <c r="AD98" i="9"/>
  <c r="AD86" i="9"/>
  <c r="AD82" i="9"/>
  <c r="AD78" i="9"/>
  <c r="AD85" i="9"/>
  <c r="AD81" i="9"/>
  <c r="AD76" i="9"/>
  <c r="AD74" i="9"/>
  <c r="AD72" i="9"/>
  <c r="AD70" i="9"/>
  <c r="AD69" i="9"/>
  <c r="AD68" i="9"/>
  <c r="AD97" i="9"/>
  <c r="AD64" i="9"/>
  <c r="AD59" i="9"/>
  <c r="AD66" i="9"/>
  <c r="AD62" i="9"/>
  <c r="AD58" i="9"/>
  <c r="AD54" i="9"/>
  <c r="AD50" i="9"/>
  <c r="AD46" i="9"/>
  <c r="AD42" i="9"/>
  <c r="AD38" i="9"/>
  <c r="AD34" i="9"/>
  <c r="AD65" i="9"/>
  <c r="AD55" i="9"/>
  <c r="AD51" i="9"/>
  <c r="AD47" i="9"/>
  <c r="AD43" i="9"/>
  <c r="AD37" i="9"/>
  <c r="AD33" i="9"/>
  <c r="AD53" i="9"/>
  <c r="AD49" i="9"/>
  <c r="AD39" i="9"/>
  <c r="AD35" i="9"/>
  <c r="AD31" i="9"/>
  <c r="AD32" i="9"/>
  <c r="AD44" i="9"/>
  <c r="AD36" i="9"/>
  <c r="AD40" i="9"/>
  <c r="AE97" i="9"/>
  <c r="AE96" i="9"/>
  <c r="AE95" i="9"/>
  <c r="AE94" i="9"/>
  <c r="AE93" i="9"/>
  <c r="AE90" i="9"/>
  <c r="AE89" i="9"/>
  <c r="AE86" i="9"/>
  <c r="AE82" i="9"/>
  <c r="AE78" i="9"/>
  <c r="AE85" i="9"/>
  <c r="AE81" i="9"/>
  <c r="AE77" i="9"/>
  <c r="AE76" i="9"/>
  <c r="AE74" i="9"/>
  <c r="AE73" i="9"/>
  <c r="AE72" i="9"/>
  <c r="AE70" i="9"/>
  <c r="AE69" i="9"/>
  <c r="AE68" i="9"/>
  <c r="AE66" i="9"/>
  <c r="AE65" i="9"/>
  <c r="AE64" i="9"/>
  <c r="AE62" i="9"/>
  <c r="AE61" i="9"/>
  <c r="AE59" i="9"/>
  <c r="AE58" i="9"/>
  <c r="AE57" i="9"/>
  <c r="AE55" i="9"/>
  <c r="AE54" i="9"/>
  <c r="AE53" i="9"/>
  <c r="AE51" i="9"/>
  <c r="AE50" i="9"/>
  <c r="AE49" i="9"/>
  <c r="AE47" i="9"/>
  <c r="AE46" i="9"/>
  <c r="AE45" i="9"/>
  <c r="AE44" i="9"/>
  <c r="AE43" i="9"/>
  <c r="AE42" i="9"/>
  <c r="AE41" i="9"/>
  <c r="AE39" i="9"/>
  <c r="AE35" i="9"/>
  <c r="AE31" i="9"/>
  <c r="AE34" i="9"/>
  <c r="AE38" i="9"/>
  <c r="AE98" i="9"/>
  <c r="AE40" i="9"/>
  <c r="AE36" i="9"/>
  <c r="AE32" i="9"/>
  <c r="AE37" i="9"/>
  <c r="AE33" i="9"/>
  <c r="AF98" i="9"/>
  <c r="AF97" i="9"/>
  <c r="AF96" i="9"/>
  <c r="AF93" i="9"/>
  <c r="AF89" i="9"/>
  <c r="AF84" i="9"/>
  <c r="AF80" i="9"/>
  <c r="AF95" i="9"/>
  <c r="AF94" i="9"/>
  <c r="AF90" i="9"/>
  <c r="AF83" i="9"/>
  <c r="AF79" i="9"/>
  <c r="AF91" i="9"/>
  <c r="AF87" i="9"/>
  <c r="AF86" i="9"/>
  <c r="AF82" i="9"/>
  <c r="AF78" i="9"/>
  <c r="AF88" i="9"/>
  <c r="AF85" i="9"/>
  <c r="AF73" i="9"/>
  <c r="AF69" i="9"/>
  <c r="AF65" i="9"/>
  <c r="AF61" i="9"/>
  <c r="AF92" i="9"/>
  <c r="AF81" i="9"/>
  <c r="AF74" i="9"/>
  <c r="AF70" i="9"/>
  <c r="AF64" i="9"/>
  <c r="AF60" i="9"/>
  <c r="AF57" i="9"/>
  <c r="AF56" i="9"/>
  <c r="AF55" i="9"/>
  <c r="AF54" i="9"/>
  <c r="AF53" i="9"/>
  <c r="AF52" i="9"/>
  <c r="AF51" i="9"/>
  <c r="AF50" i="9"/>
  <c r="AF49" i="9"/>
  <c r="AF48" i="9"/>
  <c r="AF47" i="9"/>
  <c r="AF46" i="9"/>
  <c r="AF45" i="9"/>
  <c r="AF44" i="9"/>
  <c r="AF43" i="9"/>
  <c r="AF42" i="9"/>
  <c r="AF41" i="9"/>
  <c r="AF77" i="9"/>
  <c r="AF75" i="9"/>
  <c r="AF71" i="9"/>
  <c r="AF67" i="9"/>
  <c r="AF63" i="9"/>
  <c r="AF59" i="9"/>
  <c r="AF76" i="9"/>
  <c r="AF58" i="9"/>
  <c r="AF40" i="9"/>
  <c r="AF36" i="9"/>
  <c r="AF32" i="9"/>
  <c r="AF31" i="9"/>
  <c r="AF66" i="9"/>
  <c r="AF39" i="9"/>
  <c r="AF35" i="9"/>
  <c r="AF68" i="9"/>
  <c r="AF72" i="9"/>
  <c r="AF62" i="9"/>
  <c r="AF37" i="9"/>
  <c r="AF33" i="9"/>
  <c r="AF34" i="9"/>
  <c r="AF38" i="9"/>
  <c r="AG98" i="9"/>
  <c r="AG97" i="9"/>
  <c r="AG96" i="9"/>
  <c r="AG95" i="9"/>
  <c r="AG94" i="9"/>
  <c r="AG93" i="9"/>
  <c r="AG91" i="9"/>
  <c r="AG90" i="9"/>
  <c r="AG89" i="9"/>
  <c r="AG87" i="9"/>
  <c r="AG86" i="9"/>
  <c r="AG85" i="9"/>
  <c r="AG83" i="9"/>
  <c r="AG82" i="9"/>
  <c r="AG81" i="9"/>
  <c r="AG79" i="9"/>
  <c r="AG78" i="9"/>
  <c r="AG77" i="9"/>
  <c r="AG76" i="9"/>
  <c r="AG75" i="9"/>
  <c r="AG74" i="9"/>
  <c r="AG73" i="9"/>
  <c r="AG72" i="9"/>
  <c r="AG71" i="9"/>
  <c r="AG70" i="9"/>
  <c r="AG69" i="9"/>
  <c r="AG68" i="9"/>
  <c r="AG66" i="9"/>
  <c r="AG62" i="9"/>
  <c r="AG58" i="9"/>
  <c r="AG65" i="9"/>
  <c r="AG61" i="9"/>
  <c r="AG64" i="9"/>
  <c r="AG57" i="9"/>
  <c r="AG55" i="9"/>
  <c r="AG54" i="9"/>
  <c r="AG53" i="9"/>
  <c r="AG51" i="9"/>
  <c r="AG50" i="9"/>
  <c r="AG49" i="9"/>
  <c r="AG47" i="9"/>
  <c r="AG46" i="9"/>
  <c r="AG45" i="9"/>
  <c r="AG44" i="9"/>
  <c r="AG43" i="9"/>
  <c r="AG42" i="9"/>
  <c r="AG41" i="9"/>
  <c r="AG40" i="9"/>
  <c r="AG39" i="9"/>
  <c r="AG38" i="9"/>
  <c r="AG37" i="9"/>
  <c r="AG36" i="9"/>
  <c r="AG35" i="9"/>
  <c r="AG34" i="9"/>
  <c r="AG33" i="9"/>
  <c r="AG32" i="9"/>
  <c r="AG31" i="9"/>
  <c r="AG63" i="9"/>
  <c r="AG59" i="9"/>
  <c r="AG67" i="9"/>
  <c r="AH95" i="9"/>
  <c r="AH98" i="9"/>
  <c r="AH94" i="9"/>
  <c r="AH93" i="9"/>
  <c r="AH92" i="9"/>
  <c r="AH91" i="9"/>
  <c r="AH90" i="9"/>
  <c r="AH89" i="9"/>
  <c r="AH88" i="9"/>
  <c r="AH87" i="9"/>
  <c r="AH97" i="9"/>
  <c r="AH85" i="9"/>
  <c r="AH81" i="9"/>
  <c r="AH77" i="9"/>
  <c r="AH84" i="9"/>
  <c r="AH80" i="9"/>
  <c r="AH76" i="9"/>
  <c r="AH75" i="9"/>
  <c r="AH74" i="9"/>
  <c r="AH73" i="9"/>
  <c r="AH72" i="9"/>
  <c r="AH71" i="9"/>
  <c r="AH70" i="9"/>
  <c r="AH69" i="9"/>
  <c r="AH68" i="9"/>
  <c r="AH96" i="9"/>
  <c r="AH83" i="9"/>
  <c r="AH79" i="9"/>
  <c r="AH67" i="9"/>
  <c r="AH63" i="9"/>
  <c r="AH59" i="9"/>
  <c r="AH86" i="9"/>
  <c r="AH66" i="9"/>
  <c r="AH62" i="9"/>
  <c r="AH58" i="9"/>
  <c r="AH82" i="9"/>
  <c r="AH65" i="9"/>
  <c r="AH61" i="9"/>
  <c r="AH57" i="9"/>
  <c r="AH53" i="9"/>
  <c r="AH49" i="9"/>
  <c r="AH45" i="9"/>
  <c r="AH41" i="9"/>
  <c r="AH37" i="9"/>
  <c r="AH33" i="9"/>
  <c r="AH64" i="9"/>
  <c r="AH54" i="9"/>
  <c r="AH50" i="9"/>
  <c r="AH46" i="9"/>
  <c r="AH42" i="9"/>
  <c r="AH40" i="9"/>
  <c r="AH36" i="9"/>
  <c r="AH32" i="9"/>
  <c r="AH60" i="9"/>
  <c r="AH55" i="9"/>
  <c r="AH78" i="9"/>
  <c r="AH56" i="9"/>
  <c r="AH52" i="9"/>
  <c r="AH48" i="9"/>
  <c r="AH44" i="9"/>
  <c r="AH38" i="9"/>
  <c r="AH34" i="9"/>
  <c r="AH51" i="9"/>
  <c r="AH47" i="9"/>
  <c r="AH31" i="9"/>
  <c r="AH43" i="9"/>
  <c r="AH39" i="9"/>
  <c r="AH35" i="9"/>
  <c r="AI96" i="9"/>
  <c r="AI95" i="9"/>
  <c r="AI98" i="9"/>
  <c r="AI94" i="9"/>
  <c r="AI93" i="9"/>
  <c r="AI92" i="9"/>
  <c r="AI91" i="9"/>
  <c r="AI90" i="9"/>
  <c r="AI89" i="9"/>
  <c r="AI88" i="9"/>
  <c r="AI87" i="9"/>
  <c r="AI86" i="9"/>
  <c r="AI82" i="9"/>
  <c r="AI78" i="9"/>
  <c r="AI85" i="9"/>
  <c r="AI81" i="9"/>
  <c r="AI77" i="9"/>
  <c r="AI84" i="9"/>
  <c r="AI80" i="9"/>
  <c r="AI76" i="9"/>
  <c r="AI75" i="9"/>
  <c r="AI74" i="9"/>
  <c r="AI73" i="9"/>
  <c r="AI72" i="9"/>
  <c r="AI71" i="9"/>
  <c r="AI70" i="9"/>
  <c r="AI69" i="9"/>
  <c r="AI68" i="9"/>
  <c r="AI67" i="9"/>
  <c r="AI66" i="9"/>
  <c r="AI65" i="9"/>
  <c r="AI64" i="9"/>
  <c r="AI63" i="9"/>
  <c r="AI62" i="9"/>
  <c r="AI61" i="9"/>
  <c r="AI60" i="9"/>
  <c r="AI59" i="9"/>
  <c r="AI58" i="9"/>
  <c r="AI97" i="9"/>
  <c r="AI79" i="9"/>
  <c r="AI57" i="9"/>
  <c r="AI56" i="9"/>
  <c r="AI55" i="9"/>
  <c r="AI54" i="9"/>
  <c r="AI53" i="9"/>
  <c r="AI52" i="9"/>
  <c r="AI51" i="9"/>
  <c r="AI50" i="9"/>
  <c r="AI49" i="9"/>
  <c r="AI48" i="9"/>
  <c r="AI47" i="9"/>
  <c r="AI46" i="9"/>
  <c r="AI45" i="9"/>
  <c r="AI44" i="9"/>
  <c r="AI43" i="9"/>
  <c r="AI42" i="9"/>
  <c r="AI41" i="9"/>
  <c r="AI38" i="9"/>
  <c r="AI34" i="9"/>
  <c r="AI33" i="9"/>
  <c r="AI37" i="9"/>
  <c r="AI83" i="9"/>
  <c r="AI39" i="9"/>
  <c r="AI35" i="9"/>
  <c r="AI31" i="9"/>
  <c r="AI36" i="9"/>
  <c r="AI32" i="9"/>
  <c r="AI40" i="9"/>
  <c r="AJ97" i="9"/>
  <c r="AJ96" i="9"/>
  <c r="AJ95" i="9"/>
  <c r="AJ98" i="9"/>
  <c r="AJ92" i="9"/>
  <c r="AJ88" i="9"/>
  <c r="AJ83" i="9"/>
  <c r="AJ79" i="9"/>
  <c r="AJ93" i="9"/>
  <c r="AJ89" i="9"/>
  <c r="AJ86" i="9"/>
  <c r="AJ82" i="9"/>
  <c r="AJ78" i="9"/>
  <c r="AJ94" i="9"/>
  <c r="AJ90" i="9"/>
  <c r="AJ85" i="9"/>
  <c r="AJ81" i="9"/>
  <c r="AJ77" i="9"/>
  <c r="AJ87" i="9"/>
  <c r="AJ84" i="9"/>
  <c r="AJ76" i="9"/>
  <c r="AJ72" i="9"/>
  <c r="AJ68" i="9"/>
  <c r="AJ64" i="9"/>
  <c r="AJ60" i="9"/>
  <c r="AJ91" i="9"/>
  <c r="AJ80" i="9"/>
  <c r="AJ73" i="9"/>
  <c r="AJ69" i="9"/>
  <c r="AJ67" i="9"/>
  <c r="AJ63" i="9"/>
  <c r="AJ59" i="9"/>
  <c r="AJ57" i="9"/>
  <c r="AJ56" i="9"/>
  <c r="AJ55" i="9"/>
  <c r="AJ54" i="9"/>
  <c r="AJ53" i="9"/>
  <c r="AJ52" i="9"/>
  <c r="AJ51" i="9"/>
  <c r="AJ50" i="9"/>
  <c r="AJ49" i="9"/>
  <c r="AJ48" i="9"/>
  <c r="AJ47" i="9"/>
  <c r="AJ46" i="9"/>
  <c r="AJ45" i="9"/>
  <c r="AJ44" i="9"/>
  <c r="AJ43" i="9"/>
  <c r="AJ42" i="9"/>
  <c r="AJ41" i="9"/>
  <c r="AJ74" i="9"/>
  <c r="AJ70" i="9"/>
  <c r="AJ66" i="9"/>
  <c r="AJ62" i="9"/>
  <c r="AJ58" i="9"/>
  <c r="AJ75" i="9"/>
  <c r="AJ39" i="9"/>
  <c r="AJ35" i="9"/>
  <c r="AJ31" i="9"/>
  <c r="AJ34" i="9"/>
  <c r="AJ65" i="9"/>
  <c r="AJ38" i="9"/>
  <c r="AJ71" i="9"/>
  <c r="AJ61" i="9"/>
  <c r="AJ40" i="9"/>
  <c r="AJ36" i="9"/>
  <c r="AJ32" i="9"/>
  <c r="AJ33" i="9"/>
  <c r="AJ37" i="9"/>
  <c r="AK98" i="9"/>
  <c r="AK97" i="9"/>
  <c r="AK96" i="9"/>
  <c r="AK95" i="9"/>
  <c r="AK94" i="9"/>
  <c r="AK93" i="9"/>
  <c r="AK91" i="9"/>
  <c r="AK90" i="9"/>
  <c r="AK89" i="9"/>
  <c r="AK87" i="9"/>
  <c r="AK86" i="9"/>
  <c r="AK85" i="9"/>
  <c r="AK83" i="9"/>
  <c r="AK82" i="9"/>
  <c r="AK81" i="9"/>
  <c r="AK79" i="9"/>
  <c r="AK78" i="9"/>
  <c r="AK77" i="9"/>
  <c r="AK76" i="9"/>
  <c r="AK75" i="9"/>
  <c r="AK74" i="9"/>
  <c r="AK73" i="9"/>
  <c r="AK72" i="9"/>
  <c r="AK71" i="9"/>
  <c r="AK70" i="9"/>
  <c r="AK69" i="9"/>
  <c r="AK68" i="9"/>
  <c r="AK65" i="9"/>
  <c r="AK61" i="9"/>
  <c r="AK64" i="9"/>
  <c r="AK67" i="9"/>
  <c r="AK63" i="9"/>
  <c r="AK59" i="9"/>
  <c r="AK57" i="9"/>
  <c r="AK55" i="9"/>
  <c r="AK54" i="9"/>
  <c r="AK53" i="9"/>
  <c r="AK51" i="9"/>
  <c r="AK50" i="9"/>
  <c r="AK49" i="9"/>
  <c r="AK47" i="9"/>
  <c r="AK46" i="9"/>
  <c r="AK45" i="9"/>
  <c r="AK44" i="9"/>
  <c r="AK43" i="9"/>
  <c r="AK42" i="9"/>
  <c r="AK41" i="9"/>
  <c r="AK40" i="9"/>
  <c r="AK39" i="9"/>
  <c r="AK38" i="9"/>
  <c r="AK37" i="9"/>
  <c r="AK36" i="9"/>
  <c r="AK35" i="9"/>
  <c r="AK34" i="9"/>
  <c r="AK33" i="9"/>
  <c r="AK32" i="9"/>
  <c r="AK31" i="9"/>
  <c r="AK62" i="9"/>
  <c r="AK58" i="9"/>
  <c r="AK66" i="9"/>
  <c r="AL98" i="9"/>
  <c r="AL97" i="9"/>
  <c r="AL94" i="9"/>
  <c r="AL93" i="9"/>
  <c r="AL92" i="9"/>
  <c r="AL91" i="9"/>
  <c r="AL90" i="9"/>
  <c r="AL89" i="9"/>
  <c r="AL88" i="9"/>
  <c r="AL87" i="9"/>
  <c r="AL96" i="9"/>
  <c r="AL84" i="9"/>
  <c r="AL80" i="9"/>
  <c r="AL83" i="9"/>
  <c r="AL79" i="9"/>
  <c r="AL76" i="9"/>
  <c r="AL75" i="9"/>
  <c r="AL74" i="9"/>
  <c r="AL73" i="9"/>
  <c r="AL72" i="9"/>
  <c r="AL71" i="9"/>
  <c r="AL70" i="9"/>
  <c r="AL69" i="9"/>
  <c r="AL68" i="9"/>
  <c r="AL95" i="9"/>
  <c r="AL86" i="9"/>
  <c r="AL82" i="9"/>
  <c r="AL78" i="9"/>
  <c r="AL66" i="9"/>
  <c r="AL62" i="9"/>
  <c r="AL58" i="9"/>
  <c r="AL85" i="9"/>
  <c r="AL65" i="9"/>
  <c r="AL61" i="9"/>
  <c r="AL81" i="9"/>
  <c r="AL64" i="9"/>
  <c r="AL60" i="9"/>
  <c r="AL77" i="9"/>
  <c r="AL67" i="9"/>
  <c r="AL56" i="9"/>
  <c r="AL52" i="9"/>
  <c r="AL48" i="9"/>
  <c r="AL44" i="9"/>
  <c r="AL40" i="9"/>
  <c r="AL36" i="9"/>
  <c r="AL32" i="9"/>
  <c r="AL54" i="9"/>
  <c r="AL46" i="9"/>
  <c r="AL63" i="9"/>
  <c r="AL57" i="9"/>
  <c r="AL53" i="9"/>
  <c r="AL49" i="9"/>
  <c r="AL45" i="9"/>
  <c r="AL41" i="9"/>
  <c r="AL39" i="9"/>
  <c r="AL35" i="9"/>
  <c r="AL31" i="9"/>
  <c r="AL59" i="9"/>
  <c r="AL50" i="9"/>
  <c r="AL55" i="9"/>
  <c r="AL51" i="9"/>
  <c r="AL47" i="9"/>
  <c r="AL43" i="9"/>
  <c r="AL37" i="9"/>
  <c r="AL33" i="9"/>
  <c r="AL42" i="9"/>
  <c r="AL38" i="9"/>
  <c r="AL34" i="9"/>
  <c r="AM95" i="9"/>
  <c r="AM98" i="9"/>
  <c r="AM97" i="9"/>
  <c r="AM94" i="9"/>
  <c r="AM93" i="9"/>
  <c r="AM90" i="9"/>
  <c r="AM89" i="9"/>
  <c r="AM85" i="9"/>
  <c r="AM81" i="9"/>
  <c r="AM77" i="9"/>
  <c r="AM76" i="9"/>
  <c r="AM74" i="9"/>
  <c r="AM73" i="9"/>
  <c r="AM72" i="9"/>
  <c r="AM70" i="9"/>
  <c r="AM69" i="9"/>
  <c r="AM68" i="9"/>
  <c r="AM66" i="9"/>
  <c r="AM65" i="9"/>
  <c r="AM64" i="9"/>
  <c r="AM62" i="9"/>
  <c r="AM61" i="9"/>
  <c r="AM59" i="9"/>
  <c r="AM58" i="9"/>
  <c r="AM78" i="9"/>
  <c r="AM57" i="9"/>
  <c r="AM55" i="9"/>
  <c r="AM54" i="9"/>
  <c r="AM53" i="9"/>
  <c r="AM51" i="9"/>
  <c r="AM50" i="9"/>
  <c r="AM49" i="9"/>
  <c r="AM47" i="9"/>
  <c r="AM46" i="9"/>
  <c r="AM45" i="9"/>
  <c r="AM44" i="9"/>
  <c r="AM43" i="9"/>
  <c r="AM42" i="9"/>
  <c r="AM41" i="9"/>
  <c r="AM96" i="9"/>
  <c r="AM86" i="9"/>
  <c r="AM82" i="9"/>
  <c r="AM37" i="9"/>
  <c r="AM33" i="9"/>
  <c r="AM32" i="9"/>
  <c r="AM40" i="9"/>
  <c r="AM36" i="9"/>
  <c r="AM38" i="9"/>
  <c r="AM34" i="9"/>
  <c r="AM35" i="9"/>
  <c r="AM31" i="9"/>
  <c r="AM39" i="9"/>
  <c r="AN96" i="9"/>
  <c r="AN95" i="9"/>
  <c r="AN98" i="9"/>
  <c r="AN97" i="9"/>
  <c r="AN91" i="9"/>
  <c r="AN87" i="9"/>
  <c r="AN86" i="9"/>
  <c r="AN82" i="9"/>
  <c r="AN78" i="9"/>
  <c r="AN92" i="9"/>
  <c r="AN88" i="9"/>
  <c r="AN85" i="9"/>
  <c r="AN81" i="9"/>
  <c r="AN77" i="9"/>
  <c r="AN93" i="9"/>
  <c r="AN89" i="9"/>
  <c r="AN84" i="9"/>
  <c r="AN80" i="9"/>
  <c r="AN83" i="9"/>
  <c r="AN75" i="9"/>
  <c r="AN71" i="9"/>
  <c r="AN67" i="9"/>
  <c r="AN63" i="9"/>
  <c r="AN59" i="9"/>
  <c r="AN90" i="9"/>
  <c r="AN79" i="9"/>
  <c r="AN76" i="9"/>
  <c r="AN72" i="9"/>
  <c r="AN68" i="9"/>
  <c r="AN66" i="9"/>
  <c r="AN62" i="9"/>
  <c r="AN58" i="9"/>
  <c r="AN57" i="9"/>
  <c r="AN56" i="9"/>
  <c r="AN55" i="9"/>
  <c r="AN54" i="9"/>
  <c r="AN53" i="9"/>
  <c r="AN52" i="9"/>
  <c r="AN51" i="9"/>
  <c r="AN50" i="9"/>
  <c r="AN49" i="9"/>
  <c r="AN48" i="9"/>
  <c r="AN47" i="9"/>
  <c r="AN46" i="9"/>
  <c r="AN45" i="9"/>
  <c r="AN44" i="9"/>
  <c r="AN43" i="9"/>
  <c r="AN42" i="9"/>
  <c r="AN41" i="9"/>
  <c r="AN94" i="9"/>
  <c r="AN73" i="9"/>
  <c r="AN69" i="9"/>
  <c r="AN65" i="9"/>
  <c r="AN61" i="9"/>
  <c r="AN74" i="9"/>
  <c r="AN38" i="9"/>
  <c r="AN34" i="9"/>
  <c r="AN33" i="9"/>
  <c r="AN64" i="9"/>
  <c r="AN37" i="9"/>
  <c r="AN70" i="9"/>
  <c r="AN60" i="9"/>
  <c r="AN39" i="9"/>
  <c r="AN35" i="9"/>
  <c r="AN31" i="9"/>
  <c r="AN40" i="9"/>
  <c r="AN36" i="9"/>
  <c r="AN32" i="9"/>
  <c r="AO98" i="9"/>
  <c r="AO97" i="9"/>
  <c r="AO96" i="9"/>
  <c r="AO95" i="9"/>
  <c r="AO94" i="9"/>
  <c r="AO93" i="9"/>
  <c r="AO91" i="9"/>
  <c r="AO90" i="9"/>
  <c r="AO89" i="9"/>
  <c r="AO87" i="9"/>
  <c r="AO86" i="9"/>
  <c r="AO85" i="9"/>
  <c r="AO83" i="9"/>
  <c r="AO82" i="9"/>
  <c r="AO81" i="9"/>
  <c r="AO79" i="9"/>
  <c r="AO78" i="9"/>
  <c r="AO77" i="9"/>
  <c r="AO76" i="9"/>
  <c r="AO75" i="9"/>
  <c r="AO74" i="9"/>
  <c r="AO73" i="9"/>
  <c r="AO72" i="9"/>
  <c r="AO71" i="9"/>
  <c r="AO70" i="9"/>
  <c r="AO69" i="9"/>
  <c r="AO68" i="9"/>
  <c r="AO64" i="9"/>
  <c r="AO67" i="9"/>
  <c r="AO63" i="9"/>
  <c r="AO59" i="9"/>
  <c r="AO66" i="9"/>
  <c r="AO62" i="9"/>
  <c r="AO58" i="9"/>
  <c r="AO57" i="9"/>
  <c r="AO55" i="9"/>
  <c r="AO54" i="9"/>
  <c r="AO53" i="9"/>
  <c r="AO51" i="9"/>
  <c r="AO50" i="9"/>
  <c r="AO49" i="9"/>
  <c r="AO47" i="9"/>
  <c r="AO46" i="9"/>
  <c r="AO45" i="9"/>
  <c r="AO44" i="9"/>
  <c r="AO43" i="9"/>
  <c r="AO42" i="9"/>
  <c r="AO41" i="9"/>
  <c r="AO40" i="9"/>
  <c r="AO39" i="9"/>
  <c r="AO38" i="9"/>
  <c r="AO37" i="9"/>
  <c r="AO36" i="9"/>
  <c r="AO35" i="9"/>
  <c r="AO34" i="9"/>
  <c r="AO33" i="9"/>
  <c r="AO32" i="9"/>
  <c r="AO31" i="9"/>
  <c r="AO61" i="9"/>
  <c r="AO65" i="9"/>
  <c r="AP97" i="9"/>
  <c r="AP96" i="9"/>
  <c r="AP94" i="9"/>
  <c r="AP90" i="9"/>
  <c r="AP95" i="9"/>
  <c r="AP98" i="9"/>
  <c r="AP86" i="9"/>
  <c r="AP82" i="9"/>
  <c r="AP78" i="9"/>
  <c r="AP76" i="9"/>
  <c r="AP74" i="9"/>
  <c r="AP72" i="9"/>
  <c r="AP70" i="9"/>
  <c r="AP69" i="9"/>
  <c r="AP68" i="9"/>
  <c r="AP85" i="9"/>
  <c r="AP81" i="9"/>
  <c r="AP65" i="9"/>
  <c r="AP64" i="9"/>
  <c r="AP59" i="9"/>
  <c r="AP66" i="9"/>
  <c r="AP55" i="9"/>
  <c r="AP51" i="9"/>
  <c r="AP47" i="9"/>
  <c r="AP43" i="9"/>
  <c r="AP39" i="9"/>
  <c r="AP35" i="9"/>
  <c r="AP31" i="9"/>
  <c r="AP58" i="9"/>
  <c r="AP53" i="9"/>
  <c r="AP49" i="9"/>
  <c r="AP62" i="9"/>
  <c r="AP44" i="9"/>
  <c r="AP38" i="9"/>
  <c r="AP34" i="9"/>
  <c r="AP54" i="9"/>
  <c r="AP50" i="9"/>
  <c r="AP46" i="9"/>
  <c r="AP42" i="9"/>
  <c r="AP40" i="9"/>
  <c r="AP36" i="9"/>
  <c r="AP32" i="9"/>
  <c r="AP37" i="9"/>
  <c r="AP33" i="9"/>
  <c r="AQ98" i="9"/>
  <c r="AQ97" i="9"/>
  <c r="AQ96" i="9"/>
  <c r="AQ94" i="9"/>
  <c r="AQ93" i="9"/>
  <c r="AQ92" i="9"/>
  <c r="AQ91" i="9"/>
  <c r="AQ90" i="9"/>
  <c r="AQ89" i="9"/>
  <c r="AQ88" i="9"/>
  <c r="AQ87" i="9"/>
  <c r="AQ84" i="9"/>
  <c r="AQ80" i="9"/>
  <c r="AQ83" i="9"/>
  <c r="AQ79" i="9"/>
  <c r="AQ86" i="9"/>
  <c r="AQ82" i="9"/>
  <c r="AQ78" i="9"/>
  <c r="AQ76" i="9"/>
  <c r="AQ75" i="9"/>
  <c r="AQ74" i="9"/>
  <c r="AQ73" i="9"/>
  <c r="AQ72" i="9"/>
  <c r="AQ71" i="9"/>
  <c r="AQ70" i="9"/>
  <c r="AQ69" i="9"/>
  <c r="AQ68" i="9"/>
  <c r="AQ67" i="9"/>
  <c r="AQ66" i="9"/>
  <c r="AQ65" i="9"/>
  <c r="AQ64" i="9"/>
  <c r="AQ63" i="9"/>
  <c r="AQ62" i="9"/>
  <c r="AQ61" i="9"/>
  <c r="AQ60" i="9"/>
  <c r="AQ59" i="9"/>
  <c r="AQ58" i="9"/>
  <c r="AQ77" i="9"/>
  <c r="AQ57" i="9"/>
  <c r="AQ56" i="9"/>
  <c r="AQ55" i="9"/>
  <c r="AQ54" i="9"/>
  <c r="AQ53" i="9"/>
  <c r="AQ52" i="9"/>
  <c r="AQ51" i="9"/>
  <c r="AQ50" i="9"/>
  <c r="AQ49" i="9"/>
  <c r="AQ48" i="9"/>
  <c r="AQ47" i="9"/>
  <c r="AQ46" i="9"/>
  <c r="AQ45" i="9"/>
  <c r="AQ44" i="9"/>
  <c r="AQ43" i="9"/>
  <c r="AQ42" i="9"/>
  <c r="AQ41" i="9"/>
  <c r="AQ95" i="9"/>
  <c r="AQ85" i="9"/>
  <c r="AQ40" i="9"/>
  <c r="AQ36" i="9"/>
  <c r="AQ32" i="9"/>
  <c r="AQ31" i="9"/>
  <c r="AQ81" i="9"/>
  <c r="AQ39" i="9"/>
  <c r="AQ35" i="9"/>
  <c r="AQ37" i="9"/>
  <c r="AQ33" i="9"/>
  <c r="AQ34" i="9"/>
  <c r="AQ38" i="9"/>
  <c r="AR95" i="9"/>
  <c r="AR98" i="9"/>
  <c r="AR97" i="9"/>
  <c r="AR96" i="9"/>
  <c r="AR94" i="9"/>
  <c r="AR90" i="9"/>
  <c r="AR85" i="9"/>
  <c r="AR81" i="9"/>
  <c r="AR77" i="9"/>
  <c r="AR91" i="9"/>
  <c r="AR87" i="9"/>
  <c r="AR84" i="9"/>
  <c r="AR80" i="9"/>
  <c r="AR92" i="9"/>
  <c r="AR88" i="9"/>
  <c r="AR83" i="9"/>
  <c r="AR79" i="9"/>
  <c r="AR82" i="9"/>
  <c r="AR74" i="9"/>
  <c r="AR70" i="9"/>
  <c r="AR66" i="9"/>
  <c r="AR62" i="9"/>
  <c r="AR58" i="9"/>
  <c r="AR89" i="9"/>
  <c r="AR78" i="9"/>
  <c r="AR75" i="9"/>
  <c r="AR71" i="9"/>
  <c r="AR65" i="9"/>
  <c r="AR61" i="9"/>
  <c r="AR57" i="9"/>
  <c r="AR56" i="9"/>
  <c r="AR55" i="9"/>
  <c r="AR54" i="9"/>
  <c r="AR53" i="9"/>
  <c r="AR52" i="9"/>
  <c r="AR51" i="9"/>
  <c r="AR50" i="9"/>
  <c r="AR49" i="9"/>
  <c r="AR48" i="9"/>
  <c r="AR47" i="9"/>
  <c r="AR46" i="9"/>
  <c r="AR45" i="9"/>
  <c r="AR44" i="9"/>
  <c r="AR43" i="9"/>
  <c r="AR42" i="9"/>
  <c r="AR41" i="9"/>
  <c r="AR93" i="9"/>
  <c r="AR76" i="9"/>
  <c r="AR72" i="9"/>
  <c r="AR68" i="9"/>
  <c r="AR64" i="9"/>
  <c r="AR60" i="9"/>
  <c r="AR73" i="9"/>
  <c r="AR37" i="9"/>
  <c r="AR33" i="9"/>
  <c r="AR32" i="9"/>
  <c r="AR86" i="9"/>
  <c r="AR67" i="9"/>
  <c r="AR40" i="9"/>
  <c r="AR36" i="9"/>
  <c r="AR63" i="9"/>
  <c r="AR69" i="9"/>
  <c r="AR59" i="9"/>
  <c r="AR38" i="9"/>
  <c r="AR34" i="9"/>
  <c r="AR39" i="9"/>
  <c r="AR35" i="9"/>
  <c r="AR31" i="9"/>
  <c r="AS98" i="9"/>
  <c r="AS97" i="9"/>
  <c r="AS96" i="9"/>
  <c r="AS95" i="9"/>
  <c r="AS94" i="9"/>
  <c r="AS93" i="9"/>
  <c r="AS91" i="9"/>
  <c r="AS90" i="9"/>
  <c r="AS89" i="9"/>
  <c r="AS87" i="9"/>
  <c r="AS86" i="9"/>
  <c r="AS85" i="9"/>
  <c r="AS83" i="9"/>
  <c r="AS82" i="9"/>
  <c r="AS81" i="9"/>
  <c r="AS79" i="9"/>
  <c r="AS78" i="9"/>
  <c r="AS77" i="9"/>
  <c r="AS76" i="9"/>
  <c r="AS75" i="9"/>
  <c r="AS74" i="9"/>
  <c r="AS73" i="9"/>
  <c r="AS72" i="9"/>
  <c r="AS71" i="9"/>
  <c r="AS70" i="9"/>
  <c r="AS69" i="9"/>
  <c r="AS68" i="9"/>
  <c r="AS67" i="9"/>
  <c r="AS63" i="9"/>
  <c r="AS59" i="9"/>
  <c r="AS66" i="9"/>
  <c r="AS62" i="9"/>
  <c r="AS58" i="9"/>
  <c r="AS65" i="9"/>
  <c r="AS61" i="9"/>
  <c r="AS57" i="9"/>
  <c r="AS55" i="9"/>
  <c r="AS54" i="9"/>
  <c r="AS53" i="9"/>
  <c r="AS51" i="9"/>
  <c r="AS50" i="9"/>
  <c r="AS49" i="9"/>
  <c r="AS47" i="9"/>
  <c r="AS46" i="9"/>
  <c r="AS45" i="9"/>
  <c r="AS44" i="9"/>
  <c r="AS43" i="9"/>
  <c r="AS42" i="9"/>
  <c r="AS41" i="9"/>
  <c r="AS40" i="9"/>
  <c r="AS39" i="9"/>
  <c r="AS38" i="9"/>
  <c r="AS37" i="9"/>
  <c r="AS36" i="9"/>
  <c r="AS35" i="9"/>
  <c r="AS34" i="9"/>
  <c r="AS33" i="9"/>
  <c r="AS32" i="9"/>
  <c r="AS31" i="9"/>
  <c r="AS64" i="9"/>
  <c r="AT96" i="9"/>
  <c r="AT95" i="9"/>
  <c r="AT94" i="9"/>
  <c r="AT90" i="9"/>
  <c r="AT98" i="9"/>
  <c r="AT86" i="9"/>
  <c r="AT82" i="9"/>
  <c r="AT78" i="9"/>
  <c r="AT97" i="9"/>
  <c r="AT85" i="9"/>
  <c r="AT81" i="9"/>
  <c r="AT76" i="9"/>
  <c r="AT74" i="9"/>
  <c r="AT72" i="9"/>
  <c r="AT70" i="9"/>
  <c r="AT69" i="9"/>
  <c r="AT68" i="9"/>
  <c r="AT64" i="9"/>
  <c r="AT59" i="9"/>
  <c r="AT66" i="9"/>
  <c r="AT62" i="9"/>
  <c r="AT58" i="9"/>
  <c r="AT65" i="9"/>
  <c r="AT54" i="9"/>
  <c r="AT50" i="9"/>
  <c r="AT46" i="9"/>
  <c r="AT42" i="9"/>
  <c r="AT38" i="9"/>
  <c r="AT34" i="9"/>
  <c r="AT33" i="9"/>
  <c r="AT55" i="9"/>
  <c r="AT51" i="9"/>
  <c r="AT47" i="9"/>
  <c r="AT43" i="9"/>
  <c r="AT37" i="9"/>
  <c r="AT53" i="9"/>
  <c r="AT49" i="9"/>
  <c r="AT39" i="9"/>
  <c r="AT35" i="9"/>
  <c r="AT31" i="9"/>
  <c r="AT36" i="9"/>
  <c r="AT40" i="9"/>
  <c r="AT44" i="9"/>
  <c r="AT32" i="9"/>
  <c r="AU97" i="9"/>
  <c r="AU96" i="9"/>
  <c r="AU95" i="9"/>
  <c r="AU94" i="9"/>
  <c r="AU93" i="9"/>
  <c r="AU90" i="9"/>
  <c r="AU89" i="9"/>
  <c r="AU86" i="9"/>
  <c r="AU82" i="9"/>
  <c r="AU78" i="9"/>
  <c r="AU98" i="9"/>
  <c r="AU85" i="9"/>
  <c r="AU81" i="9"/>
  <c r="AU77" i="9"/>
  <c r="AU76" i="9"/>
  <c r="AU74" i="9"/>
  <c r="AU73" i="9"/>
  <c r="AU72" i="9"/>
  <c r="AU70" i="9"/>
  <c r="AU69" i="9"/>
  <c r="AU68" i="9"/>
  <c r="AU66" i="9"/>
  <c r="AU65" i="9"/>
  <c r="AU64" i="9"/>
  <c r="AU62" i="9"/>
  <c r="AU61" i="9"/>
  <c r="AU59" i="9"/>
  <c r="AU58" i="9"/>
  <c r="AU57" i="9"/>
  <c r="AU55" i="9"/>
  <c r="AU54" i="9"/>
  <c r="AU53" i="9"/>
  <c r="AU51" i="9"/>
  <c r="AU50" i="9"/>
  <c r="AU49" i="9"/>
  <c r="AU47" i="9"/>
  <c r="AU46" i="9"/>
  <c r="AU45" i="9"/>
  <c r="AU44" i="9"/>
  <c r="AU43" i="9"/>
  <c r="AU42" i="9"/>
  <c r="AU41" i="9"/>
  <c r="AU39" i="9"/>
  <c r="AU35" i="9"/>
  <c r="AU31" i="9"/>
  <c r="AU38" i="9"/>
  <c r="AU34" i="9"/>
  <c r="AU40" i="9"/>
  <c r="AU36" i="9"/>
  <c r="AU32" i="9"/>
  <c r="AU33" i="9"/>
  <c r="AU37" i="9"/>
  <c r="AV98" i="9"/>
  <c r="AV97" i="9"/>
  <c r="AV96" i="9"/>
  <c r="AV95" i="9"/>
  <c r="AV93" i="9"/>
  <c r="AV89" i="9"/>
  <c r="AV84" i="9"/>
  <c r="AV80" i="9"/>
  <c r="AV94" i="9"/>
  <c r="AV90" i="9"/>
  <c r="AV83" i="9"/>
  <c r="AV79" i="9"/>
  <c r="AV91" i="9"/>
  <c r="AV87" i="9"/>
  <c r="AV86" i="9"/>
  <c r="AV82" i="9"/>
  <c r="AV78" i="9"/>
  <c r="AV81" i="9"/>
  <c r="AV73" i="9"/>
  <c r="AV69" i="9"/>
  <c r="AV65" i="9"/>
  <c r="AV61" i="9"/>
  <c r="AV88" i="9"/>
  <c r="AV77" i="9"/>
  <c r="AV74" i="9"/>
  <c r="AV70" i="9"/>
  <c r="AV64" i="9"/>
  <c r="AV60" i="9"/>
  <c r="AV57" i="9"/>
  <c r="AV56" i="9"/>
  <c r="AV55" i="9"/>
  <c r="AV54" i="9"/>
  <c r="AV53" i="9"/>
  <c r="AV52" i="9"/>
  <c r="AV51" i="9"/>
  <c r="AV50" i="9"/>
  <c r="AV49" i="9"/>
  <c r="AV48" i="9"/>
  <c r="AV47" i="9"/>
  <c r="AV46" i="9"/>
  <c r="AV45" i="9"/>
  <c r="AV44" i="9"/>
  <c r="AV43" i="9"/>
  <c r="AV42" i="9"/>
  <c r="AV41" i="9"/>
  <c r="AV92" i="9"/>
  <c r="AV75" i="9"/>
  <c r="AV71" i="9"/>
  <c r="AV67" i="9"/>
  <c r="AV63" i="9"/>
  <c r="AV59" i="9"/>
  <c r="AV72" i="9"/>
  <c r="AV40" i="9"/>
  <c r="AV36" i="9"/>
  <c r="AV32" i="9"/>
  <c r="AV31" i="9"/>
  <c r="AV76" i="9"/>
  <c r="AV66" i="9"/>
  <c r="AV39" i="9"/>
  <c r="AV35" i="9"/>
  <c r="AV85" i="9"/>
  <c r="AV62" i="9"/>
  <c r="AV68" i="9"/>
  <c r="AV58" i="9"/>
  <c r="AV37" i="9"/>
  <c r="AV33" i="9"/>
  <c r="AV38" i="9"/>
  <c r="AV34" i="9"/>
  <c r="AW98" i="9"/>
  <c r="AW97" i="9"/>
  <c r="AW96" i="9"/>
  <c r="AW95" i="9"/>
  <c r="AW94" i="9"/>
  <c r="AW93" i="9"/>
  <c r="AW92" i="9"/>
  <c r="AW91" i="9"/>
  <c r="AW90" i="9"/>
  <c r="AW89" i="9"/>
  <c r="AW88" i="9"/>
  <c r="AW87" i="9"/>
  <c r="AW86" i="9"/>
  <c r="AW85" i="9"/>
  <c r="AW84" i="9"/>
  <c r="AW83" i="9"/>
  <c r="AW82" i="9"/>
  <c r="AW81" i="9"/>
  <c r="AW80" i="9"/>
  <c r="AW79" i="9"/>
  <c r="AW78" i="9"/>
  <c r="AW77" i="9"/>
  <c r="AW76" i="9"/>
  <c r="AW75" i="9"/>
  <c r="AW74" i="9"/>
  <c r="AW73" i="9"/>
  <c r="AW72" i="9"/>
  <c r="AW71" i="9"/>
  <c r="AW70" i="9"/>
  <c r="AW69" i="9"/>
  <c r="AW68" i="9"/>
  <c r="AW66" i="9"/>
  <c r="AW62" i="9"/>
  <c r="AW58" i="9"/>
  <c r="AW65" i="9"/>
  <c r="AW61" i="9"/>
  <c r="AW64" i="9"/>
  <c r="AW60" i="9"/>
  <c r="AW57" i="9"/>
  <c r="AW56" i="9"/>
  <c r="AW55" i="9"/>
  <c r="AW54" i="9"/>
  <c r="AW53" i="9"/>
  <c r="AW52" i="9"/>
  <c r="AW51" i="9"/>
  <c r="AW50" i="9"/>
  <c r="AW49" i="9"/>
  <c r="AW48" i="9"/>
  <c r="AW47" i="9"/>
  <c r="AW46" i="9"/>
  <c r="AW45" i="9"/>
  <c r="AW44" i="9"/>
  <c r="AW43" i="9"/>
  <c r="AW42" i="9"/>
  <c r="AW41" i="9"/>
  <c r="AW40" i="9"/>
  <c r="AW39" i="9"/>
  <c r="AW38" i="9"/>
  <c r="AW37" i="9"/>
  <c r="AW36" i="9"/>
  <c r="AW35" i="9"/>
  <c r="AW34" i="9"/>
  <c r="AW33" i="9"/>
  <c r="AW32" i="9"/>
  <c r="AW31" i="9"/>
  <c r="AW59" i="9"/>
  <c r="AW67" i="9"/>
  <c r="AW63" i="9"/>
  <c r="AX95" i="9"/>
  <c r="AX98" i="9"/>
  <c r="AX94" i="9"/>
  <c r="AX93" i="9"/>
  <c r="AX92" i="9"/>
  <c r="AX91" i="9"/>
  <c r="AX90" i="9"/>
  <c r="AX89" i="9"/>
  <c r="AX88" i="9"/>
  <c r="AX87" i="9"/>
  <c r="AX97" i="9"/>
  <c r="AX85" i="9"/>
  <c r="AX81" i="9"/>
  <c r="AX77" i="9"/>
  <c r="AX96" i="9"/>
  <c r="AX84" i="9"/>
  <c r="AX80" i="9"/>
  <c r="AX76" i="9"/>
  <c r="AX75" i="9"/>
  <c r="AX74" i="9"/>
  <c r="AX73" i="9"/>
  <c r="AX72" i="9"/>
  <c r="AX71" i="9"/>
  <c r="AX70" i="9"/>
  <c r="AX69" i="9"/>
  <c r="AX68" i="9"/>
  <c r="AX83" i="9"/>
  <c r="AX79" i="9"/>
  <c r="AX86" i="9"/>
  <c r="AX67" i="9"/>
  <c r="AX63" i="9"/>
  <c r="AX59" i="9"/>
  <c r="AX82" i="9"/>
  <c r="AX66" i="9"/>
  <c r="AX62" i="9"/>
  <c r="AX58" i="9"/>
  <c r="AX78" i="9"/>
  <c r="AX65" i="9"/>
  <c r="AX61" i="9"/>
  <c r="AX64" i="9"/>
  <c r="AX57" i="9"/>
  <c r="AX53" i="9"/>
  <c r="AX49" i="9"/>
  <c r="AX45" i="9"/>
  <c r="AX41" i="9"/>
  <c r="AX37" i="9"/>
  <c r="AX33" i="9"/>
  <c r="AX55" i="9"/>
  <c r="AX51" i="9"/>
  <c r="AX47" i="9"/>
  <c r="AX60" i="9"/>
  <c r="AX54" i="9"/>
  <c r="AX50" i="9"/>
  <c r="AX46" i="9"/>
  <c r="AX42" i="9"/>
  <c r="AX40" i="9"/>
  <c r="AX36" i="9"/>
  <c r="AX32" i="9"/>
  <c r="AX56" i="9"/>
  <c r="AX52" i="9"/>
  <c r="AX48" i="9"/>
  <c r="AX44" i="9"/>
  <c r="AX38" i="9"/>
  <c r="AX34" i="9"/>
  <c r="AX35" i="9"/>
  <c r="AX39" i="9"/>
  <c r="AX43" i="9"/>
  <c r="AX31" i="9"/>
  <c r="AY96" i="9"/>
  <c r="AY95" i="9"/>
  <c r="AY98" i="9"/>
  <c r="AY94" i="9"/>
  <c r="AY93" i="9"/>
  <c r="AY92" i="9"/>
  <c r="AY91" i="9"/>
  <c r="AY90" i="9"/>
  <c r="AY89" i="9"/>
  <c r="AY88" i="9"/>
  <c r="AY87" i="9"/>
  <c r="AY86" i="9"/>
  <c r="AY82" i="9"/>
  <c r="AY78" i="9"/>
  <c r="AY85" i="9"/>
  <c r="AY81" i="9"/>
  <c r="AY77" i="9"/>
  <c r="AY97" i="9"/>
  <c r="AY84" i="9"/>
  <c r="AY80" i="9"/>
  <c r="AY76" i="9"/>
  <c r="AY75" i="9"/>
  <c r="AY74" i="9"/>
  <c r="AY73" i="9"/>
  <c r="AY72" i="9"/>
  <c r="AY71" i="9"/>
  <c r="AY70" i="9"/>
  <c r="AY69" i="9"/>
  <c r="AY68" i="9"/>
  <c r="AY67" i="9"/>
  <c r="AY66" i="9"/>
  <c r="AY65" i="9"/>
  <c r="AY64" i="9"/>
  <c r="AY63" i="9"/>
  <c r="AY62" i="9"/>
  <c r="AY61" i="9"/>
  <c r="AY60" i="9"/>
  <c r="AY59" i="9"/>
  <c r="AY58" i="9"/>
  <c r="AY57" i="9"/>
  <c r="AY56" i="9"/>
  <c r="AY55" i="9"/>
  <c r="AY54" i="9"/>
  <c r="AY53" i="9"/>
  <c r="AY52" i="9"/>
  <c r="AY51" i="9"/>
  <c r="AY50" i="9"/>
  <c r="AY49" i="9"/>
  <c r="AY48" i="9"/>
  <c r="AY47" i="9"/>
  <c r="AY46" i="9"/>
  <c r="AY45" i="9"/>
  <c r="AY44" i="9"/>
  <c r="AY43" i="9"/>
  <c r="AY42" i="9"/>
  <c r="AY41" i="9"/>
  <c r="AY83" i="9"/>
  <c r="AY38" i="9"/>
  <c r="AY34" i="9"/>
  <c r="AY37" i="9"/>
  <c r="AY33" i="9"/>
  <c r="AY79" i="9"/>
  <c r="AY39" i="9"/>
  <c r="AY35" i="9"/>
  <c r="AY31" i="9"/>
  <c r="AY32" i="9"/>
  <c r="AY40" i="9"/>
  <c r="AY36" i="9"/>
  <c r="AZ97" i="9"/>
  <c r="AZ96" i="9"/>
  <c r="AZ95" i="9"/>
  <c r="AZ92" i="9"/>
  <c r="AZ88" i="9"/>
  <c r="AZ83" i="9"/>
  <c r="AZ79" i="9"/>
  <c r="AZ93" i="9"/>
  <c r="AZ89" i="9"/>
  <c r="AZ86" i="9"/>
  <c r="AZ82" i="9"/>
  <c r="AZ78" i="9"/>
  <c r="AZ94" i="9"/>
  <c r="AZ90" i="9"/>
  <c r="AZ85" i="9"/>
  <c r="AZ81" i="9"/>
  <c r="AZ77" i="9"/>
  <c r="AZ98" i="9"/>
  <c r="AZ80" i="9"/>
  <c r="AZ76" i="9"/>
  <c r="AZ72" i="9"/>
  <c r="AZ68" i="9"/>
  <c r="AZ64" i="9"/>
  <c r="AZ60" i="9"/>
  <c r="AZ87" i="9"/>
  <c r="AZ73" i="9"/>
  <c r="AZ69" i="9"/>
  <c r="AZ67" i="9"/>
  <c r="AZ63" i="9"/>
  <c r="AZ59" i="9"/>
  <c r="AZ57" i="9"/>
  <c r="AZ56" i="9"/>
  <c r="AZ55" i="9"/>
  <c r="AZ54" i="9"/>
  <c r="AZ53" i="9"/>
  <c r="AZ52" i="9"/>
  <c r="AZ51" i="9"/>
  <c r="AZ50" i="9"/>
  <c r="AZ49" i="9"/>
  <c r="AZ48" i="9"/>
  <c r="AZ47" i="9"/>
  <c r="AZ46" i="9"/>
  <c r="AZ45" i="9"/>
  <c r="AZ44" i="9"/>
  <c r="AZ43" i="9"/>
  <c r="AZ42" i="9"/>
  <c r="AZ41" i="9"/>
  <c r="AZ40" i="9"/>
  <c r="AZ91" i="9"/>
  <c r="AZ74" i="9"/>
  <c r="AZ70" i="9"/>
  <c r="AZ66" i="9"/>
  <c r="AZ62" i="9"/>
  <c r="AZ58" i="9"/>
  <c r="AZ71" i="9"/>
  <c r="AZ39" i="9"/>
  <c r="AZ35" i="9"/>
  <c r="AZ31" i="9"/>
  <c r="AZ61" i="9"/>
  <c r="AZ75" i="9"/>
  <c r="AZ65" i="9"/>
  <c r="AZ38" i="9"/>
  <c r="AZ34" i="9"/>
  <c r="AZ84" i="9"/>
  <c r="AZ36" i="9"/>
  <c r="AZ32" i="9"/>
  <c r="AZ37" i="9"/>
  <c r="AZ33" i="9"/>
  <c r="BA98" i="9"/>
  <c r="BA97" i="9"/>
  <c r="BA96" i="9"/>
  <c r="BA95" i="9"/>
  <c r="BA94" i="9"/>
  <c r="BA93" i="9"/>
  <c r="BA92" i="9"/>
  <c r="BA91" i="9"/>
  <c r="BA90" i="9"/>
  <c r="BA89" i="9"/>
  <c r="BA88" i="9"/>
  <c r="BA87" i="9"/>
  <c r="BA86" i="9"/>
  <c r="BA85" i="9"/>
  <c r="BA84" i="9"/>
  <c r="BA83" i="9"/>
  <c r="BA82" i="9"/>
  <c r="BA81" i="9"/>
  <c r="BA80" i="9"/>
  <c r="BA79" i="9"/>
  <c r="BA78" i="9"/>
  <c r="BA77" i="9"/>
  <c r="BA76" i="9"/>
  <c r="BA75" i="9"/>
  <c r="BA74" i="9"/>
  <c r="BA73" i="9"/>
  <c r="BA72" i="9"/>
  <c r="BA71" i="9"/>
  <c r="BA70" i="9"/>
  <c r="BA69" i="9"/>
  <c r="BA68" i="9"/>
  <c r="BA65" i="9"/>
  <c r="BA61" i="9"/>
  <c r="BA64" i="9"/>
  <c r="BA60" i="9"/>
  <c r="BA67" i="9"/>
  <c r="BA63" i="9"/>
  <c r="BA59" i="9"/>
  <c r="BA57" i="9"/>
  <c r="BA56" i="9"/>
  <c r="BA55" i="9"/>
  <c r="BA54" i="9"/>
  <c r="BA53" i="9"/>
  <c r="BA52" i="9"/>
  <c r="BA51" i="9"/>
  <c r="BA50" i="9"/>
  <c r="BA49" i="9"/>
  <c r="BA48" i="9"/>
  <c r="BA47" i="9"/>
  <c r="BA46" i="9"/>
  <c r="BA45" i="9"/>
  <c r="BA44" i="9"/>
  <c r="BA43" i="9"/>
  <c r="BA42" i="9"/>
  <c r="BA41" i="9"/>
  <c r="BA40" i="9"/>
  <c r="BA39" i="9"/>
  <c r="BA38" i="9"/>
  <c r="BA37" i="9"/>
  <c r="BA36" i="9"/>
  <c r="BA35" i="9"/>
  <c r="BA34" i="9"/>
  <c r="BA33" i="9"/>
  <c r="BA32" i="9"/>
  <c r="BA31" i="9"/>
  <c r="BA58" i="9"/>
  <c r="BA66" i="9"/>
  <c r="BA62" i="9"/>
  <c r="BB98" i="9"/>
  <c r="BB97" i="9"/>
  <c r="BB94" i="9"/>
  <c r="BB93" i="9"/>
  <c r="BB92" i="9"/>
  <c r="BB91" i="9"/>
  <c r="BB90" i="9"/>
  <c r="BB89" i="9"/>
  <c r="BB88" i="9"/>
  <c r="BB87" i="9"/>
  <c r="BB96" i="9"/>
  <c r="BB84" i="9"/>
  <c r="BB80" i="9"/>
  <c r="BB95" i="9"/>
  <c r="BB83" i="9"/>
  <c r="BB79" i="9"/>
  <c r="BB76" i="9"/>
  <c r="BB75" i="9"/>
  <c r="BB74" i="9"/>
  <c r="BB73" i="9"/>
  <c r="BB72" i="9"/>
  <c r="BB71" i="9"/>
  <c r="BB70" i="9"/>
  <c r="BB69" i="9"/>
  <c r="BB68" i="9"/>
  <c r="BB86" i="9"/>
  <c r="BB82" i="9"/>
  <c r="BB78" i="9"/>
  <c r="BB85" i="9"/>
  <c r="BB66" i="9"/>
  <c r="BB62" i="9"/>
  <c r="BB58" i="9"/>
  <c r="BB81" i="9"/>
  <c r="BB65" i="9"/>
  <c r="BB61" i="9"/>
  <c r="BB77" i="9"/>
  <c r="BB64" i="9"/>
  <c r="BB60" i="9"/>
  <c r="BB63" i="9"/>
  <c r="BB56" i="9"/>
  <c r="BB52" i="9"/>
  <c r="BB48" i="9"/>
  <c r="BB44" i="9"/>
  <c r="BB36" i="9"/>
  <c r="BB32" i="9"/>
  <c r="BB54" i="9"/>
  <c r="BB50" i="9"/>
  <c r="BB59" i="9"/>
  <c r="BB57" i="9"/>
  <c r="BB53" i="9"/>
  <c r="BB49" i="9"/>
  <c r="BB45" i="9"/>
  <c r="BB41" i="9"/>
  <c r="BB39" i="9"/>
  <c r="BB35" i="9"/>
  <c r="BB31" i="9"/>
  <c r="BB67" i="9"/>
  <c r="BB55" i="9"/>
  <c r="BB51" i="9"/>
  <c r="BB47" i="9"/>
  <c r="BB43" i="9"/>
  <c r="BB40" i="9"/>
  <c r="BB37" i="9"/>
  <c r="BB33" i="9"/>
  <c r="BB34" i="9"/>
  <c r="BB38" i="9"/>
  <c r="BB46" i="9"/>
  <c r="BB42" i="9"/>
  <c r="BC95" i="9"/>
  <c r="BC98" i="9"/>
  <c r="BC97" i="9"/>
  <c r="BC94" i="9"/>
  <c r="BC93" i="9"/>
  <c r="BC90" i="9"/>
  <c r="BC89" i="9"/>
  <c r="BC85" i="9"/>
  <c r="BC81" i="9"/>
  <c r="BC77" i="9"/>
  <c r="BC96" i="9"/>
  <c r="BC76" i="9"/>
  <c r="BC74" i="9"/>
  <c r="BC73" i="9"/>
  <c r="BC72" i="9"/>
  <c r="BC70" i="9"/>
  <c r="BC69" i="9"/>
  <c r="BC68" i="9"/>
  <c r="BC66" i="9"/>
  <c r="BC65" i="9"/>
  <c r="BC64" i="9"/>
  <c r="BC62" i="9"/>
  <c r="BC61" i="9"/>
  <c r="BC59" i="9"/>
  <c r="BC58" i="9"/>
  <c r="BC57" i="9"/>
  <c r="BC55" i="9"/>
  <c r="BC54" i="9"/>
  <c r="BC53" i="9"/>
  <c r="BC51" i="9"/>
  <c r="BC50" i="9"/>
  <c r="BC49" i="9"/>
  <c r="BC47" i="9"/>
  <c r="BC46" i="9"/>
  <c r="BC45" i="9"/>
  <c r="BC44" i="9"/>
  <c r="BC43" i="9"/>
  <c r="BC42" i="9"/>
  <c r="BC41" i="9"/>
  <c r="BC86" i="9"/>
  <c r="BC82" i="9"/>
  <c r="BC78" i="9"/>
  <c r="BC40" i="9"/>
  <c r="BC37" i="9"/>
  <c r="BC33" i="9"/>
  <c r="BC32" i="9"/>
  <c r="BC36" i="9"/>
  <c r="BC38" i="9"/>
  <c r="BC34" i="9"/>
  <c r="BC31" i="9"/>
  <c r="BC39" i="9"/>
  <c r="BC35" i="9"/>
  <c r="BD96" i="9"/>
  <c r="BD95" i="9"/>
  <c r="BD98" i="9"/>
  <c r="BD91" i="9"/>
  <c r="BD87" i="9"/>
  <c r="BD86" i="9"/>
  <c r="BD82" i="9"/>
  <c r="BD78" i="9"/>
  <c r="BD92" i="9"/>
  <c r="BD88" i="9"/>
  <c r="BD85" i="9"/>
  <c r="BD81" i="9"/>
  <c r="BD77" i="9"/>
  <c r="BD93" i="9"/>
  <c r="BD89" i="9"/>
  <c r="BD84" i="9"/>
  <c r="BD80" i="9"/>
  <c r="BD79" i="9"/>
  <c r="BD75" i="9"/>
  <c r="BD71" i="9"/>
  <c r="BD67" i="9"/>
  <c r="BD63" i="9"/>
  <c r="BD59" i="9"/>
  <c r="BD97" i="9"/>
  <c r="BD76" i="9"/>
  <c r="BD72" i="9"/>
  <c r="BD68" i="9"/>
  <c r="BD66" i="9"/>
  <c r="BD62" i="9"/>
  <c r="BD58" i="9"/>
  <c r="BD57" i="9"/>
  <c r="BD56" i="9"/>
  <c r="BD55" i="9"/>
  <c r="BD54" i="9"/>
  <c r="BD53" i="9"/>
  <c r="BD52" i="9"/>
  <c r="BD51" i="9"/>
  <c r="BD50" i="9"/>
  <c r="BD49" i="9"/>
  <c r="BD48" i="9"/>
  <c r="BD47" i="9"/>
  <c r="BD46" i="9"/>
  <c r="BD45" i="9"/>
  <c r="BD44" i="9"/>
  <c r="BD43" i="9"/>
  <c r="BD42" i="9"/>
  <c r="BD41" i="9"/>
  <c r="BD40" i="9"/>
  <c r="BD90" i="9"/>
  <c r="BD73" i="9"/>
  <c r="BD69" i="9"/>
  <c r="BD65" i="9"/>
  <c r="BD61" i="9"/>
  <c r="BD83" i="9"/>
  <c r="BD70" i="9"/>
  <c r="BD38" i="9"/>
  <c r="BD34" i="9"/>
  <c r="BD33" i="9"/>
  <c r="BD60" i="9"/>
  <c r="BD74" i="9"/>
  <c r="BD64" i="9"/>
  <c r="BD37" i="9"/>
  <c r="BD94" i="9"/>
  <c r="BD39" i="9"/>
  <c r="BD35" i="9"/>
  <c r="BD31" i="9"/>
  <c r="BD36" i="9"/>
  <c r="BD32" i="9"/>
  <c r="BE98" i="9"/>
  <c r="BE97" i="9"/>
  <c r="BE96" i="9"/>
  <c r="BE95" i="9"/>
  <c r="BE94" i="9"/>
  <c r="BE93" i="9"/>
  <c r="BE92" i="9"/>
  <c r="BE91" i="9"/>
  <c r="BE90" i="9"/>
  <c r="BE89" i="9"/>
  <c r="BE88" i="9"/>
  <c r="BE87" i="9"/>
  <c r="BE86" i="9"/>
  <c r="BE85" i="9"/>
  <c r="BE84" i="9"/>
  <c r="BE83" i="9"/>
  <c r="BE82" i="9"/>
  <c r="BE81" i="9"/>
  <c r="BE80" i="9"/>
  <c r="BE79" i="9"/>
  <c r="BE78" i="9"/>
  <c r="BE77" i="9"/>
  <c r="BE76" i="9"/>
  <c r="BE75" i="9"/>
  <c r="BE74" i="9"/>
  <c r="BE73" i="9"/>
  <c r="BE72" i="9"/>
  <c r="BE71" i="9"/>
  <c r="BE70" i="9"/>
  <c r="BE69" i="9"/>
  <c r="BE68" i="9"/>
  <c r="BE64" i="9"/>
  <c r="BE60" i="9"/>
  <c r="BE67" i="9"/>
  <c r="BE63" i="9"/>
  <c r="BE59" i="9"/>
  <c r="BE66" i="9"/>
  <c r="BE62" i="9"/>
  <c r="BE58" i="9"/>
  <c r="BE57" i="9"/>
  <c r="BE56" i="9"/>
  <c r="BE55" i="9"/>
  <c r="BE54" i="9"/>
  <c r="BE53" i="9"/>
  <c r="BE52" i="9"/>
  <c r="BE51" i="9"/>
  <c r="BE50" i="9"/>
  <c r="BE49" i="9"/>
  <c r="BE48" i="9"/>
  <c r="BE47" i="9"/>
  <c r="BE46" i="9"/>
  <c r="BE45" i="9"/>
  <c r="BE44" i="9"/>
  <c r="BE43" i="9"/>
  <c r="BE42" i="9"/>
  <c r="BE41" i="9"/>
  <c r="BE40" i="9"/>
  <c r="BE39" i="9"/>
  <c r="BE38" i="9"/>
  <c r="BE37" i="9"/>
  <c r="BE36" i="9"/>
  <c r="BE35" i="9"/>
  <c r="BE34" i="9"/>
  <c r="BE33" i="9"/>
  <c r="BE32" i="9"/>
  <c r="BE31" i="9"/>
  <c r="BE65" i="9"/>
  <c r="BE61" i="9"/>
  <c r="BF97" i="9"/>
  <c r="BF96" i="9"/>
  <c r="BF94" i="9"/>
  <c r="BF90" i="9"/>
  <c r="BF95" i="9"/>
  <c r="BF98" i="9"/>
  <c r="BF86" i="9"/>
  <c r="BF82" i="9"/>
  <c r="BF78" i="9"/>
  <c r="BF76" i="9"/>
  <c r="BF74" i="9"/>
  <c r="BF72" i="9"/>
  <c r="BF70" i="9"/>
  <c r="BF69" i="9"/>
  <c r="BF68" i="9"/>
  <c r="BF85" i="9"/>
  <c r="BF81" i="9"/>
  <c r="BF65" i="9"/>
  <c r="BF64" i="9"/>
  <c r="BF59" i="9"/>
  <c r="BF62" i="9"/>
  <c r="BF55" i="9"/>
  <c r="BF51" i="9"/>
  <c r="BF47" i="9"/>
  <c r="BF43" i="9"/>
  <c r="BF39" i="9"/>
  <c r="BF35" i="9"/>
  <c r="BF31" i="9"/>
  <c r="BF34" i="9"/>
  <c r="BF58" i="9"/>
  <c r="BF44" i="9"/>
  <c r="BF40" i="9"/>
  <c r="BF38" i="9"/>
  <c r="BF53" i="9"/>
  <c r="BF49" i="9"/>
  <c r="BF66" i="9"/>
  <c r="BF54" i="9"/>
  <c r="BF50" i="9"/>
  <c r="BF46" i="9"/>
  <c r="BF42" i="9"/>
  <c r="BF36" i="9"/>
  <c r="BF32" i="9"/>
  <c r="BF37" i="9"/>
  <c r="BF33" i="9"/>
  <c r="BG98" i="9"/>
  <c r="BG97" i="9"/>
  <c r="BG96" i="9"/>
  <c r="BG94" i="9"/>
  <c r="BG93" i="9"/>
  <c r="BG92" i="9"/>
  <c r="BG91" i="9"/>
  <c r="BG90" i="9"/>
  <c r="BG89" i="9"/>
  <c r="BG88" i="9"/>
  <c r="BG87" i="9"/>
  <c r="BG84" i="9"/>
  <c r="BG80" i="9"/>
  <c r="BG83" i="9"/>
  <c r="BG79" i="9"/>
  <c r="BG95" i="9"/>
  <c r="BG86" i="9"/>
  <c r="BG82" i="9"/>
  <c r="BG78" i="9"/>
  <c r="BG76" i="9"/>
  <c r="BG75" i="9"/>
  <c r="BG74" i="9"/>
  <c r="BG73" i="9"/>
  <c r="BG72" i="9"/>
  <c r="BG71" i="9"/>
  <c r="BG70" i="9"/>
  <c r="BG69" i="9"/>
  <c r="BG68" i="9"/>
  <c r="BG67" i="9"/>
  <c r="BG66" i="9"/>
  <c r="BG65" i="9"/>
  <c r="BG64" i="9"/>
  <c r="BG63" i="9"/>
  <c r="BG62" i="9"/>
  <c r="BG61" i="9"/>
  <c r="BG60" i="9"/>
  <c r="BG59" i="9"/>
  <c r="BG58" i="9"/>
  <c r="BG57" i="9"/>
  <c r="BG56" i="9"/>
  <c r="BG55" i="9"/>
  <c r="BG54" i="9"/>
  <c r="BG53" i="9"/>
  <c r="BG52" i="9"/>
  <c r="BG51" i="9"/>
  <c r="BG50" i="9"/>
  <c r="BG49" i="9"/>
  <c r="BG48" i="9"/>
  <c r="BG47" i="9"/>
  <c r="BG46" i="9"/>
  <c r="BG45" i="9"/>
  <c r="BG44" i="9"/>
  <c r="BG43" i="9"/>
  <c r="BG42" i="9"/>
  <c r="BG41" i="9"/>
  <c r="BG40" i="9"/>
  <c r="BG85" i="9"/>
  <c r="BG81" i="9"/>
  <c r="BG36" i="9"/>
  <c r="BG32" i="9"/>
  <c r="BG31" i="9"/>
  <c r="BG77" i="9"/>
  <c r="BG39" i="9"/>
  <c r="BG35" i="9"/>
  <c r="BG37" i="9"/>
  <c r="BG33" i="9"/>
  <c r="BG38" i="9"/>
  <c r="BG34" i="9"/>
  <c r="BH95" i="9"/>
  <c r="BH98" i="9"/>
  <c r="BH97" i="9"/>
  <c r="BH94" i="9"/>
  <c r="BH90" i="9"/>
  <c r="BH85" i="9"/>
  <c r="BH81" i="9"/>
  <c r="BH77" i="9"/>
  <c r="BH91" i="9"/>
  <c r="BH87" i="9"/>
  <c r="BH84" i="9"/>
  <c r="BH80" i="9"/>
  <c r="BH92" i="9"/>
  <c r="BH88" i="9"/>
  <c r="BH83" i="9"/>
  <c r="BH79" i="9"/>
  <c r="BH78" i="9"/>
  <c r="BH74" i="9"/>
  <c r="BH70" i="9"/>
  <c r="BH66" i="9"/>
  <c r="BH62" i="9"/>
  <c r="BH58" i="9"/>
  <c r="BH75" i="9"/>
  <c r="BH71" i="9"/>
  <c r="BH65" i="9"/>
  <c r="BH61" i="9"/>
  <c r="BH57" i="9"/>
  <c r="BH56" i="9"/>
  <c r="BH55" i="9"/>
  <c r="BH54" i="9"/>
  <c r="BH53" i="9"/>
  <c r="BH52" i="9"/>
  <c r="BH51" i="9"/>
  <c r="BH50" i="9"/>
  <c r="BH49" i="9"/>
  <c r="BH48" i="9"/>
  <c r="BH47" i="9"/>
  <c r="BH46" i="9"/>
  <c r="BH45" i="9"/>
  <c r="BH44" i="9"/>
  <c r="BH43" i="9"/>
  <c r="BH42" i="9"/>
  <c r="BH41" i="9"/>
  <c r="BH40" i="9"/>
  <c r="BH96" i="9"/>
  <c r="BH89" i="9"/>
  <c r="BH86" i="9"/>
  <c r="BH76" i="9"/>
  <c r="BH72" i="9"/>
  <c r="BH68" i="9"/>
  <c r="BH64" i="9"/>
  <c r="BH60" i="9"/>
  <c r="BH69" i="9"/>
  <c r="BH67" i="9"/>
  <c r="BH37" i="9"/>
  <c r="BH33" i="9"/>
  <c r="BH32" i="9"/>
  <c r="BH93" i="9"/>
  <c r="BH59" i="9"/>
  <c r="BH82" i="9"/>
  <c r="BH73" i="9"/>
  <c r="BH63" i="9"/>
  <c r="BH36" i="9"/>
  <c r="BH38" i="9"/>
  <c r="BH34" i="9"/>
  <c r="BH35" i="9"/>
  <c r="BH31" i="9"/>
  <c r="BH39" i="9"/>
  <c r="BI98" i="9"/>
  <c r="BI97" i="9"/>
  <c r="BI96" i="9"/>
  <c r="BI95" i="9"/>
  <c r="BI94" i="9"/>
  <c r="BI93" i="9"/>
  <c r="BI92" i="9"/>
  <c r="BI91" i="9"/>
  <c r="BI90" i="9"/>
  <c r="BI89" i="9"/>
  <c r="BI88" i="9"/>
  <c r="BI87" i="9"/>
  <c r="BI86" i="9"/>
  <c r="BI85" i="9"/>
  <c r="BI84" i="9"/>
  <c r="BI83" i="9"/>
  <c r="BI82" i="9"/>
  <c r="BI81" i="9"/>
  <c r="BI80" i="9"/>
  <c r="BI79" i="9"/>
  <c r="BI78" i="9"/>
  <c r="BI77" i="9"/>
  <c r="BI76" i="9"/>
  <c r="BI75" i="9"/>
  <c r="BI74" i="9"/>
  <c r="BI73" i="9"/>
  <c r="BI72" i="9"/>
  <c r="BI71" i="9"/>
  <c r="BI70" i="9"/>
  <c r="BI69" i="9"/>
  <c r="BI68" i="9"/>
  <c r="BI67" i="9"/>
  <c r="BI63" i="9"/>
  <c r="BI59" i="9"/>
  <c r="BI66" i="9"/>
  <c r="BI62" i="9"/>
  <c r="BI58" i="9"/>
  <c r="BI65" i="9"/>
  <c r="BI61" i="9"/>
  <c r="BI57" i="9"/>
  <c r="BI56" i="9"/>
  <c r="BI55" i="9"/>
  <c r="BI54" i="9"/>
  <c r="BI53" i="9"/>
  <c r="BI52" i="9"/>
  <c r="BI51" i="9"/>
  <c r="BI50" i="9"/>
  <c r="BI49" i="9"/>
  <c r="BI48" i="9"/>
  <c r="BI47" i="9"/>
  <c r="BI46" i="9"/>
  <c r="BI45" i="9"/>
  <c r="BI44" i="9"/>
  <c r="BI43" i="9"/>
  <c r="BI42" i="9"/>
  <c r="BI41" i="9"/>
  <c r="BI40" i="9"/>
  <c r="BI39" i="9"/>
  <c r="BI38" i="9"/>
  <c r="BI37" i="9"/>
  <c r="BI36" i="9"/>
  <c r="BI35" i="9"/>
  <c r="BI34" i="9"/>
  <c r="BI33" i="9"/>
  <c r="BI32" i="9"/>
  <c r="BI31" i="9"/>
  <c r="BI64" i="9"/>
  <c r="BI60" i="9"/>
  <c r="BJ96" i="9"/>
  <c r="BJ95" i="9"/>
  <c r="BJ94" i="9"/>
  <c r="BJ90" i="9"/>
  <c r="BJ98" i="9"/>
  <c r="BJ97" i="9"/>
  <c r="BJ86" i="9"/>
  <c r="BJ82" i="9"/>
  <c r="BJ78" i="9"/>
  <c r="BJ85" i="9"/>
  <c r="BJ81" i="9"/>
  <c r="BJ76" i="9"/>
  <c r="BJ74" i="9"/>
  <c r="BJ72" i="9"/>
  <c r="BJ70" i="9"/>
  <c r="BJ69" i="9"/>
  <c r="BJ68" i="9"/>
  <c r="BJ64" i="9"/>
  <c r="BJ59" i="9"/>
  <c r="BJ66" i="9"/>
  <c r="BJ62" i="9"/>
  <c r="BJ58" i="9"/>
  <c r="BJ54" i="9"/>
  <c r="BJ50" i="9"/>
  <c r="BJ46" i="9"/>
  <c r="BJ42" i="9"/>
  <c r="BJ38" i="9"/>
  <c r="BJ34" i="9"/>
  <c r="BJ33" i="9"/>
  <c r="BJ55" i="9"/>
  <c r="BJ51" i="9"/>
  <c r="BJ47" i="9"/>
  <c r="BJ43" i="9"/>
  <c r="BJ37" i="9"/>
  <c r="BJ65" i="9"/>
  <c r="BJ53" i="9"/>
  <c r="BJ49" i="9"/>
  <c r="BJ39" i="9"/>
  <c r="BJ35" i="9"/>
  <c r="BJ31" i="9"/>
  <c r="BJ44" i="9"/>
  <c r="BJ32" i="9"/>
  <c r="BJ36" i="9"/>
  <c r="BJ40" i="9"/>
  <c r="BK97" i="9"/>
  <c r="BK96" i="9"/>
  <c r="BK95" i="9"/>
  <c r="BK94" i="9"/>
  <c r="BK93" i="9"/>
  <c r="BK90" i="9"/>
  <c r="BK89" i="9"/>
  <c r="BK98" i="9"/>
  <c r="BK86" i="9"/>
  <c r="BK82" i="9"/>
  <c r="BK78" i="9"/>
  <c r="BK85" i="9"/>
  <c r="BK81" i="9"/>
  <c r="BK77" i="9"/>
  <c r="BK76" i="9"/>
  <c r="BK74" i="9"/>
  <c r="BK73" i="9"/>
  <c r="BK72" i="9"/>
  <c r="BK70" i="9"/>
  <c r="BK69" i="9"/>
  <c r="BK68" i="9"/>
  <c r="BK66" i="9"/>
  <c r="BK65" i="9"/>
  <c r="BK64" i="9"/>
  <c r="BK62" i="9"/>
  <c r="BK61" i="9"/>
  <c r="BK59" i="9"/>
  <c r="BK58" i="9"/>
  <c r="BK57" i="9"/>
  <c r="BK55" i="9"/>
  <c r="BK54" i="9"/>
  <c r="BK53" i="9"/>
  <c r="BK51" i="9"/>
  <c r="BK50" i="9"/>
  <c r="BK49" i="9"/>
  <c r="BK47" i="9"/>
  <c r="BK46" i="9"/>
  <c r="BK45" i="9"/>
  <c r="BK44" i="9"/>
  <c r="BK43" i="9"/>
  <c r="BK42" i="9"/>
  <c r="BK41" i="9"/>
  <c r="BK40" i="9"/>
  <c r="BK39" i="9"/>
  <c r="BK35" i="9"/>
  <c r="BK31" i="9"/>
  <c r="BK38" i="9"/>
  <c r="BK34" i="9"/>
  <c r="BK36" i="9"/>
  <c r="BK32" i="9"/>
  <c r="BK37" i="9"/>
  <c r="BK33" i="9"/>
  <c r="BL98" i="9"/>
  <c r="BL97" i="9"/>
  <c r="BL96" i="9"/>
  <c r="BL93" i="9"/>
  <c r="BL89" i="9"/>
  <c r="BL84" i="9"/>
  <c r="BL80" i="9"/>
  <c r="BL94" i="9"/>
  <c r="BL90" i="9"/>
  <c r="BL83" i="9"/>
  <c r="BL79" i="9"/>
  <c r="BL91" i="9"/>
  <c r="BL87" i="9"/>
  <c r="BL86" i="9"/>
  <c r="BL82" i="9"/>
  <c r="BL78" i="9"/>
  <c r="BL77" i="9"/>
  <c r="BL73" i="9"/>
  <c r="BL69" i="9"/>
  <c r="BL65" i="9"/>
  <c r="BL61" i="9"/>
  <c r="BL74" i="9"/>
  <c r="BL70" i="9"/>
  <c r="BL64" i="9"/>
  <c r="BL60" i="9"/>
  <c r="BL57" i="9"/>
  <c r="BL56" i="9"/>
  <c r="BL55" i="9"/>
  <c r="BL54" i="9"/>
  <c r="BL53" i="9"/>
  <c r="BL52" i="9"/>
  <c r="BL51" i="9"/>
  <c r="BL50" i="9"/>
  <c r="BL49" i="9"/>
  <c r="BL48" i="9"/>
  <c r="BL47" i="9"/>
  <c r="BL46" i="9"/>
  <c r="BL45" i="9"/>
  <c r="BL44" i="9"/>
  <c r="BL43" i="9"/>
  <c r="BL42" i="9"/>
  <c r="BL41" i="9"/>
  <c r="BL40" i="9"/>
  <c r="BL88" i="9"/>
  <c r="BL85" i="9"/>
  <c r="BL75" i="9"/>
  <c r="BL71" i="9"/>
  <c r="BL67" i="9"/>
  <c r="BL63" i="9"/>
  <c r="BL59" i="9"/>
  <c r="BL95" i="9"/>
  <c r="BL68" i="9"/>
  <c r="BL66" i="9"/>
  <c r="BL36" i="9"/>
  <c r="BL32" i="9"/>
  <c r="BL31" i="9"/>
  <c r="BL76" i="9"/>
  <c r="BL92" i="9"/>
  <c r="BL72" i="9"/>
  <c r="BL62" i="9"/>
  <c r="BL39" i="9"/>
  <c r="BL35" i="9"/>
  <c r="BL81" i="9"/>
  <c r="BL58" i="9"/>
  <c r="BL37" i="9"/>
  <c r="BL33" i="9"/>
  <c r="BL34" i="9"/>
  <c r="BL38" i="9"/>
  <c r="BM98" i="9"/>
  <c r="BM97" i="9"/>
  <c r="BM96" i="9"/>
  <c r="BM95" i="9"/>
  <c r="BM94" i="9"/>
  <c r="BM93" i="9"/>
  <c r="BM91" i="9"/>
  <c r="BM90" i="9"/>
  <c r="BM89" i="9"/>
  <c r="BM87" i="9"/>
  <c r="BM86" i="9"/>
  <c r="BM85" i="9"/>
  <c r="BM83" i="9"/>
  <c r="BM82" i="9"/>
  <c r="BM81" i="9"/>
  <c r="BM79" i="9"/>
  <c r="BM78" i="9"/>
  <c r="BM77" i="9"/>
  <c r="BM76" i="9"/>
  <c r="BM75" i="9"/>
  <c r="BM74" i="9"/>
  <c r="BM73" i="9"/>
  <c r="BM72" i="9"/>
  <c r="BM71" i="9"/>
  <c r="BM70" i="9"/>
  <c r="BM69" i="9"/>
  <c r="BM68" i="9"/>
  <c r="BM66" i="9"/>
  <c r="BM62" i="9"/>
  <c r="BM58" i="9"/>
  <c r="BM65" i="9"/>
  <c r="BM61" i="9"/>
  <c r="BM64" i="9"/>
  <c r="BM57" i="9"/>
  <c r="BM55" i="9"/>
  <c r="BM54" i="9"/>
  <c r="BM53" i="9"/>
  <c r="BM51" i="9"/>
  <c r="BM50" i="9"/>
  <c r="BM49" i="9"/>
  <c r="BM47" i="9"/>
  <c r="BM46" i="9"/>
  <c r="BM45" i="9"/>
  <c r="BM44" i="9"/>
  <c r="BM43" i="9"/>
  <c r="BM42" i="9"/>
  <c r="BM41" i="9"/>
  <c r="BM40" i="9"/>
  <c r="BM39" i="9"/>
  <c r="BM38" i="9"/>
  <c r="BM37" i="9"/>
  <c r="BM36" i="9"/>
  <c r="BM35" i="9"/>
  <c r="BM34" i="9"/>
  <c r="BM33" i="9"/>
  <c r="BM32" i="9"/>
  <c r="BM31" i="9"/>
  <c r="BM63" i="9"/>
  <c r="BM67" i="9"/>
  <c r="BM59" i="9"/>
  <c r="BN95" i="9"/>
  <c r="BN98" i="9"/>
  <c r="BN94" i="9"/>
  <c r="BN93" i="9"/>
  <c r="BN92" i="9"/>
  <c r="BN91" i="9"/>
  <c r="BN90" i="9"/>
  <c r="BN89" i="9"/>
  <c r="BN88" i="9"/>
  <c r="BN87" i="9"/>
  <c r="BN97" i="9"/>
  <c r="BN96" i="9"/>
  <c r="BN85" i="9"/>
  <c r="BN81" i="9"/>
  <c r="BN77" i="9"/>
  <c r="BN84" i="9"/>
  <c r="BN80" i="9"/>
  <c r="BN76" i="9"/>
  <c r="BN75" i="9"/>
  <c r="BN74" i="9"/>
  <c r="BN73" i="9"/>
  <c r="BN72" i="9"/>
  <c r="BN71" i="9"/>
  <c r="BN70" i="9"/>
  <c r="BN69" i="9"/>
  <c r="BN68" i="9"/>
  <c r="BN83" i="9"/>
  <c r="BN79" i="9"/>
  <c r="BN82" i="9"/>
  <c r="BN67" i="9"/>
  <c r="BN63" i="9"/>
  <c r="BN59" i="9"/>
  <c r="BN78" i="9"/>
  <c r="BN66" i="9"/>
  <c r="BN62" i="9"/>
  <c r="BN58" i="9"/>
  <c r="BN65" i="9"/>
  <c r="BN61" i="9"/>
  <c r="BN60" i="9"/>
  <c r="BN57" i="9"/>
  <c r="BN53" i="9"/>
  <c r="BN49" i="9"/>
  <c r="BN45" i="9"/>
  <c r="BN41" i="9"/>
  <c r="BN37" i="9"/>
  <c r="BN33" i="9"/>
  <c r="BN86" i="9"/>
  <c r="BN55" i="9"/>
  <c r="BN47" i="9"/>
  <c r="BN54" i="9"/>
  <c r="BN50" i="9"/>
  <c r="BN46" i="9"/>
  <c r="BN42" i="9"/>
  <c r="BN36" i="9"/>
  <c r="BN32" i="9"/>
  <c r="BN51" i="9"/>
  <c r="BN64" i="9"/>
  <c r="BN56" i="9"/>
  <c r="BN52" i="9"/>
  <c r="BN48" i="9"/>
  <c r="BN44" i="9"/>
  <c r="BN40" i="9"/>
  <c r="BN38" i="9"/>
  <c r="BN34" i="9"/>
  <c r="BN43" i="9"/>
  <c r="BN39" i="9"/>
  <c r="BN35" i="9"/>
  <c r="BN31" i="9"/>
  <c r="BO96" i="9"/>
  <c r="BO95" i="9"/>
  <c r="BO98" i="9"/>
  <c r="BO94" i="9"/>
  <c r="BO93" i="9"/>
  <c r="BO92" i="9"/>
  <c r="BO91" i="9"/>
  <c r="BO90" i="9"/>
  <c r="BO89" i="9"/>
  <c r="BO88" i="9"/>
  <c r="BO87" i="9"/>
  <c r="BO86" i="9"/>
  <c r="BO82" i="9"/>
  <c r="BO78" i="9"/>
  <c r="BO97" i="9"/>
  <c r="BO85" i="9"/>
  <c r="BO81" i="9"/>
  <c r="BO77" i="9"/>
  <c r="BO84" i="9"/>
  <c r="BO80" i="9"/>
  <c r="BO76" i="9"/>
  <c r="BO75" i="9"/>
  <c r="BO74" i="9"/>
  <c r="BO73" i="9"/>
  <c r="BO72" i="9"/>
  <c r="BO71" i="9"/>
  <c r="BO70" i="9"/>
  <c r="BO69" i="9"/>
  <c r="BO68" i="9"/>
  <c r="BO67" i="9"/>
  <c r="BO66" i="9"/>
  <c r="BO65" i="9"/>
  <c r="BO64" i="9"/>
  <c r="BO63" i="9"/>
  <c r="BO62" i="9"/>
  <c r="BO61" i="9"/>
  <c r="BO60" i="9"/>
  <c r="BO59" i="9"/>
  <c r="BO58" i="9"/>
  <c r="BO57" i="9"/>
  <c r="BO56" i="9"/>
  <c r="BO55" i="9"/>
  <c r="BO54" i="9"/>
  <c r="BO53" i="9"/>
  <c r="BO52" i="9"/>
  <c r="BO51" i="9"/>
  <c r="BO50" i="9"/>
  <c r="BO49" i="9"/>
  <c r="BO48" i="9"/>
  <c r="BO47" i="9"/>
  <c r="BO46" i="9"/>
  <c r="BO45" i="9"/>
  <c r="BO44" i="9"/>
  <c r="BO43" i="9"/>
  <c r="BO42" i="9"/>
  <c r="BO41" i="9"/>
  <c r="BO40" i="9"/>
  <c r="BO83" i="9"/>
  <c r="BO79" i="9"/>
  <c r="BO38" i="9"/>
  <c r="BO34" i="9"/>
  <c r="BO37" i="9"/>
  <c r="BO33" i="9"/>
  <c r="BO39" i="9"/>
  <c r="BO35" i="9"/>
  <c r="BO31" i="9"/>
  <c r="BO32" i="9"/>
  <c r="BO36" i="9"/>
  <c r="BP97" i="9"/>
  <c r="BP96" i="9"/>
  <c r="BP95" i="9"/>
  <c r="BP92" i="9"/>
  <c r="BP88" i="9"/>
  <c r="BP83" i="9"/>
  <c r="BP79" i="9"/>
  <c r="BP93" i="9"/>
  <c r="BP89" i="9"/>
  <c r="BP86" i="9"/>
  <c r="BP82" i="9"/>
  <c r="BP78" i="9"/>
  <c r="BP98" i="9"/>
  <c r="BP94" i="9"/>
  <c r="BP90" i="9"/>
  <c r="BP85" i="9"/>
  <c r="BP81" i="9"/>
  <c r="BP77" i="9"/>
  <c r="BP76" i="9"/>
  <c r="BP72" i="9"/>
  <c r="BP68" i="9"/>
  <c r="BP64" i="9"/>
  <c r="BP60" i="9"/>
  <c r="BP73" i="9"/>
  <c r="BP69" i="9"/>
  <c r="BP67" i="9"/>
  <c r="BP63" i="9"/>
  <c r="BP59" i="9"/>
  <c r="BP57" i="9"/>
  <c r="BP56" i="9"/>
  <c r="BP55" i="9"/>
  <c r="BP54" i="9"/>
  <c r="BP53" i="9"/>
  <c r="BP52" i="9"/>
  <c r="BP51" i="9"/>
  <c r="BP50" i="9"/>
  <c r="BP49" i="9"/>
  <c r="BP48" i="9"/>
  <c r="BP47" i="9"/>
  <c r="BP46" i="9"/>
  <c r="BP45" i="9"/>
  <c r="BP44" i="9"/>
  <c r="BP43" i="9"/>
  <c r="BP42" i="9"/>
  <c r="BP41" i="9"/>
  <c r="BP40" i="9"/>
  <c r="BP87" i="9"/>
  <c r="BP84" i="9"/>
  <c r="BP74" i="9"/>
  <c r="BP70" i="9"/>
  <c r="BP66" i="9"/>
  <c r="BP62" i="9"/>
  <c r="BP58" i="9"/>
  <c r="BP91" i="9"/>
  <c r="BP65" i="9"/>
  <c r="BP39" i="9"/>
  <c r="BP35" i="9"/>
  <c r="BP31" i="9"/>
  <c r="BP71" i="9"/>
  <c r="BP61" i="9"/>
  <c r="BP38" i="9"/>
  <c r="BP34" i="9"/>
  <c r="BP75" i="9"/>
  <c r="BP80" i="9"/>
  <c r="BP36" i="9"/>
  <c r="BP32" i="9"/>
  <c r="BP33" i="9"/>
  <c r="BP37" i="9"/>
  <c r="BQ98" i="9"/>
  <c r="BQ97" i="9"/>
  <c r="BQ96" i="9"/>
  <c r="BQ95" i="9"/>
  <c r="BQ94" i="9"/>
  <c r="BQ93" i="9"/>
  <c r="BQ91" i="9"/>
  <c r="BQ90" i="9"/>
  <c r="BQ89" i="9"/>
  <c r="BQ87" i="9"/>
  <c r="BQ86" i="9"/>
  <c r="BQ85" i="9"/>
  <c r="BQ83" i="9"/>
  <c r="BQ82" i="9"/>
  <c r="BQ81" i="9"/>
  <c r="BQ79" i="9"/>
  <c r="BQ78" i="9"/>
  <c r="BQ77" i="9"/>
  <c r="BQ76" i="9"/>
  <c r="BQ75" i="9"/>
  <c r="BQ74" i="9"/>
  <c r="BQ73" i="9"/>
  <c r="BQ72" i="9"/>
  <c r="BQ71" i="9"/>
  <c r="BQ70" i="9"/>
  <c r="BQ69" i="9"/>
  <c r="BQ68" i="9"/>
  <c r="BQ65" i="9"/>
  <c r="BQ61" i="9"/>
  <c r="BQ64" i="9"/>
  <c r="BQ67" i="9"/>
  <c r="BQ63" i="9"/>
  <c r="BQ59" i="9"/>
  <c r="BQ57" i="9"/>
  <c r="BQ55" i="9"/>
  <c r="BQ54" i="9"/>
  <c r="BQ53" i="9"/>
  <c r="BQ51" i="9"/>
  <c r="BQ50" i="9"/>
  <c r="BQ49" i="9"/>
  <c r="BQ47" i="9"/>
  <c r="BQ46" i="9"/>
  <c r="BQ45" i="9"/>
  <c r="BQ44" i="9"/>
  <c r="BQ43" i="9"/>
  <c r="BQ42" i="9"/>
  <c r="BQ41" i="9"/>
  <c r="BQ40" i="9"/>
  <c r="BQ39" i="9"/>
  <c r="BQ38" i="9"/>
  <c r="BQ37" i="9"/>
  <c r="BQ36" i="9"/>
  <c r="BQ35" i="9"/>
  <c r="BQ34" i="9"/>
  <c r="BQ33" i="9"/>
  <c r="BQ32" i="9"/>
  <c r="BQ31" i="9"/>
  <c r="BQ62" i="9"/>
  <c r="BQ66" i="9"/>
  <c r="BQ58" i="9"/>
  <c r="BR98" i="9"/>
  <c r="BR97" i="9"/>
  <c r="BR94" i="9"/>
  <c r="BR93" i="9"/>
  <c r="BR92" i="9"/>
  <c r="BR91" i="9"/>
  <c r="BR90" i="9"/>
  <c r="BR89" i="9"/>
  <c r="BR88" i="9"/>
  <c r="BR87" i="9"/>
  <c r="BR96" i="9"/>
  <c r="BR95" i="9"/>
  <c r="BR84" i="9"/>
  <c r="BR80" i="9"/>
  <c r="BR76" i="9"/>
  <c r="BR83" i="9"/>
  <c r="BR79" i="9"/>
  <c r="BR75" i="9"/>
  <c r="BR74" i="9"/>
  <c r="BR73" i="9"/>
  <c r="BR72" i="9"/>
  <c r="BR71" i="9"/>
  <c r="BR70" i="9"/>
  <c r="BR69" i="9"/>
  <c r="BR68" i="9"/>
  <c r="BR86" i="9"/>
  <c r="BR82" i="9"/>
  <c r="BR78" i="9"/>
  <c r="BR81" i="9"/>
  <c r="BR66" i="9"/>
  <c r="BR62" i="9"/>
  <c r="BR58" i="9"/>
  <c r="BR77" i="9"/>
  <c r="BR65" i="9"/>
  <c r="BR61" i="9"/>
  <c r="BR64" i="9"/>
  <c r="BR60" i="9"/>
  <c r="BR59" i="9"/>
  <c r="BR56" i="9"/>
  <c r="BR52" i="9"/>
  <c r="BR48" i="9"/>
  <c r="BR44" i="9"/>
  <c r="BR40" i="9"/>
  <c r="BR36" i="9"/>
  <c r="BR32" i="9"/>
  <c r="BR31" i="9"/>
  <c r="BR67" i="9"/>
  <c r="BR50" i="9"/>
  <c r="BR46" i="9"/>
  <c r="BR57" i="9"/>
  <c r="BR53" i="9"/>
  <c r="BR49" i="9"/>
  <c r="BR45" i="9"/>
  <c r="BR41" i="9"/>
  <c r="BR39" i="9"/>
  <c r="BR35" i="9"/>
  <c r="BR54" i="9"/>
  <c r="BR85" i="9"/>
  <c r="BR63" i="9"/>
  <c r="BR55" i="9"/>
  <c r="BR51" i="9"/>
  <c r="BR47" i="9"/>
  <c r="BR43" i="9"/>
  <c r="BR37" i="9"/>
  <c r="BR33" i="9"/>
  <c r="BR42" i="9"/>
  <c r="BR38" i="9"/>
  <c r="BR34" i="9"/>
  <c r="BS95" i="9"/>
  <c r="BS98" i="9"/>
  <c r="BS97" i="9"/>
  <c r="BS94" i="9"/>
  <c r="BS93" i="9"/>
  <c r="BS90" i="9"/>
  <c r="BS89" i="9"/>
  <c r="BS85" i="9"/>
  <c r="BS81" i="9"/>
  <c r="BS77" i="9"/>
  <c r="BS96" i="9"/>
  <c r="BS76" i="9"/>
  <c r="BS74" i="9"/>
  <c r="BS73" i="9"/>
  <c r="BS72" i="9"/>
  <c r="BS70" i="9"/>
  <c r="BS69" i="9"/>
  <c r="BS68" i="9"/>
  <c r="BS66" i="9"/>
  <c r="BS65" i="9"/>
  <c r="BS64" i="9"/>
  <c r="BS62" i="9"/>
  <c r="BS61" i="9"/>
  <c r="BS59" i="9"/>
  <c r="BS58" i="9"/>
  <c r="BS86" i="9"/>
  <c r="BS57" i="9"/>
  <c r="BS55" i="9"/>
  <c r="BS54" i="9"/>
  <c r="BS53" i="9"/>
  <c r="BS51" i="9"/>
  <c r="BS50" i="9"/>
  <c r="BS49" i="9"/>
  <c r="BS47" i="9"/>
  <c r="BS46" i="9"/>
  <c r="BS45" i="9"/>
  <c r="BS44" i="9"/>
  <c r="BS43" i="9"/>
  <c r="BS42" i="9"/>
  <c r="BS41" i="9"/>
  <c r="BS40" i="9"/>
  <c r="BS82" i="9"/>
  <c r="BS78" i="9"/>
  <c r="BS37" i="9"/>
  <c r="BS33" i="9"/>
  <c r="BS32" i="9"/>
  <c r="BS36" i="9"/>
  <c r="BS38" i="9"/>
  <c r="BS34" i="9"/>
  <c r="BS39" i="9"/>
  <c r="BS31" i="9"/>
  <c r="BS35" i="9"/>
  <c r="BT96" i="9"/>
  <c r="BT95" i="9"/>
  <c r="BT98" i="9"/>
  <c r="BT91" i="9"/>
  <c r="BT87" i="9"/>
  <c r="BT86" i="9"/>
  <c r="BT82" i="9"/>
  <c r="BT78" i="9"/>
  <c r="BT92" i="9"/>
  <c r="BT88" i="9"/>
  <c r="BT85" i="9"/>
  <c r="BT81" i="9"/>
  <c r="BT77" i="9"/>
  <c r="BT97" i="9"/>
  <c r="BT93" i="9"/>
  <c r="BT89" i="9"/>
  <c r="BT84" i="9"/>
  <c r="BT80" i="9"/>
  <c r="BT76" i="9"/>
  <c r="BT94" i="9"/>
  <c r="BT75" i="9"/>
  <c r="BT71" i="9"/>
  <c r="BT67" i="9"/>
  <c r="BT63" i="9"/>
  <c r="BT59" i="9"/>
  <c r="BT72" i="9"/>
  <c r="BT68" i="9"/>
  <c r="BT66" i="9"/>
  <c r="BT62" i="9"/>
  <c r="BT58" i="9"/>
  <c r="BT57" i="9"/>
  <c r="BT56" i="9"/>
  <c r="BT55" i="9"/>
  <c r="BT54" i="9"/>
  <c r="BT53" i="9"/>
  <c r="BT52" i="9"/>
  <c r="BT51" i="9"/>
  <c r="BT50" i="9"/>
  <c r="BT49" i="9"/>
  <c r="BT48" i="9"/>
  <c r="BT47" i="9"/>
  <c r="BT46" i="9"/>
  <c r="BT45" i="9"/>
  <c r="BT44" i="9"/>
  <c r="BT43" i="9"/>
  <c r="BT42" i="9"/>
  <c r="BT41" i="9"/>
  <c r="BT40" i="9"/>
  <c r="BT83" i="9"/>
  <c r="BT73" i="9"/>
  <c r="BT69" i="9"/>
  <c r="BT65" i="9"/>
  <c r="BT61" i="9"/>
  <c r="BT79" i="9"/>
  <c r="BT64" i="9"/>
  <c r="BT38" i="9"/>
  <c r="BT34" i="9"/>
  <c r="BT33" i="9"/>
  <c r="BT74" i="9"/>
  <c r="BT70" i="9"/>
  <c r="BT60" i="9"/>
  <c r="BT37" i="9"/>
  <c r="BT90" i="9"/>
  <c r="BT39" i="9"/>
  <c r="BT35" i="9"/>
  <c r="BT31" i="9"/>
  <c r="BT32" i="9"/>
  <c r="BT36" i="9"/>
  <c r="BU98" i="9"/>
  <c r="BU97" i="9"/>
  <c r="BU96" i="9"/>
  <c r="BU95" i="9"/>
  <c r="BU94" i="9"/>
  <c r="BU93" i="9"/>
  <c r="BU91" i="9"/>
  <c r="BU90" i="9"/>
  <c r="BU89" i="9"/>
  <c r="BU87" i="9"/>
  <c r="BU86" i="9"/>
  <c r="BU85" i="9"/>
  <c r="BU83" i="9"/>
  <c r="BU82" i="9"/>
  <c r="BU81" i="9"/>
  <c r="BU79" i="9"/>
  <c r="BU78" i="9"/>
  <c r="BU77" i="9"/>
  <c r="BU76" i="9"/>
  <c r="BU75" i="9"/>
  <c r="BU74" i="9"/>
  <c r="BU73" i="9"/>
  <c r="BU72" i="9"/>
  <c r="BU71" i="9"/>
  <c r="BU70" i="9"/>
  <c r="BU69" i="9"/>
  <c r="BU68" i="9"/>
  <c r="BU64" i="9"/>
  <c r="BU67" i="9"/>
  <c r="BU63" i="9"/>
  <c r="BU59" i="9"/>
  <c r="BU66" i="9"/>
  <c r="BU62" i="9"/>
  <c r="BU58" i="9"/>
  <c r="BU57" i="9"/>
  <c r="BU55" i="9"/>
  <c r="BU54" i="9"/>
  <c r="BU53" i="9"/>
  <c r="BU51" i="9"/>
  <c r="BU50" i="9"/>
  <c r="BU49" i="9"/>
  <c r="BU47" i="9"/>
  <c r="BU46" i="9"/>
  <c r="BU45" i="9"/>
  <c r="BU44" i="9"/>
  <c r="BU43" i="9"/>
  <c r="BU42" i="9"/>
  <c r="BU41" i="9"/>
  <c r="BU40" i="9"/>
  <c r="BU39" i="9"/>
  <c r="BU38" i="9"/>
  <c r="BU37" i="9"/>
  <c r="BU36" i="9"/>
  <c r="BU35" i="9"/>
  <c r="BU34" i="9"/>
  <c r="BU33" i="9"/>
  <c r="BU32" i="9"/>
  <c r="BU31" i="9"/>
  <c r="BU65" i="9"/>
  <c r="BU61" i="9"/>
  <c r="BV97" i="9"/>
  <c r="BV96" i="9"/>
  <c r="BV94" i="9"/>
  <c r="BV90" i="9"/>
  <c r="BV95" i="9"/>
  <c r="BV86" i="9"/>
  <c r="BV82" i="9"/>
  <c r="BV78" i="9"/>
  <c r="BV74" i="9"/>
  <c r="BV72" i="9"/>
  <c r="BV70" i="9"/>
  <c r="BV69" i="9"/>
  <c r="BV68" i="9"/>
  <c r="BV85" i="9"/>
  <c r="BV81" i="9"/>
  <c r="BV65" i="9"/>
  <c r="BV98" i="9"/>
  <c r="BV76" i="9"/>
  <c r="BV64" i="9"/>
  <c r="BV59" i="9"/>
  <c r="BV58" i="9"/>
  <c r="BV55" i="9"/>
  <c r="BV51" i="9"/>
  <c r="BV47" i="9"/>
  <c r="BV43" i="9"/>
  <c r="BV39" i="9"/>
  <c r="BV35" i="9"/>
  <c r="BV31" i="9"/>
  <c r="BV66" i="9"/>
  <c r="BV53" i="9"/>
  <c r="BV44" i="9"/>
  <c r="BV40" i="9"/>
  <c r="BV38" i="9"/>
  <c r="BV34" i="9"/>
  <c r="BV62" i="9"/>
  <c r="BV54" i="9"/>
  <c r="BV50" i="9"/>
  <c r="BV46" i="9"/>
  <c r="BV42" i="9"/>
  <c r="BV36" i="9"/>
  <c r="BV32" i="9"/>
  <c r="BV49" i="9"/>
  <c r="BV37" i="9"/>
  <c r="BV33" i="9"/>
  <c r="BW98" i="9"/>
  <c r="BW97" i="9"/>
  <c r="BW96" i="9"/>
  <c r="BW94" i="9"/>
  <c r="BW93" i="9"/>
  <c r="BW92" i="9"/>
  <c r="BW91" i="9"/>
  <c r="BW90" i="9"/>
  <c r="BW89" i="9"/>
  <c r="BW88" i="9"/>
  <c r="BW87" i="9"/>
  <c r="BW84" i="9"/>
  <c r="BW80" i="9"/>
  <c r="BW76" i="9"/>
  <c r="BW95" i="9"/>
  <c r="BW83" i="9"/>
  <c r="BW79" i="9"/>
  <c r="BW86" i="9"/>
  <c r="BW82" i="9"/>
  <c r="BW78" i="9"/>
  <c r="BW75" i="9"/>
  <c r="BW74" i="9"/>
  <c r="BW73" i="9"/>
  <c r="BW72" i="9"/>
  <c r="BW71" i="9"/>
  <c r="BW70" i="9"/>
  <c r="BW69" i="9"/>
  <c r="BW68" i="9"/>
  <c r="BW67" i="9"/>
  <c r="BW66" i="9"/>
  <c r="BW65" i="9"/>
  <c r="BW64" i="9"/>
  <c r="BW63" i="9"/>
  <c r="BW62" i="9"/>
  <c r="BW61" i="9"/>
  <c r="BW60" i="9"/>
  <c r="BW59" i="9"/>
  <c r="BW58" i="9"/>
  <c r="BW85" i="9"/>
  <c r="BW57" i="9"/>
  <c r="BW56" i="9"/>
  <c r="BW55" i="9"/>
  <c r="BW54" i="9"/>
  <c r="BW53" i="9"/>
  <c r="BW52" i="9"/>
  <c r="BW51" i="9"/>
  <c r="BW50" i="9"/>
  <c r="BW49" i="9"/>
  <c r="BW48" i="9"/>
  <c r="BW47" i="9"/>
  <c r="BW46" i="9"/>
  <c r="BW45" i="9"/>
  <c r="BW44" i="9"/>
  <c r="BW43" i="9"/>
  <c r="BW42" i="9"/>
  <c r="BW41" i="9"/>
  <c r="BW40" i="9"/>
  <c r="BW81" i="9"/>
  <c r="BW77" i="9"/>
  <c r="BW36" i="9"/>
  <c r="BW32" i="9"/>
  <c r="BW39" i="9"/>
  <c r="BW35" i="9"/>
  <c r="BW31" i="9"/>
  <c r="BW37" i="9"/>
  <c r="BW33" i="9"/>
  <c r="BW38" i="9"/>
  <c r="BW34" i="9"/>
  <c r="BX95" i="9"/>
  <c r="BX98" i="9"/>
  <c r="BX97" i="9"/>
  <c r="BX94" i="9"/>
  <c r="BX90" i="9"/>
  <c r="BX85" i="9"/>
  <c r="BX81" i="9"/>
  <c r="BX77" i="9"/>
  <c r="BX91" i="9"/>
  <c r="BX87" i="9"/>
  <c r="BX84" i="9"/>
  <c r="BX80" i="9"/>
  <c r="BX76" i="9"/>
  <c r="BX96" i="9"/>
  <c r="BX92" i="9"/>
  <c r="BX88" i="9"/>
  <c r="BX83" i="9"/>
  <c r="BX79" i="9"/>
  <c r="BX93" i="9"/>
  <c r="BX74" i="9"/>
  <c r="BX70" i="9"/>
  <c r="BX66" i="9"/>
  <c r="BX62" i="9"/>
  <c r="BX58" i="9"/>
  <c r="BX86" i="9"/>
  <c r="BX75" i="9"/>
  <c r="BX71" i="9"/>
  <c r="BX65" i="9"/>
  <c r="BX61" i="9"/>
  <c r="BX57" i="9"/>
  <c r="BX56" i="9"/>
  <c r="BX55" i="9"/>
  <c r="BX54" i="9"/>
  <c r="BX53" i="9"/>
  <c r="BX52" i="9"/>
  <c r="BX51" i="9"/>
  <c r="BX50" i="9"/>
  <c r="BX49" i="9"/>
  <c r="BX48" i="9"/>
  <c r="BX47" i="9"/>
  <c r="BX46" i="9"/>
  <c r="BX45" i="9"/>
  <c r="BX44" i="9"/>
  <c r="BX43" i="9"/>
  <c r="BX42" i="9"/>
  <c r="BX41" i="9"/>
  <c r="BX40" i="9"/>
  <c r="BX82" i="9"/>
  <c r="BX72" i="9"/>
  <c r="BX68" i="9"/>
  <c r="BX64" i="9"/>
  <c r="BX60" i="9"/>
  <c r="BX63" i="9"/>
  <c r="BX37" i="9"/>
  <c r="BX33" i="9"/>
  <c r="BX32" i="9"/>
  <c r="BX73" i="9"/>
  <c r="BX78" i="9"/>
  <c r="BX69" i="9"/>
  <c r="BX59" i="9"/>
  <c r="BX36" i="9"/>
  <c r="BX89" i="9"/>
  <c r="BX67" i="9"/>
  <c r="BX38" i="9"/>
  <c r="BX34" i="9"/>
  <c r="BX31" i="9"/>
  <c r="BX39" i="9"/>
  <c r="BX35" i="9"/>
  <c r="BY98" i="9"/>
  <c r="BY97" i="9"/>
  <c r="BY96" i="9"/>
  <c r="BY95" i="9"/>
  <c r="BY94" i="9"/>
  <c r="BY93" i="9"/>
  <c r="BY91" i="9"/>
  <c r="BY90" i="9"/>
  <c r="BY89" i="9"/>
  <c r="BY87" i="9"/>
  <c r="BY86" i="9"/>
  <c r="BY85" i="9"/>
  <c r="BY83" i="9"/>
  <c r="BY82" i="9"/>
  <c r="BY81" i="9"/>
  <c r="BY79" i="9"/>
  <c r="BY78" i="9"/>
  <c r="BY77" i="9"/>
  <c r="BY76" i="9"/>
  <c r="BY75" i="9"/>
  <c r="BY74" i="9"/>
  <c r="BY73" i="9"/>
  <c r="BY72" i="9"/>
  <c r="BY71" i="9"/>
  <c r="BY70" i="9"/>
  <c r="BY69" i="9"/>
  <c r="BY68" i="9"/>
  <c r="BY67" i="9"/>
  <c r="BY63" i="9"/>
  <c r="BY59" i="9"/>
  <c r="BY66" i="9"/>
  <c r="BY62" i="9"/>
  <c r="BY58" i="9"/>
  <c r="BY65" i="9"/>
  <c r="BY61" i="9"/>
  <c r="BY57" i="9"/>
  <c r="BY55" i="9"/>
  <c r="BY54" i="9"/>
  <c r="BY53" i="9"/>
  <c r="BY51" i="9"/>
  <c r="BY50" i="9"/>
  <c r="BY49" i="9"/>
  <c r="BY47" i="9"/>
  <c r="BY46" i="9"/>
  <c r="BY45" i="9"/>
  <c r="BY44" i="9"/>
  <c r="BY43" i="9"/>
  <c r="BY42" i="9"/>
  <c r="BY41" i="9"/>
  <c r="BY40" i="9"/>
  <c r="BY39" i="9"/>
  <c r="BY38" i="9"/>
  <c r="BY37" i="9"/>
  <c r="BY36" i="9"/>
  <c r="BY35" i="9"/>
  <c r="BY34" i="9"/>
  <c r="BY33" i="9"/>
  <c r="BY32" i="9"/>
  <c r="BY31" i="9"/>
  <c r="BY64" i="9"/>
  <c r="BZ96" i="9"/>
  <c r="BZ95" i="9"/>
  <c r="BZ94" i="9"/>
  <c r="BZ90" i="9"/>
  <c r="BZ98" i="9"/>
  <c r="BZ86" i="9"/>
  <c r="BZ82" i="9"/>
  <c r="BZ78" i="9"/>
  <c r="BZ85" i="9"/>
  <c r="BZ81" i="9"/>
  <c r="BZ74" i="9"/>
  <c r="BZ72" i="9"/>
  <c r="BZ70" i="9"/>
  <c r="BZ69" i="9"/>
  <c r="BZ68" i="9"/>
  <c r="BZ76" i="9"/>
  <c r="BZ64" i="9"/>
  <c r="BZ59" i="9"/>
  <c r="BZ97" i="9"/>
  <c r="BZ66" i="9"/>
  <c r="BZ62" i="9"/>
  <c r="BZ58" i="9"/>
  <c r="BZ54" i="9"/>
  <c r="BZ50" i="9"/>
  <c r="BZ46" i="9"/>
  <c r="BZ42" i="9"/>
  <c r="BZ38" i="9"/>
  <c r="BZ34" i="9"/>
  <c r="BZ33" i="9"/>
  <c r="BZ55" i="9"/>
  <c r="BZ51" i="9"/>
  <c r="BZ47" i="9"/>
  <c r="BZ43" i="9"/>
  <c r="BZ37" i="9"/>
  <c r="BZ65" i="9"/>
  <c r="BZ53" i="9"/>
  <c r="BZ49" i="9"/>
  <c r="BZ39" i="9"/>
  <c r="BZ35" i="9"/>
  <c r="BZ31" i="9"/>
  <c r="BZ40" i="9"/>
  <c r="BZ36" i="9"/>
  <c r="BZ44" i="9"/>
  <c r="BZ32" i="9"/>
  <c r="CA97" i="9"/>
  <c r="CA96" i="9"/>
  <c r="CA95" i="9"/>
  <c r="CA94" i="9"/>
  <c r="CA93" i="9"/>
  <c r="CA90" i="9"/>
  <c r="CA89" i="9"/>
  <c r="CA98" i="9"/>
  <c r="CA86" i="9"/>
  <c r="CA82" i="9"/>
  <c r="CA78" i="9"/>
  <c r="CA85" i="9"/>
  <c r="CA81" i="9"/>
  <c r="CA77" i="9"/>
  <c r="CA74" i="9"/>
  <c r="CA73" i="9"/>
  <c r="CA72" i="9"/>
  <c r="CA70" i="9"/>
  <c r="CA69" i="9"/>
  <c r="CA68" i="9"/>
  <c r="CA66" i="9"/>
  <c r="CA65" i="9"/>
  <c r="CA64" i="9"/>
  <c r="CA62" i="9"/>
  <c r="CA61" i="9"/>
  <c r="CA59" i="9"/>
  <c r="CA58" i="9"/>
  <c r="CA57" i="9"/>
  <c r="CA55" i="9"/>
  <c r="CA54" i="9"/>
  <c r="CA53" i="9"/>
  <c r="CA51" i="9"/>
  <c r="CA50" i="9"/>
  <c r="CA49" i="9"/>
  <c r="CA47" i="9"/>
  <c r="CA46" i="9"/>
  <c r="CA45" i="9"/>
  <c r="CA44" i="9"/>
  <c r="CA43" i="9"/>
  <c r="CA42" i="9"/>
  <c r="CA41" i="9"/>
  <c r="CA40" i="9"/>
  <c r="CA76" i="9"/>
  <c r="CA39" i="9"/>
  <c r="CA35" i="9"/>
  <c r="CA31" i="9"/>
  <c r="CA38" i="9"/>
  <c r="CA34" i="9"/>
  <c r="CA36" i="9"/>
  <c r="CA32" i="9"/>
  <c r="CA37" i="9"/>
  <c r="CA33" i="9"/>
  <c r="CB98" i="9"/>
  <c r="CB97" i="9"/>
  <c r="CB96" i="9"/>
  <c r="CB93" i="9"/>
  <c r="CB89" i="9"/>
  <c r="CB84" i="9"/>
  <c r="CB80" i="9"/>
  <c r="CB76" i="9"/>
  <c r="CB94" i="9"/>
  <c r="CB90" i="9"/>
  <c r="CB83" i="9"/>
  <c r="CB79" i="9"/>
  <c r="CB95" i="9"/>
  <c r="CB91" i="9"/>
  <c r="CB87" i="9"/>
  <c r="CB86" i="9"/>
  <c r="CB82" i="9"/>
  <c r="CB78" i="9"/>
  <c r="CB92" i="9"/>
  <c r="CB73" i="9"/>
  <c r="CB69" i="9"/>
  <c r="CB65" i="9"/>
  <c r="CB61" i="9"/>
  <c r="CB85" i="9"/>
  <c r="CB74" i="9"/>
  <c r="CB70" i="9"/>
  <c r="CB64" i="9"/>
  <c r="CB60" i="9"/>
  <c r="CB57" i="9"/>
  <c r="CB56" i="9"/>
  <c r="CB55" i="9"/>
  <c r="CB54" i="9"/>
  <c r="CB53" i="9"/>
  <c r="CB52" i="9"/>
  <c r="CB51" i="9"/>
  <c r="CB50" i="9"/>
  <c r="CB49" i="9"/>
  <c r="CB48" i="9"/>
  <c r="CB47" i="9"/>
  <c r="CB46" i="9"/>
  <c r="CB45" i="9"/>
  <c r="CB44" i="9"/>
  <c r="CB43" i="9"/>
  <c r="CB42" i="9"/>
  <c r="CB41" i="9"/>
  <c r="CB40" i="9"/>
  <c r="CB81" i="9"/>
  <c r="CB75" i="9"/>
  <c r="CB71" i="9"/>
  <c r="CB67" i="9"/>
  <c r="CB63" i="9"/>
  <c r="CB59" i="9"/>
  <c r="CB62" i="9"/>
  <c r="CB36" i="9"/>
  <c r="CB32" i="9"/>
  <c r="CB31" i="9"/>
  <c r="CB77" i="9"/>
  <c r="CB88" i="9"/>
  <c r="CB68" i="9"/>
  <c r="CB58" i="9"/>
  <c r="CB39" i="9"/>
  <c r="CB35" i="9"/>
  <c r="CB72" i="9"/>
  <c r="CB66" i="9"/>
  <c r="CB37" i="9"/>
  <c r="CB33" i="9"/>
  <c r="CB38" i="9"/>
  <c r="CB34" i="9"/>
  <c r="CC98" i="9"/>
  <c r="CC97" i="9"/>
  <c r="CC96" i="9"/>
  <c r="CC95" i="9"/>
  <c r="CC94" i="9"/>
  <c r="CC93" i="9"/>
  <c r="CC92" i="9"/>
  <c r="CC91" i="9"/>
  <c r="CC90" i="9"/>
  <c r="CC89" i="9"/>
  <c r="CC88" i="9"/>
  <c r="CC87" i="9"/>
  <c r="CC86" i="9"/>
  <c r="CC85" i="9"/>
  <c r="CC84" i="9"/>
  <c r="CC83" i="9"/>
  <c r="CC82" i="9"/>
  <c r="CC81" i="9"/>
  <c r="CC80" i="9"/>
  <c r="CC79" i="9"/>
  <c r="CC78" i="9"/>
  <c r="CC77" i="9"/>
  <c r="CC76" i="9"/>
  <c r="CC75" i="9"/>
  <c r="CC74" i="9"/>
  <c r="CC73" i="9"/>
  <c r="CC72" i="9"/>
  <c r="CC71" i="9"/>
  <c r="CC70" i="9"/>
  <c r="CC69" i="9"/>
  <c r="CC68" i="9"/>
  <c r="CC66" i="9"/>
  <c r="CC62" i="9"/>
  <c r="CC58" i="9"/>
  <c r="CC65" i="9"/>
  <c r="CC61" i="9"/>
  <c r="CC64" i="9"/>
  <c r="CC60" i="9"/>
  <c r="CC57" i="9"/>
  <c r="CC56" i="9"/>
  <c r="CC55" i="9"/>
  <c r="CC54" i="9"/>
  <c r="CC53" i="9"/>
  <c r="CC52" i="9"/>
  <c r="CC51" i="9"/>
  <c r="CC50" i="9"/>
  <c r="CC49" i="9"/>
  <c r="CC48" i="9"/>
  <c r="CC47" i="9"/>
  <c r="CC46" i="9"/>
  <c r="CC45" i="9"/>
  <c r="CC44" i="9"/>
  <c r="CC43" i="9"/>
  <c r="CC42" i="9"/>
  <c r="CC41" i="9"/>
  <c r="CC40" i="9"/>
  <c r="CC39" i="9"/>
  <c r="CC38" i="9"/>
  <c r="CC37" i="9"/>
  <c r="CC36" i="9"/>
  <c r="CC35" i="9"/>
  <c r="CC34" i="9"/>
  <c r="CC33" i="9"/>
  <c r="CC32" i="9"/>
  <c r="CC31" i="9"/>
  <c r="CC67" i="9"/>
  <c r="CC59" i="9"/>
  <c r="CC63" i="9"/>
  <c r="CD95" i="9"/>
  <c r="CD98" i="9"/>
  <c r="CD94" i="9"/>
  <c r="CD93" i="9"/>
  <c r="CD92" i="9"/>
  <c r="CD91" i="9"/>
  <c r="CD90" i="9"/>
  <c r="CD89" i="9"/>
  <c r="CD88" i="9"/>
  <c r="CD87" i="9"/>
  <c r="CD97" i="9"/>
  <c r="CD85" i="9"/>
  <c r="CD81" i="9"/>
  <c r="CD77" i="9"/>
  <c r="CD84" i="9"/>
  <c r="CD80" i="9"/>
  <c r="CD76" i="9"/>
  <c r="CD75" i="9"/>
  <c r="CD74" i="9"/>
  <c r="CD73" i="9"/>
  <c r="CD72" i="9"/>
  <c r="CD71" i="9"/>
  <c r="CD70" i="9"/>
  <c r="CD69" i="9"/>
  <c r="CD68" i="9"/>
  <c r="CD83" i="9"/>
  <c r="CD79" i="9"/>
  <c r="CD78" i="9"/>
  <c r="CD67" i="9"/>
  <c r="CD63" i="9"/>
  <c r="CD59" i="9"/>
  <c r="CD66" i="9"/>
  <c r="CD62" i="9"/>
  <c r="CD58" i="9"/>
  <c r="CD86" i="9"/>
  <c r="CD65" i="9"/>
  <c r="CD61" i="9"/>
  <c r="CD57" i="9"/>
  <c r="CD53" i="9"/>
  <c r="CD49" i="9"/>
  <c r="CD45" i="9"/>
  <c r="CD41" i="9"/>
  <c r="CD37" i="9"/>
  <c r="CD33" i="9"/>
  <c r="CD82" i="9"/>
  <c r="CD51" i="9"/>
  <c r="CD96" i="9"/>
  <c r="CD54" i="9"/>
  <c r="CD50" i="9"/>
  <c r="CD46" i="9"/>
  <c r="CD42" i="9"/>
  <c r="CD36" i="9"/>
  <c r="CD32" i="9"/>
  <c r="CD64" i="9"/>
  <c r="CD55" i="9"/>
  <c r="CD60" i="9"/>
  <c r="CD56" i="9"/>
  <c r="CD52" i="9"/>
  <c r="CD48" i="9"/>
  <c r="CD44" i="9"/>
  <c r="CD40" i="9"/>
  <c r="CD38" i="9"/>
  <c r="CD34" i="9"/>
  <c r="CD47" i="9"/>
  <c r="CD35" i="9"/>
  <c r="CD43" i="9"/>
  <c r="CD31" i="9"/>
  <c r="CD39" i="9"/>
  <c r="CE96" i="9"/>
  <c r="CE95" i="9"/>
  <c r="CE98" i="9"/>
  <c r="CE94" i="9"/>
  <c r="CE93" i="9"/>
  <c r="CE92" i="9"/>
  <c r="CE91" i="9"/>
  <c r="CE90" i="9"/>
  <c r="CE89" i="9"/>
  <c r="CE88" i="9"/>
  <c r="CE87" i="9"/>
  <c r="CE97" i="9"/>
  <c r="CE86" i="9"/>
  <c r="CE82" i="9"/>
  <c r="CE78" i="9"/>
  <c r="CE85" i="9"/>
  <c r="CE81" i="9"/>
  <c r="CE77" i="9"/>
  <c r="CE84" i="9"/>
  <c r="CE80" i="9"/>
  <c r="CE76" i="9"/>
  <c r="CE75" i="9"/>
  <c r="CE74" i="9"/>
  <c r="CE73" i="9"/>
  <c r="CE72" i="9"/>
  <c r="CE71" i="9"/>
  <c r="CE70" i="9"/>
  <c r="CE69" i="9"/>
  <c r="CE68" i="9"/>
  <c r="CE67" i="9"/>
  <c r="CE66" i="9"/>
  <c r="CE65" i="9"/>
  <c r="CE64" i="9"/>
  <c r="CE63" i="9"/>
  <c r="CE62" i="9"/>
  <c r="CE61" i="9"/>
  <c r="CE60" i="9"/>
  <c r="CE59" i="9"/>
  <c r="CE58" i="9"/>
  <c r="CE83" i="9"/>
  <c r="CE57" i="9"/>
  <c r="CE56" i="9"/>
  <c r="CE55" i="9"/>
  <c r="CE54" i="9"/>
  <c r="CE53" i="9"/>
  <c r="CE52" i="9"/>
  <c r="CE51" i="9"/>
  <c r="CE50" i="9"/>
  <c r="CE49" i="9"/>
  <c r="CE48" i="9"/>
  <c r="CE47" i="9"/>
  <c r="CE46" i="9"/>
  <c r="CE45" i="9"/>
  <c r="CE44" i="9"/>
  <c r="CE43" i="9"/>
  <c r="CE42" i="9"/>
  <c r="CE41" i="9"/>
  <c r="CE40" i="9"/>
  <c r="CE79" i="9"/>
  <c r="CE38" i="9"/>
  <c r="CE34" i="9"/>
  <c r="CE37" i="9"/>
  <c r="CE33" i="9"/>
  <c r="CE39" i="9"/>
  <c r="CE35" i="9"/>
  <c r="CE31" i="9"/>
  <c r="CE36" i="9"/>
  <c r="CE32" i="9"/>
  <c r="Q28" i="9"/>
  <c r="R28" i="9"/>
  <c r="S28" i="9"/>
  <c r="T28" i="9"/>
  <c r="U28" i="9"/>
  <c r="V28" i="9"/>
  <c r="W28" i="9"/>
  <c r="X28" i="9"/>
  <c r="Y28" i="9"/>
  <c r="Z28" i="9"/>
  <c r="AA28" i="9"/>
  <c r="AB28" i="9"/>
  <c r="AC28" i="9"/>
  <c r="AD28" i="9"/>
  <c r="AE28" i="9"/>
  <c r="AF28" i="9"/>
  <c r="AG28" i="9"/>
  <c r="AH28" i="9"/>
  <c r="AI28" i="9"/>
  <c r="AJ28" i="9"/>
  <c r="AK28" i="9"/>
  <c r="AL28" i="9"/>
  <c r="AM28" i="9"/>
  <c r="AN28" i="9"/>
  <c r="AO28" i="9"/>
  <c r="AP28" i="9"/>
  <c r="AQ28" i="9"/>
  <c r="AR28" i="9"/>
  <c r="AS28" i="9"/>
  <c r="AT28" i="9"/>
  <c r="AU28" i="9"/>
  <c r="AV28" i="9"/>
  <c r="AW28" i="9"/>
  <c r="AX28" i="9"/>
  <c r="AY28" i="9"/>
  <c r="AZ28" i="9"/>
  <c r="BA28" i="9"/>
  <c r="BB28" i="9"/>
  <c r="BC28" i="9"/>
  <c r="BD28" i="9"/>
  <c r="BE28" i="9"/>
  <c r="BF28" i="9"/>
  <c r="BG28" i="9"/>
  <c r="BH28" i="9"/>
  <c r="BI28" i="9"/>
  <c r="BJ28" i="9"/>
  <c r="BK28" i="9"/>
  <c r="BL28" i="9"/>
  <c r="BM28" i="9"/>
  <c r="BN28" i="9"/>
  <c r="BO28" i="9"/>
  <c r="BP28" i="9"/>
  <c r="BQ28" i="9"/>
  <c r="BR28" i="9"/>
  <c r="BS28" i="9"/>
  <c r="BT28" i="9"/>
  <c r="BU28" i="9"/>
  <c r="BV28" i="9"/>
  <c r="BW28" i="9"/>
  <c r="BX28" i="9"/>
  <c r="BY28" i="9"/>
  <c r="BZ28" i="9"/>
  <c r="CA28" i="9"/>
  <c r="CB28" i="9"/>
  <c r="CC28" i="9"/>
  <c r="CD28" i="9"/>
  <c r="CE28" i="9"/>
  <c r="E32" i="9"/>
  <c r="Z93" i="9" s="1"/>
  <c r="E31" i="9"/>
  <c r="Z80" i="9" s="1"/>
  <c r="F30" i="9"/>
  <c r="AE83" i="9" s="1"/>
  <c r="E30" i="9"/>
  <c r="Z83" i="9" s="1"/>
  <c r="F31" i="9"/>
  <c r="W84" i="9" s="1"/>
  <c r="D31" i="9"/>
  <c r="AG56" i="9" s="1"/>
  <c r="P30" i="9"/>
  <c r="BM17" i="11" l="1"/>
  <c r="BJ17" i="11"/>
  <c r="BM13" i="11"/>
  <c r="BK17" i="11"/>
  <c r="BO21" i="11"/>
  <c r="BO17" i="11"/>
  <c r="BO18" i="11"/>
  <c r="BM22" i="11"/>
  <c r="BP17" i="11"/>
  <c r="BP21" i="11"/>
  <c r="BP24" i="11"/>
  <c r="BO20" i="11"/>
  <c r="BP18" i="11"/>
  <c r="BO19" i="11"/>
  <c r="AG60" i="9"/>
  <c r="N16" i="9" s="1"/>
  <c r="BP22" i="11"/>
  <c r="BO23" i="11"/>
  <c r="BP23" i="11"/>
  <c r="BX21" i="11"/>
  <c r="BV17" i="11"/>
  <c r="BU24" i="11"/>
  <c r="BS21" i="11"/>
  <c r="BX24" i="11"/>
  <c r="BV20" i="11"/>
  <c r="BT22" i="11"/>
  <c r="BR23" i="11"/>
  <c r="BQ24" i="11"/>
  <c r="BN24" i="11"/>
  <c r="BW18" i="11"/>
  <c r="BU22" i="11"/>
  <c r="BS19" i="11"/>
  <c r="BX22" i="11"/>
  <c r="BT20" i="11"/>
  <c r="BQ19" i="11"/>
  <c r="BW23" i="11"/>
  <c r="BU20" i="11"/>
  <c r="BS18" i="11"/>
  <c r="BX20" i="11"/>
  <c r="BV24" i="11"/>
  <c r="BS20" i="11"/>
  <c r="BQ18" i="11"/>
  <c r="BN18" i="11"/>
  <c r="BX23" i="11"/>
  <c r="BV19" i="11"/>
  <c r="BT17" i="11"/>
  <c r="BX18" i="11"/>
  <c r="BV22" i="11"/>
  <c r="BS17" i="11"/>
  <c r="BQ17" i="11"/>
  <c r="BN17" i="11"/>
  <c r="BR22" i="11"/>
  <c r="BN23" i="11"/>
  <c r="BP20" i="11"/>
  <c r="BP19" i="11"/>
  <c r="BM23" i="11"/>
  <c r="BV18" i="11"/>
  <c r="BS23" i="11"/>
  <c r="BO24" i="11"/>
  <c r="BO22" i="11"/>
  <c r="BW20" i="11"/>
  <c r="BU17" i="11"/>
  <c r="BT23" i="11"/>
  <c r="BR21" i="11"/>
  <c r="BW17" i="11"/>
  <c r="BU21" i="11"/>
  <c r="BS24" i="11"/>
  <c r="BQ20" i="11"/>
  <c r="BN20" i="11"/>
  <c r="BX19" i="11"/>
  <c r="BV23" i="11"/>
  <c r="BT21" i="11"/>
  <c r="BR19" i="11"/>
  <c r="BW24" i="11"/>
  <c r="BU19" i="11"/>
  <c r="BS22" i="11"/>
  <c r="BN19" i="11"/>
  <c r="BX17" i="11"/>
  <c r="BV21" i="11"/>
  <c r="BT19" i="11"/>
  <c r="BR17" i="11"/>
  <c r="BW21" i="11"/>
  <c r="BT18" i="11"/>
  <c r="BR20" i="11"/>
  <c r="BQ22" i="11"/>
  <c r="BN22" i="11"/>
  <c r="BW22" i="11"/>
  <c r="BU18" i="11"/>
  <c r="BT24" i="11"/>
  <c r="BR24" i="11"/>
  <c r="BW19" i="11"/>
  <c r="BU23" i="11"/>
  <c r="BR18" i="11"/>
  <c r="BQ21" i="11"/>
  <c r="BN21" i="11"/>
  <c r="BQ23" i="11"/>
  <c r="BV60" i="9"/>
  <c r="BV88" i="9"/>
  <c r="BU48" i="9"/>
  <c r="BU52" i="9"/>
  <c r="BU56" i="9"/>
  <c r="BU60" i="9"/>
  <c r="BJ80" i="9"/>
  <c r="BF56" i="9"/>
  <c r="BF88" i="9"/>
  <c r="AT80" i="9"/>
  <c r="BZ92" i="9"/>
  <c r="AD56" i="9"/>
  <c r="AD80" i="9"/>
  <c r="BF84" i="9"/>
  <c r="Z56" i="9"/>
  <c r="BZ84" i="9"/>
  <c r="BF52" i="9"/>
  <c r="T14" i="9" s="1"/>
  <c r="BF77" i="9"/>
  <c r="AT92" i="9"/>
  <c r="AP52" i="9"/>
  <c r="Z92" i="9"/>
  <c r="BV41" i="9"/>
  <c r="X11" i="9" s="1"/>
  <c r="BS48" i="9"/>
  <c r="BS52" i="9"/>
  <c r="BS56" i="9"/>
  <c r="BF73" i="9"/>
  <c r="AT41" i="9"/>
  <c r="AQ11" i="9" s="1"/>
  <c r="BM60" i="9"/>
  <c r="V16" i="9" s="1"/>
  <c r="BJ92" i="9"/>
  <c r="AT57" i="9"/>
  <c r="AP92" i="9"/>
  <c r="AD92" i="9"/>
  <c r="AY9" i="9"/>
  <c r="Y9" i="9"/>
  <c r="AX10" i="9"/>
  <c r="X10" i="9"/>
  <c r="AW11" i="9"/>
  <c r="W11" i="9"/>
  <c r="AV11" i="9"/>
  <c r="V11" i="9"/>
  <c r="AV17" i="9"/>
  <c r="V17" i="9"/>
  <c r="AT10" i="9"/>
  <c r="T10" i="9"/>
  <c r="AT14" i="9"/>
  <c r="AS9" i="9"/>
  <c r="S9" i="9"/>
  <c r="AR17" i="9"/>
  <c r="R17" i="9"/>
  <c r="AR23" i="9"/>
  <c r="R23" i="9"/>
  <c r="AO10" i="9"/>
  <c r="O10" i="9"/>
  <c r="AN9" i="9"/>
  <c r="N9" i="9"/>
  <c r="AN18" i="9"/>
  <c r="N18" i="9"/>
  <c r="AM10" i="9"/>
  <c r="M10" i="9"/>
  <c r="AL10" i="9"/>
  <c r="L10" i="9"/>
  <c r="AK9" i="9"/>
  <c r="K9" i="9"/>
  <c r="CA63" i="9"/>
  <c r="CA67" i="9"/>
  <c r="CA71" i="9"/>
  <c r="CA75" i="9"/>
  <c r="CA83" i="9"/>
  <c r="BS83" i="9"/>
  <c r="BC63" i="9"/>
  <c r="S17" i="9" s="1"/>
  <c r="BC67" i="9"/>
  <c r="AS18" i="9" s="1"/>
  <c r="BC71" i="9"/>
  <c r="S19" i="9" s="1"/>
  <c r="BC75" i="9"/>
  <c r="AS20" i="9" s="1"/>
  <c r="AU63" i="9"/>
  <c r="AU67" i="9"/>
  <c r="AU71" i="9"/>
  <c r="AU75" i="9"/>
  <c r="AY10" i="9"/>
  <c r="Y10" i="9"/>
  <c r="AW9" i="9"/>
  <c r="W9" i="9"/>
  <c r="AV19" i="9"/>
  <c r="V19" i="9"/>
  <c r="U10" i="9"/>
  <c r="AU10" i="9"/>
  <c r="AS11" i="9"/>
  <c r="S11" i="9"/>
  <c r="AR10" i="9"/>
  <c r="R10" i="9"/>
  <c r="AR9" i="9"/>
  <c r="R9" i="9"/>
  <c r="AR19" i="9"/>
  <c r="R19" i="9"/>
  <c r="AR21" i="9"/>
  <c r="R21" i="9"/>
  <c r="AQ9" i="9"/>
  <c r="Q9" i="9"/>
  <c r="P9" i="9"/>
  <c r="AP9" i="9"/>
  <c r="AO12" i="9"/>
  <c r="O12" i="9"/>
  <c r="AN11" i="9"/>
  <c r="N11" i="9"/>
  <c r="AN20" i="9"/>
  <c r="N20" i="9"/>
  <c r="AN12" i="9"/>
  <c r="N12" i="9"/>
  <c r="AN15" i="9"/>
  <c r="N15" i="9"/>
  <c r="AK11" i="9"/>
  <c r="K11" i="9"/>
  <c r="CA48" i="9"/>
  <c r="CA52" i="9"/>
  <c r="CA56" i="9"/>
  <c r="CA87" i="9"/>
  <c r="BZ41" i="9"/>
  <c r="Y11" i="9" s="1"/>
  <c r="BZ52" i="9"/>
  <c r="BZ77" i="9"/>
  <c r="BV56" i="9"/>
  <c r="BS80" i="9"/>
  <c r="BS91" i="9"/>
  <c r="BK48" i="9"/>
  <c r="BK52" i="9"/>
  <c r="BK56" i="9"/>
  <c r="BK60" i="9"/>
  <c r="BK79" i="9"/>
  <c r="BK91" i="9"/>
  <c r="BJ56" i="9"/>
  <c r="BJ88" i="9"/>
  <c r="BF45" i="9"/>
  <c r="AT12" i="9" s="1"/>
  <c r="BC83" i="9"/>
  <c r="AP48" i="9"/>
  <c r="AO48" i="9"/>
  <c r="AO52" i="9"/>
  <c r="AO56" i="9"/>
  <c r="AO60" i="9"/>
  <c r="AM83" i="9"/>
  <c r="Z60" i="9"/>
  <c r="Z88" i="9"/>
  <c r="AY11" i="9"/>
  <c r="X9" i="9"/>
  <c r="AX9" i="9"/>
  <c r="AW10" i="9"/>
  <c r="W10" i="9"/>
  <c r="AV10" i="9"/>
  <c r="V10" i="9"/>
  <c r="AV20" i="9"/>
  <c r="V20" i="9"/>
  <c r="AT9" i="9"/>
  <c r="T9" i="9"/>
  <c r="AR11" i="9"/>
  <c r="R11" i="9"/>
  <c r="AR16" i="9"/>
  <c r="R16" i="9"/>
  <c r="AR20" i="9"/>
  <c r="R20" i="9"/>
  <c r="AR12" i="9"/>
  <c r="R12" i="9"/>
  <c r="AR13" i="9"/>
  <c r="R13" i="9"/>
  <c r="AR14" i="9"/>
  <c r="R14" i="9"/>
  <c r="AR15" i="9"/>
  <c r="R15" i="9"/>
  <c r="AR22" i="9"/>
  <c r="R22" i="9"/>
  <c r="AQ10" i="9"/>
  <c r="Q10" i="9"/>
  <c r="P10" i="9"/>
  <c r="AP10" i="9"/>
  <c r="AO9" i="9"/>
  <c r="O9" i="9"/>
  <c r="AN17" i="9"/>
  <c r="N17" i="9"/>
  <c r="AM9" i="9"/>
  <c r="M9" i="9"/>
  <c r="AL9" i="9"/>
  <c r="L9" i="9"/>
  <c r="AK12" i="9"/>
  <c r="K12" i="9"/>
  <c r="AW12" i="9"/>
  <c r="W12" i="9"/>
  <c r="AV9" i="9"/>
  <c r="V9" i="9"/>
  <c r="AV18" i="9"/>
  <c r="V18" i="9"/>
  <c r="AV12" i="9"/>
  <c r="V12" i="9"/>
  <c r="AU9" i="9"/>
  <c r="U9" i="9"/>
  <c r="AS10" i="9"/>
  <c r="S10" i="9"/>
  <c r="AS12" i="9"/>
  <c r="S12" i="9"/>
  <c r="AR18" i="9"/>
  <c r="R18" i="9"/>
  <c r="AR24" i="9"/>
  <c r="R24" i="9"/>
  <c r="AO11" i="9"/>
  <c r="O11" i="9"/>
  <c r="AN10" i="9"/>
  <c r="N10" i="9"/>
  <c r="AN19" i="9"/>
  <c r="N19" i="9"/>
  <c r="AK10" i="9"/>
  <c r="K10" i="9"/>
  <c r="CA79" i="9"/>
  <c r="BS63" i="9"/>
  <c r="W17" i="9" s="1"/>
  <c r="BS67" i="9"/>
  <c r="AW18" i="9" s="1"/>
  <c r="BS71" i="9"/>
  <c r="W19" i="9" s="1"/>
  <c r="BS75" i="9"/>
  <c r="AW20" i="9" s="1"/>
  <c r="BS87" i="9"/>
  <c r="BK87" i="9"/>
  <c r="AE63" i="9"/>
  <c r="AE67" i="9"/>
  <c r="AE71" i="9"/>
  <c r="AE75" i="9"/>
  <c r="AE79" i="9"/>
  <c r="W63" i="9"/>
  <c r="AK17" i="9" s="1"/>
  <c r="W67" i="9"/>
  <c r="W71" i="9"/>
  <c r="AK19" i="9" s="1"/>
  <c r="W75" i="9"/>
  <c r="AK20" i="9" s="1"/>
  <c r="CA91" i="9"/>
  <c r="BZ57" i="9"/>
  <c r="BZ56" i="9"/>
  <c r="BZ88" i="9"/>
  <c r="BY48" i="9"/>
  <c r="BY52" i="9"/>
  <c r="BY56" i="9"/>
  <c r="BV52" i="9"/>
  <c r="BV84" i="9"/>
  <c r="BV92" i="9"/>
  <c r="BK63" i="9"/>
  <c r="BK67" i="9"/>
  <c r="BK71" i="9"/>
  <c r="BK75" i="9"/>
  <c r="BF80" i="9"/>
  <c r="BF92" i="9"/>
  <c r="AU80" i="9"/>
  <c r="AU84" i="9"/>
  <c r="AU48" i="9"/>
  <c r="AU52" i="9"/>
  <c r="AU56" i="9"/>
  <c r="AU60" i="9"/>
  <c r="AU79" i="9"/>
  <c r="AT48" i="9"/>
  <c r="AT88" i="9"/>
  <c r="AS48" i="9"/>
  <c r="AS52" i="9"/>
  <c r="AS56" i="9"/>
  <c r="AP60" i="9"/>
  <c r="AP88" i="9"/>
  <c r="AM79" i="9"/>
  <c r="AD88" i="9"/>
  <c r="Z84" i="9"/>
  <c r="AL22" i="9" s="1"/>
  <c r="W83" i="9"/>
  <c r="AK22" i="9" s="1"/>
  <c r="P98" i="9"/>
  <c r="P97" i="9"/>
  <c r="P96" i="9"/>
  <c r="P93" i="9"/>
  <c r="P89" i="9"/>
  <c r="P84" i="9"/>
  <c r="P80" i="9"/>
  <c r="P31" i="9"/>
  <c r="P94" i="9"/>
  <c r="P90" i="9"/>
  <c r="P87" i="9"/>
  <c r="P83" i="9"/>
  <c r="P79" i="9"/>
  <c r="P95" i="9"/>
  <c r="P91" i="9"/>
  <c r="P86" i="9"/>
  <c r="P82" i="9"/>
  <c r="P78" i="9"/>
  <c r="P92" i="9"/>
  <c r="P73" i="9"/>
  <c r="P69" i="9"/>
  <c r="P65" i="9"/>
  <c r="P61" i="9"/>
  <c r="P85" i="9"/>
  <c r="P74" i="9"/>
  <c r="P70" i="9"/>
  <c r="P68" i="9"/>
  <c r="P64" i="9"/>
  <c r="P60" i="9"/>
  <c r="P58" i="9"/>
  <c r="P57" i="9"/>
  <c r="P56" i="9"/>
  <c r="P55" i="9"/>
  <c r="P54" i="9"/>
  <c r="P53" i="9"/>
  <c r="P52" i="9"/>
  <c r="P51" i="9"/>
  <c r="P50" i="9"/>
  <c r="P49" i="9"/>
  <c r="P48" i="9"/>
  <c r="P47" i="9"/>
  <c r="P46" i="9"/>
  <c r="P45" i="9"/>
  <c r="P44" i="9"/>
  <c r="P43" i="9"/>
  <c r="P42" i="9"/>
  <c r="P41" i="9"/>
  <c r="P81" i="9"/>
  <c r="P75" i="9"/>
  <c r="P71" i="9"/>
  <c r="P67" i="9"/>
  <c r="P63" i="9"/>
  <c r="P59" i="9"/>
  <c r="P88" i="9"/>
  <c r="P62" i="9"/>
  <c r="P40" i="9"/>
  <c r="P36" i="9"/>
  <c r="P32" i="9"/>
  <c r="P72" i="9"/>
  <c r="P39" i="9"/>
  <c r="P35" i="9"/>
  <c r="P77" i="9"/>
  <c r="P76" i="9"/>
  <c r="P66" i="9"/>
  <c r="P37" i="9"/>
  <c r="P33" i="9"/>
  <c r="P34" i="9"/>
  <c r="P38" i="9"/>
  <c r="BZ79" i="9"/>
  <c r="AT67" i="9"/>
  <c r="AP41" i="9"/>
  <c r="AP63" i="9"/>
  <c r="AP17" i="9" s="1"/>
  <c r="AP77" i="9"/>
  <c r="AP73" i="9"/>
  <c r="AP79" i="9"/>
  <c r="AE84" i="9"/>
  <c r="AE48" i="9"/>
  <c r="AE52" i="9"/>
  <c r="AE56" i="9"/>
  <c r="AD41" i="9"/>
  <c r="M11" i="9" s="1"/>
  <c r="AD57" i="9"/>
  <c r="AD61" i="9"/>
  <c r="AD63" i="9"/>
  <c r="AD73" i="9"/>
  <c r="AD77" i="9"/>
  <c r="Z77" i="9"/>
  <c r="Z79" i="9"/>
  <c r="AL21" i="9" s="1"/>
  <c r="W48" i="9"/>
  <c r="W52" i="9"/>
  <c r="K14" i="9" s="1"/>
  <c r="W56" i="9"/>
  <c r="AK15" i="9" s="1"/>
  <c r="W80" i="9"/>
  <c r="BV71" i="9"/>
  <c r="BF83" i="9"/>
  <c r="CA88" i="9"/>
  <c r="BV61" i="9"/>
  <c r="BS92" i="9"/>
  <c r="BK92" i="9"/>
  <c r="BF79" i="9"/>
  <c r="BF91" i="9"/>
  <c r="BC92" i="9"/>
  <c r="AT61" i="9"/>
  <c r="AT77" i="9"/>
  <c r="AM92" i="9"/>
  <c r="AE92" i="9"/>
  <c r="AD91" i="9"/>
  <c r="Z75" i="9"/>
  <c r="Z91" i="9"/>
  <c r="W88" i="9"/>
  <c r="BZ83" i="9"/>
  <c r="BY92" i="9"/>
  <c r="BV45" i="9"/>
  <c r="BU84" i="9"/>
  <c r="BQ60" i="9"/>
  <c r="BQ80" i="9"/>
  <c r="BM88" i="9"/>
  <c r="AV23" i="9" s="1"/>
  <c r="BF41" i="9"/>
  <c r="AT11" i="9" s="1"/>
  <c r="BF48" i="9"/>
  <c r="BF60" i="9"/>
  <c r="BF71" i="9"/>
  <c r="BF75" i="9"/>
  <c r="BC79" i="9"/>
  <c r="BC84" i="9"/>
  <c r="BC87" i="9"/>
  <c r="BC91" i="9"/>
  <c r="AS24" i="9" s="1"/>
  <c r="AU87" i="9"/>
  <c r="AU91" i="9"/>
  <c r="AT60" i="9"/>
  <c r="AS60" i="9"/>
  <c r="AS80" i="9"/>
  <c r="AS84" i="9"/>
  <c r="AS88" i="9"/>
  <c r="AS92" i="9"/>
  <c r="AP45" i="9"/>
  <c r="P12" i="9" s="1"/>
  <c r="AP80" i="9"/>
  <c r="AP61" i="9"/>
  <c r="AP71" i="9"/>
  <c r="AP75" i="9"/>
  <c r="AP20" i="9" s="1"/>
  <c r="AO80" i="9"/>
  <c r="AO84" i="9"/>
  <c r="AO88" i="9"/>
  <c r="AO92" i="9"/>
  <c r="AM60" i="9"/>
  <c r="AM84" i="9"/>
  <c r="AM87" i="9"/>
  <c r="AM91" i="9"/>
  <c r="AK60" i="9"/>
  <c r="AO16" i="9" s="1"/>
  <c r="AK80" i="9"/>
  <c r="AK84" i="9"/>
  <c r="AK88" i="9"/>
  <c r="AK92" i="9"/>
  <c r="AG80" i="9"/>
  <c r="AG84" i="9"/>
  <c r="N22" i="9" s="1"/>
  <c r="AG88" i="9"/>
  <c r="AN23" i="9" s="1"/>
  <c r="AG92" i="9"/>
  <c r="N24" i="9" s="1"/>
  <c r="AE80" i="9"/>
  <c r="AE87" i="9"/>
  <c r="AE91" i="9"/>
  <c r="AD79" i="9"/>
  <c r="AD52" i="9"/>
  <c r="AD83" i="9"/>
  <c r="AD60" i="9"/>
  <c r="AD71" i="9"/>
  <c r="AD75" i="9"/>
  <c r="Z41" i="9"/>
  <c r="Z52" i="9"/>
  <c r="L14" i="9" s="1"/>
  <c r="Z67" i="9"/>
  <c r="Z61" i="9"/>
  <c r="W79" i="9"/>
  <c r="W87" i="9"/>
  <c r="W91" i="9"/>
  <c r="BZ63" i="9"/>
  <c r="BV75" i="9"/>
  <c r="BV79" i="9"/>
  <c r="BJ79" i="9"/>
  <c r="BF63" i="9"/>
  <c r="AT17" i="9" s="1"/>
  <c r="CA80" i="9"/>
  <c r="CA92" i="9"/>
  <c r="BZ71" i="9"/>
  <c r="BZ75" i="9"/>
  <c r="BZ87" i="9"/>
  <c r="BZ91" i="9"/>
  <c r="BV87" i="9"/>
  <c r="BV91" i="9"/>
  <c r="BS88" i="9"/>
  <c r="BK84" i="9"/>
  <c r="BK88" i="9"/>
  <c r="BJ67" i="9"/>
  <c r="BJ83" i="9"/>
  <c r="BJ73" i="9"/>
  <c r="BJ77" i="9"/>
  <c r="BJ87" i="9"/>
  <c r="BJ91" i="9"/>
  <c r="BF87" i="9"/>
  <c r="BC88" i="9"/>
  <c r="AU88" i="9"/>
  <c r="AU92" i="9"/>
  <c r="AT63" i="9"/>
  <c r="AT73" i="9"/>
  <c r="AT87" i="9"/>
  <c r="AT91" i="9"/>
  <c r="AP87" i="9"/>
  <c r="AP91" i="9"/>
  <c r="AM88" i="9"/>
  <c r="AE88" i="9"/>
  <c r="AD87" i="9"/>
  <c r="Z45" i="9"/>
  <c r="Z71" i="9"/>
  <c r="Z87" i="9"/>
  <c r="W92" i="9"/>
  <c r="CA84" i="9"/>
  <c r="BZ48" i="9"/>
  <c r="BZ60" i="9"/>
  <c r="BZ80" i="9"/>
  <c r="BY80" i="9"/>
  <c r="BY84" i="9"/>
  <c r="BY88" i="9"/>
  <c r="BV48" i="9"/>
  <c r="BV67" i="9"/>
  <c r="X18" i="9" s="1"/>
  <c r="BV77" i="9"/>
  <c r="BV73" i="9"/>
  <c r="BU80" i="9"/>
  <c r="BU88" i="9"/>
  <c r="BU92" i="9"/>
  <c r="BQ84" i="9"/>
  <c r="BQ88" i="9"/>
  <c r="BQ92" i="9"/>
  <c r="BM80" i="9"/>
  <c r="V21" i="9" s="1"/>
  <c r="BM84" i="9"/>
  <c r="V22" i="9" s="1"/>
  <c r="BM92" i="9"/>
  <c r="V24" i="9" s="1"/>
  <c r="BK80" i="9"/>
  <c r="BJ45" i="9"/>
  <c r="AU12" i="9" s="1"/>
  <c r="BJ63" i="9"/>
  <c r="CA60" i="9"/>
  <c r="BZ45" i="9"/>
  <c r="BZ61" i="9"/>
  <c r="BZ67" i="9"/>
  <c r="BZ73" i="9"/>
  <c r="BZ89" i="9"/>
  <c r="BZ93" i="9"/>
  <c r="BY60" i="9"/>
  <c r="BV57" i="9"/>
  <c r="BV63" i="9"/>
  <c r="BV80" i="9"/>
  <c r="BV83" i="9"/>
  <c r="BV89" i="9"/>
  <c r="BV93" i="9"/>
  <c r="BS60" i="9"/>
  <c r="BS79" i="9"/>
  <c r="BS84" i="9"/>
  <c r="BQ48" i="9"/>
  <c r="BQ52" i="9"/>
  <c r="BQ56" i="9"/>
  <c r="BM48" i="9"/>
  <c r="V13" i="9" s="1"/>
  <c r="BM52" i="9"/>
  <c r="BM56" i="9"/>
  <c r="AV15" i="9" s="1"/>
  <c r="BK83" i="9"/>
  <c r="BJ48" i="9"/>
  <c r="BJ41" i="9"/>
  <c r="BJ57" i="9"/>
  <c r="BJ52" i="9"/>
  <c r="BJ61" i="9"/>
  <c r="BJ60" i="9"/>
  <c r="BJ84" i="9"/>
  <c r="BJ71" i="9"/>
  <c r="BJ75" i="9"/>
  <c r="BJ89" i="9"/>
  <c r="BJ93" i="9"/>
  <c r="BF57" i="9"/>
  <c r="BF67" i="9"/>
  <c r="BF61" i="9"/>
  <c r="BF89" i="9"/>
  <c r="BF93" i="9"/>
  <c r="BC48" i="9"/>
  <c r="S13" i="9" s="1"/>
  <c r="BC52" i="9"/>
  <c r="BC56" i="9"/>
  <c r="AS15" i="9" s="1"/>
  <c r="BC60" i="9"/>
  <c r="AS16" i="9" s="1"/>
  <c r="BC80" i="9"/>
  <c r="AU83" i="9"/>
  <c r="AT45" i="9"/>
  <c r="AQ12" i="9" s="1"/>
  <c r="AT52" i="9"/>
  <c r="AT56" i="9"/>
  <c r="AT79" i="9"/>
  <c r="AT83" i="9"/>
  <c r="AT84" i="9"/>
  <c r="AT71" i="9"/>
  <c r="AT75" i="9"/>
  <c r="AT89" i="9"/>
  <c r="AT93" i="9"/>
  <c r="AP56" i="9"/>
  <c r="AP57" i="9"/>
  <c r="AP67" i="9"/>
  <c r="AP84" i="9"/>
  <c r="AP83" i="9"/>
  <c r="AP89" i="9"/>
  <c r="AP93" i="9"/>
  <c r="AM48" i="9"/>
  <c r="AM52" i="9"/>
  <c r="AM56" i="9"/>
  <c r="AM63" i="9"/>
  <c r="O17" i="9" s="1"/>
  <c r="AM67" i="9"/>
  <c r="AM71" i="9"/>
  <c r="AO19" i="9" s="1"/>
  <c r="AM75" i="9"/>
  <c r="AM80" i="9"/>
  <c r="AK48" i="9"/>
  <c r="AK52" i="9"/>
  <c r="AK56" i="9"/>
  <c r="AG48" i="9"/>
  <c r="AG52" i="9"/>
  <c r="N14" i="9" s="1"/>
  <c r="AE60" i="9"/>
  <c r="AD45" i="9"/>
  <c r="AD48" i="9"/>
  <c r="AD67" i="9"/>
  <c r="AD84" i="9"/>
  <c r="AD89" i="9"/>
  <c r="AD93" i="9"/>
  <c r="Z57" i="9"/>
  <c r="Z48" i="9"/>
  <c r="Z63" i="9"/>
  <c r="Z73" i="9"/>
  <c r="Z89" i="9"/>
  <c r="W60" i="9"/>
  <c r="K16" i="9" s="1"/>
  <c r="P28" i="9"/>
  <c r="AD11" i="4"/>
  <c r="AD13" i="4"/>
  <c r="AC17" i="4"/>
  <c r="AD17" i="4"/>
  <c r="AC13" i="4"/>
  <c r="AF13" i="4"/>
  <c r="AN24" i="4" s="1"/>
  <c r="J24" i="4"/>
  <c r="K24" i="4" s="1"/>
  <c r="J23" i="4"/>
  <c r="K23" i="4" s="1"/>
  <c r="J22" i="4"/>
  <c r="K22" i="4" s="1"/>
  <c r="J21" i="4"/>
  <c r="K21" i="4" s="1"/>
  <c r="J20" i="4"/>
  <c r="K20" i="4" s="1"/>
  <c r="J19" i="4"/>
  <c r="K19" i="4" s="1"/>
  <c r="J18" i="4"/>
  <c r="K18" i="4" s="1"/>
  <c r="J17" i="4"/>
  <c r="K17" i="4" s="1"/>
  <c r="J16" i="4"/>
  <c r="K16" i="4" s="1"/>
  <c r="J15" i="4"/>
  <c r="K15" i="4" s="1"/>
  <c r="J14" i="4"/>
  <c r="K14" i="4" s="1"/>
  <c r="J13" i="4"/>
  <c r="K13" i="4" s="1"/>
  <c r="J12" i="4"/>
  <c r="K12" i="4" s="1"/>
  <c r="J11" i="4"/>
  <c r="K11" i="4" s="1"/>
  <c r="J10" i="4"/>
  <c r="K10" i="4" s="1"/>
  <c r="J9" i="4"/>
  <c r="K9" i="4" s="1"/>
  <c r="L10" i="4"/>
  <c r="M10" i="4" s="1"/>
  <c r="L11" i="4"/>
  <c r="M11" i="4" s="1"/>
  <c r="L12" i="4"/>
  <c r="M12" i="4" s="1"/>
  <c r="L13" i="4"/>
  <c r="M13" i="4" s="1"/>
  <c r="L14" i="4"/>
  <c r="M14" i="4" s="1"/>
  <c r="L15" i="4"/>
  <c r="M15" i="4" s="1"/>
  <c r="L16" i="4"/>
  <c r="M16" i="4" s="1"/>
  <c r="L17" i="4"/>
  <c r="M17" i="4" s="1"/>
  <c r="L18" i="4"/>
  <c r="M18" i="4" s="1"/>
  <c r="L19" i="4"/>
  <c r="M19" i="4" s="1"/>
  <c r="L20" i="4"/>
  <c r="M20" i="4" s="1"/>
  <c r="L21" i="4"/>
  <c r="M21" i="4" s="1"/>
  <c r="L22" i="4"/>
  <c r="M22" i="4" s="1"/>
  <c r="L23" i="4"/>
  <c r="M23" i="4" s="1"/>
  <c r="L24" i="4"/>
  <c r="M24" i="4" s="1"/>
  <c r="L9" i="4"/>
  <c r="M9" i="4" s="1"/>
  <c r="H10" i="4"/>
  <c r="H11" i="4"/>
  <c r="H12" i="4"/>
  <c r="H13" i="4"/>
  <c r="H14" i="4"/>
  <c r="H15" i="4"/>
  <c r="H16" i="4"/>
  <c r="H17" i="4"/>
  <c r="H18" i="4"/>
  <c r="H19" i="4"/>
  <c r="H20" i="4"/>
  <c r="H21" i="4"/>
  <c r="H22" i="4"/>
  <c r="H23" i="4"/>
  <c r="H24" i="4"/>
  <c r="H9" i="4"/>
  <c r="I10" i="4"/>
  <c r="I11" i="4"/>
  <c r="I12" i="4"/>
  <c r="I13" i="4"/>
  <c r="I14" i="4"/>
  <c r="I15" i="4"/>
  <c r="I16" i="4"/>
  <c r="I17" i="4"/>
  <c r="I18" i="4"/>
  <c r="I19" i="4"/>
  <c r="I20" i="4"/>
  <c r="I21" i="4"/>
  <c r="I22" i="4"/>
  <c r="I23" i="4"/>
  <c r="I24" i="4"/>
  <c r="I9" i="4"/>
  <c r="AP24" i="4" l="1"/>
  <c r="AQ24" i="4"/>
  <c r="O14" i="9"/>
  <c r="AO24" i="4"/>
  <c r="M13" i="9"/>
  <c r="Q23" i="9"/>
  <c r="T19" i="9"/>
  <c r="AX11" i="9"/>
  <c r="BW11" i="9" s="1"/>
  <c r="BS14" i="9"/>
  <c r="AS19" i="9"/>
  <c r="BR19" i="9" s="1"/>
  <c r="Y14" i="9"/>
  <c r="AU15" i="9"/>
  <c r="AY17" i="9"/>
  <c r="AM15" i="9"/>
  <c r="AV16" i="9"/>
  <c r="BU16" i="9" s="1"/>
  <c r="W13" i="9"/>
  <c r="AT21" i="9"/>
  <c r="X14" i="9"/>
  <c r="BX11" i="9"/>
  <c r="BJ12" i="9"/>
  <c r="BL9" i="9"/>
  <c r="BN9" i="9"/>
  <c r="BP10" i="9"/>
  <c r="BQ15" i="9"/>
  <c r="BQ13" i="9"/>
  <c r="BQ20" i="9"/>
  <c r="BQ11" i="9"/>
  <c r="BS9" i="9"/>
  <c r="BJ11" i="9"/>
  <c r="BM12" i="9"/>
  <c r="BN12" i="9"/>
  <c r="BP9" i="9"/>
  <c r="BQ19" i="9"/>
  <c r="BQ10" i="9"/>
  <c r="BV9" i="9"/>
  <c r="BK10" i="9"/>
  <c r="BM18" i="9"/>
  <c r="BN10" i="9"/>
  <c r="BJ10" i="9"/>
  <c r="K19" i="9"/>
  <c r="BJ19" i="9" s="1"/>
  <c r="AN16" i="9"/>
  <c r="BM16" i="9" s="1"/>
  <c r="Q21" i="9"/>
  <c r="BM10" i="9"/>
  <c r="BQ24" i="9"/>
  <c r="BR12" i="9"/>
  <c r="BT9" i="9"/>
  <c r="BS10" i="9"/>
  <c r="BU11" i="9"/>
  <c r="BW10" i="9"/>
  <c r="BU18" i="9"/>
  <c r="BV12" i="9"/>
  <c r="BO10" i="9"/>
  <c r="BU10" i="9"/>
  <c r="BO9" i="9"/>
  <c r="BQ17" i="9"/>
  <c r="BM19" i="9"/>
  <c r="BU17" i="9"/>
  <c r="BV11" i="9"/>
  <c r="BX9" i="9"/>
  <c r="BW9" i="9"/>
  <c r="BN11" i="9"/>
  <c r="BQ18" i="9"/>
  <c r="BR10" i="9"/>
  <c r="BU12" i="9"/>
  <c r="BU9" i="9"/>
  <c r="BV10" i="9"/>
  <c r="BT10" i="9"/>
  <c r="BK9" i="9"/>
  <c r="BM17" i="9"/>
  <c r="BQ22" i="9"/>
  <c r="BQ14" i="9"/>
  <c r="BQ12" i="9"/>
  <c r="BQ16" i="9"/>
  <c r="BU20" i="9"/>
  <c r="BM15" i="9"/>
  <c r="BM20" i="9"/>
  <c r="BM11" i="9"/>
  <c r="BQ21" i="9"/>
  <c r="BQ9" i="9"/>
  <c r="BR11" i="9"/>
  <c r="BU19" i="9"/>
  <c r="BX10" i="9"/>
  <c r="BL10" i="9"/>
  <c r="BM9" i="9"/>
  <c r="BQ23" i="9"/>
  <c r="BR9" i="9"/>
  <c r="BJ9" i="9"/>
  <c r="Q11" i="9"/>
  <c r="BP11" i="9" s="1"/>
  <c r="AL24" i="9"/>
  <c r="P24" i="9"/>
  <c r="AQ22" i="9"/>
  <c r="X24" i="9"/>
  <c r="U23" i="9"/>
  <c r="AU18" i="9"/>
  <c r="W15" i="9"/>
  <c r="AK21" i="9"/>
  <c r="AS17" i="9"/>
  <c r="BR17" i="9" s="1"/>
  <c r="AP22" i="9"/>
  <c r="Q19" i="9"/>
  <c r="W22" i="9"/>
  <c r="Y19" i="9"/>
  <c r="Q17" i="9"/>
  <c r="AP14" i="9"/>
  <c r="AL19" i="9"/>
  <c r="O16" i="9"/>
  <c r="BN16" i="9" s="1"/>
  <c r="AS23" i="9"/>
  <c r="AQ14" i="9"/>
  <c r="U17" i="9"/>
  <c r="AY15" i="9"/>
  <c r="AU20" i="9"/>
  <c r="U13" i="9"/>
  <c r="P23" i="9"/>
  <c r="AQ18" i="9"/>
  <c r="S18" i="9"/>
  <c r="BR18" i="9" s="1"/>
  <c r="Q20" i="9"/>
  <c r="AP16" i="9"/>
  <c r="AY13" i="9"/>
  <c r="P16" i="9"/>
  <c r="AL16" i="9"/>
  <c r="AW22" i="9"/>
  <c r="P17" i="9"/>
  <c r="BO17" i="9" s="1"/>
  <c r="U22" i="9"/>
  <c r="AW21" i="9"/>
  <c r="Q24" i="9"/>
  <c r="AX20" i="9"/>
  <c r="AM22" i="9"/>
  <c r="AO23" i="9"/>
  <c r="AP19" i="9"/>
  <c r="AQ16" i="9"/>
  <c r="K23" i="9"/>
  <c r="AX19" i="9"/>
  <c r="Q13" i="9"/>
  <c r="U20" i="9"/>
  <c r="Y15" i="9"/>
  <c r="M19" i="9"/>
  <c r="AW23" i="9"/>
  <c r="S15" i="9"/>
  <c r="BR15" i="9" s="1"/>
  <c r="S24" i="9"/>
  <c r="BR24" i="9" s="1"/>
  <c r="O19" i="9"/>
  <c r="BN19" i="9" s="1"/>
  <c r="AP15" i="9"/>
  <c r="S22" i="9"/>
  <c r="AX15" i="9"/>
  <c r="Y23" i="9"/>
  <c r="N13" i="9"/>
  <c r="S20" i="9"/>
  <c r="BR20" i="9" s="1"/>
  <c r="T15" i="9"/>
  <c r="T12" i="9"/>
  <c r="BS12" i="9" s="1"/>
  <c r="X21" i="9"/>
  <c r="AM16" i="9"/>
  <c r="W16" i="9"/>
  <c r="Y22" i="9"/>
  <c r="AM24" i="9"/>
  <c r="U24" i="9"/>
  <c r="M22" i="9"/>
  <c r="AO21" i="9"/>
  <c r="L13" i="9"/>
  <c r="AT19" i="9"/>
  <c r="W20" i="9"/>
  <c r="BV20" i="9" s="1"/>
  <c r="Q18" i="9"/>
  <c r="K17" i="9"/>
  <c r="T13" i="9"/>
  <c r="AP24" i="9"/>
  <c r="BO24" i="9" s="1"/>
  <c r="X23" i="9"/>
  <c r="AY19" i="9"/>
  <c r="U21" i="9"/>
  <c r="K24" i="9"/>
  <c r="AM19" i="9"/>
  <c r="AT16" i="9"/>
  <c r="L20" i="9"/>
  <c r="T21" i="9"/>
  <c r="P20" i="9"/>
  <c r="BO20" i="9" s="1"/>
  <c r="AY21" i="9"/>
  <c r="Q15" i="9"/>
  <c r="M21" i="9"/>
  <c r="M17" i="9"/>
  <c r="K18" i="9"/>
  <c r="V15" i="9"/>
  <c r="BU15" i="9" s="1"/>
  <c r="W21" i="9"/>
  <c r="X19" i="9"/>
  <c r="O22" i="9"/>
  <c r="AP13" i="9"/>
  <c r="W24" i="9"/>
  <c r="L22" i="9"/>
  <c r="BK22" i="9" s="1"/>
  <c r="W18" i="9"/>
  <c r="BV18" i="9" s="1"/>
  <c r="Y13" i="9"/>
  <c r="L16" i="9"/>
  <c r="P14" i="9"/>
  <c r="AJ11" i="9"/>
  <c r="J11" i="9"/>
  <c r="AJ17" i="9"/>
  <c r="J17" i="9"/>
  <c r="AJ22" i="9"/>
  <c r="J22" i="9"/>
  <c r="AJ9" i="9"/>
  <c r="J9" i="9"/>
  <c r="AJ10" i="9"/>
  <c r="J10" i="9"/>
  <c r="AJ16" i="9"/>
  <c r="J16" i="9"/>
  <c r="AJ20" i="9"/>
  <c r="J20" i="9"/>
  <c r="AJ12" i="9"/>
  <c r="J12" i="9"/>
  <c r="AJ13" i="9"/>
  <c r="J13" i="9"/>
  <c r="AJ14" i="9"/>
  <c r="J14" i="9"/>
  <c r="AJ15" i="9"/>
  <c r="J15" i="9"/>
  <c r="AJ21" i="9"/>
  <c r="J21" i="9"/>
  <c r="AL17" i="9"/>
  <c r="L12" i="9"/>
  <c r="M24" i="9"/>
  <c r="AM11" i="9"/>
  <c r="BL11" i="9" s="1"/>
  <c r="O21" i="9"/>
  <c r="P18" i="9"/>
  <c r="S23" i="9"/>
  <c r="AT24" i="9"/>
  <c r="T11" i="9"/>
  <c r="BS11" i="9" s="1"/>
  <c r="W23" i="9"/>
  <c r="X17" i="9"/>
  <c r="Y24" i="9"/>
  <c r="Y17" i="9"/>
  <c r="K15" i="9"/>
  <c r="BJ15" i="9" s="1"/>
  <c r="K13" i="9"/>
  <c r="K20" i="9"/>
  <c r="BJ20" i="9" s="1"/>
  <c r="O18" i="9"/>
  <c r="Q16" i="9"/>
  <c r="S21" i="9"/>
  <c r="T22" i="9"/>
  <c r="AU14" i="9"/>
  <c r="U12" i="9"/>
  <c r="BT12" i="9" s="1"/>
  <c r="Y18" i="9"/>
  <c r="K21" i="9"/>
  <c r="M14" i="9"/>
  <c r="AM12" i="9"/>
  <c r="O23" i="9"/>
  <c r="O15" i="9"/>
  <c r="O13" i="9"/>
  <c r="O20" i="9"/>
  <c r="P19" i="9"/>
  <c r="Q22" i="9"/>
  <c r="Q14" i="9"/>
  <c r="Q12" i="9"/>
  <c r="BP12" i="9" s="1"/>
  <c r="T16" i="9"/>
  <c r="U18" i="9"/>
  <c r="Y16" i="9"/>
  <c r="K22" i="9"/>
  <c r="BJ22" i="9" s="1"/>
  <c r="AL20" i="9"/>
  <c r="M20" i="9"/>
  <c r="N23" i="9"/>
  <c r="BM23" i="9" s="1"/>
  <c r="P22" i="9"/>
  <c r="P15" i="9"/>
  <c r="P13" i="9"/>
  <c r="P11" i="9"/>
  <c r="S16" i="9"/>
  <c r="BR16" i="9" s="1"/>
  <c r="AT23" i="9"/>
  <c r="U19" i="9"/>
  <c r="V23" i="9"/>
  <c r="BU23" i="9" s="1"/>
  <c r="X20" i="9"/>
  <c r="X15" i="9"/>
  <c r="X13" i="9"/>
  <c r="X22" i="9"/>
  <c r="Y20" i="9"/>
  <c r="AK18" i="9"/>
  <c r="AL15" i="9"/>
  <c r="AL13" i="9"/>
  <c r="AL11" i="9"/>
  <c r="M16" i="9"/>
  <c r="AN24" i="9"/>
  <c r="BM24" i="9" s="1"/>
  <c r="AP23" i="9"/>
  <c r="BO23" i="9" s="1"/>
  <c r="AP21" i="9"/>
  <c r="AQ17" i="9"/>
  <c r="BP17" i="9" s="1"/>
  <c r="AS14" i="9"/>
  <c r="AU22" i="9"/>
  <c r="AU16" i="9"/>
  <c r="AV24" i="9"/>
  <c r="BU24" i="9" s="1"/>
  <c r="AV14" i="9"/>
  <c r="AW17" i="9"/>
  <c r="BV17" i="9" s="1"/>
  <c r="AW14" i="9"/>
  <c r="AW19" i="9"/>
  <c r="BV19" i="9" s="1"/>
  <c r="AX24" i="9"/>
  <c r="AY22" i="9"/>
  <c r="AK16" i="9"/>
  <c r="BJ16" i="9" s="1"/>
  <c r="AK14" i="9"/>
  <c r="BJ14" i="9" s="1"/>
  <c r="AL23" i="9"/>
  <c r="AN22" i="9"/>
  <c r="BM22" i="9" s="1"/>
  <c r="AO24" i="9"/>
  <c r="AQ19" i="9"/>
  <c r="T17" i="9"/>
  <c r="BS17" i="9" s="1"/>
  <c r="U15" i="9"/>
  <c r="AU13" i="9"/>
  <c r="AV22" i="9"/>
  <c r="BU22" i="9" s="1"/>
  <c r="AX21" i="9"/>
  <c r="AK24" i="9"/>
  <c r="L18" i="9"/>
  <c r="L21" i="9"/>
  <c r="BK21" i="9" s="1"/>
  <c r="M15" i="9"/>
  <c r="AM13" i="9"/>
  <c r="AN21" i="9"/>
  <c r="AN14" i="9"/>
  <c r="BM14" i="9" s="1"/>
  <c r="AO22" i="9"/>
  <c r="AO17" i="9"/>
  <c r="BN17" i="9" s="1"/>
  <c r="AO14" i="9"/>
  <c r="AQ15" i="9"/>
  <c r="AQ13" i="9"/>
  <c r="T20" i="9"/>
  <c r="AU23" i="9"/>
  <c r="AU17" i="9"/>
  <c r="AV21" i="9"/>
  <c r="BU21" i="9" s="1"/>
  <c r="AW24" i="9"/>
  <c r="AX18" i="9"/>
  <c r="BW18" i="9" s="1"/>
  <c r="AY14" i="9"/>
  <c r="AY12" i="9"/>
  <c r="L24" i="9"/>
  <c r="M23" i="9"/>
  <c r="AM18" i="9"/>
  <c r="AP12" i="9"/>
  <c r="BO12" i="9" s="1"/>
  <c r="AQ24" i="9"/>
  <c r="AS22" i="9"/>
  <c r="BR22" i="9" s="1"/>
  <c r="T18" i="9"/>
  <c r="AU21" i="9"/>
  <c r="U11" i="9"/>
  <c r="AW16" i="9"/>
  <c r="AX23" i="9"/>
  <c r="AX16" i="9"/>
  <c r="AX14" i="9"/>
  <c r="AX12" i="9"/>
  <c r="AJ19" i="9"/>
  <c r="J19" i="9"/>
  <c r="AJ18" i="9"/>
  <c r="J18" i="9"/>
  <c r="AJ24" i="9"/>
  <c r="J24" i="9"/>
  <c r="AJ23" i="9"/>
  <c r="J23" i="9"/>
  <c r="L15" i="9"/>
  <c r="L11" i="9"/>
  <c r="P21" i="9"/>
  <c r="S14" i="9"/>
  <c r="U16" i="9"/>
  <c r="V14" i="9"/>
  <c r="W14" i="9"/>
  <c r="L23" i="9"/>
  <c r="O24" i="9"/>
  <c r="AL18" i="9"/>
  <c r="N21" i="9"/>
  <c r="AT20" i="9"/>
  <c r="Y12" i="9"/>
  <c r="AM23" i="9"/>
  <c r="M18" i="9"/>
  <c r="AT18" i="9"/>
  <c r="AU11" i="9"/>
  <c r="X16" i="9"/>
  <c r="X12" i="9"/>
  <c r="Y21" i="9"/>
  <c r="L17" i="9"/>
  <c r="AL14" i="9"/>
  <c r="BK14" i="9" s="1"/>
  <c r="AL12" i="9"/>
  <c r="AP18" i="9"/>
  <c r="AQ21" i="9"/>
  <c r="AS13" i="9"/>
  <c r="BR13" i="9" s="1"/>
  <c r="T24" i="9"/>
  <c r="AV13" i="9"/>
  <c r="BU13" i="9" s="1"/>
  <c r="AW15" i="9"/>
  <c r="AW13" i="9"/>
  <c r="AX17" i="9"/>
  <c r="AY24" i="9"/>
  <c r="AK13" i="9"/>
  <c r="L19" i="9"/>
  <c r="AO18" i="9"/>
  <c r="BN18" i="9" s="1"/>
  <c r="AQ23" i="9"/>
  <c r="AS21" i="9"/>
  <c r="AT22" i="9"/>
  <c r="BS22" i="9" s="1"/>
  <c r="AU24" i="9"/>
  <c r="U14" i="9"/>
  <c r="AY18" i="9"/>
  <c r="BX18" i="9" s="1"/>
  <c r="AM21" i="9"/>
  <c r="AM14" i="9"/>
  <c r="M12" i="9"/>
  <c r="AN13" i="9"/>
  <c r="AO15" i="9"/>
  <c r="BN15" i="9" s="1"/>
  <c r="AO13" i="9"/>
  <c r="AO20" i="9"/>
  <c r="BN20" i="9" s="1"/>
  <c r="AY16" i="9"/>
  <c r="AK23" i="9"/>
  <c r="AM20" i="9"/>
  <c r="AM17" i="9"/>
  <c r="AP11" i="9"/>
  <c r="AQ20" i="9"/>
  <c r="BP20" i="9" s="1"/>
  <c r="T23" i="9"/>
  <c r="AT15" i="9"/>
  <c r="AT13" i="9"/>
  <c r="AU19" i="9"/>
  <c r="AX13" i="9"/>
  <c r="AX22" i="9"/>
  <c r="AY23" i="9"/>
  <c r="AY20" i="9"/>
  <c r="B22" i="2"/>
  <c r="C22" i="2"/>
  <c r="I22" i="2"/>
  <c r="BO18" i="9" l="1"/>
  <c r="BT19" i="9"/>
  <c r="A22" i="2"/>
  <c r="BP24" i="9"/>
  <c r="BN14" i="9"/>
  <c r="BJ13" i="9"/>
  <c r="BK13" i="9"/>
  <c r="BJ17" i="9"/>
  <c r="BL19" i="9"/>
  <c r="BL14" i="9"/>
  <c r="BN13" i="9"/>
  <c r="BS19" i="9"/>
  <c r="BL13" i="9"/>
  <c r="BP23" i="9"/>
  <c r="BR21" i="9"/>
  <c r="BV13" i="9"/>
  <c r="BP21" i="9"/>
  <c r="BX14" i="9"/>
  <c r="BT23" i="9"/>
  <c r="BX17" i="9"/>
  <c r="BW14" i="9"/>
  <c r="BL15" i="9"/>
  <c r="BS21" i="9"/>
  <c r="BT15" i="9"/>
  <c r="BV22" i="9"/>
  <c r="BX23" i="9"/>
  <c r="BV15" i="9"/>
  <c r="BI24" i="9"/>
  <c r="BI19" i="9"/>
  <c r="BW23" i="9"/>
  <c r="BP19" i="9"/>
  <c r="BI21" i="9"/>
  <c r="BI14" i="9"/>
  <c r="BI12" i="9"/>
  <c r="BI16" i="9"/>
  <c r="BI9" i="9"/>
  <c r="BI17" i="9"/>
  <c r="BW13" i="9"/>
  <c r="BL20" i="9"/>
  <c r="BX22" i="9"/>
  <c r="BL17" i="9"/>
  <c r="BX24" i="9"/>
  <c r="BT13" i="9"/>
  <c r="BW22" i="9"/>
  <c r="BS20" i="9"/>
  <c r="BO11" i="9"/>
  <c r="BX16" i="9"/>
  <c r="BM13" i="9"/>
  <c r="BT11" i="9"/>
  <c r="BL18" i="9"/>
  <c r="BT17" i="9"/>
  <c r="BJ18" i="9"/>
  <c r="BS23" i="9"/>
  <c r="BT18" i="9"/>
  <c r="BP13" i="9"/>
  <c r="BN22" i="9"/>
  <c r="BW21" i="9"/>
  <c r="BW24" i="9"/>
  <c r="BS15" i="9"/>
  <c r="BS18" i="9"/>
  <c r="BW12" i="9"/>
  <c r="BV16" i="9"/>
  <c r="BM21" i="9"/>
  <c r="BN24" i="9"/>
  <c r="BV14" i="9"/>
  <c r="BT16" i="9"/>
  <c r="BO21" i="9"/>
  <c r="BK11" i="9"/>
  <c r="BO13" i="9"/>
  <c r="BL16" i="9"/>
  <c r="BP18" i="9"/>
  <c r="BX15" i="9"/>
  <c r="BK24" i="9"/>
  <c r="BL12" i="9"/>
  <c r="BP15" i="9"/>
  <c r="BW15" i="9"/>
  <c r="BL22" i="9"/>
  <c r="BT20" i="9"/>
  <c r="BO22" i="9"/>
  <c r="BX20" i="9"/>
  <c r="BJ23" i="9"/>
  <c r="BL21" i="9"/>
  <c r="BL23" i="9"/>
  <c r="BK18" i="9"/>
  <c r="BW16" i="9"/>
  <c r="BT21" i="9"/>
  <c r="BX12" i="9"/>
  <c r="BK23" i="9"/>
  <c r="BU14" i="9"/>
  <c r="BR14" i="9"/>
  <c r="BK15" i="9"/>
  <c r="BS24" i="9"/>
  <c r="BN21" i="9"/>
  <c r="BW19" i="9"/>
  <c r="BN23" i="9"/>
  <c r="BV21" i="9"/>
  <c r="BK16" i="9"/>
  <c r="BP14" i="9"/>
  <c r="BO14" i="9"/>
  <c r="BP22" i="9"/>
  <c r="BP16" i="9"/>
  <c r="BW20" i="9"/>
  <c r="BX13" i="9"/>
  <c r="BS13" i="9"/>
  <c r="BK20" i="9"/>
  <c r="BR23" i="9"/>
  <c r="BT24" i="9"/>
  <c r="BW17" i="9"/>
  <c r="BK12" i="9"/>
  <c r="BI23" i="9"/>
  <c r="BI18" i="9"/>
  <c r="BV24" i="9"/>
  <c r="BJ24" i="9"/>
  <c r="BT22" i="9"/>
  <c r="BT14" i="9"/>
  <c r="BK17" i="9"/>
  <c r="BI15" i="9"/>
  <c r="BI13" i="9"/>
  <c r="BI20" i="9"/>
  <c r="BI10" i="9"/>
  <c r="BI22" i="9"/>
  <c r="BI11" i="9"/>
  <c r="BX21" i="9"/>
  <c r="BS16" i="9"/>
  <c r="BX19" i="9"/>
  <c r="BL24" i="9"/>
  <c r="BO15" i="9"/>
  <c r="BV23" i="9"/>
  <c r="BO19" i="9"/>
  <c r="BO16" i="9"/>
  <c r="BK19" i="9"/>
  <c r="BJ21" i="9"/>
  <c r="AD22" i="2" l="1"/>
  <c r="Z22" i="2"/>
  <c r="V22" i="2"/>
  <c r="R22" i="2"/>
  <c r="N22" i="2"/>
  <c r="AC22" i="2"/>
  <c r="Y22" i="2"/>
  <c r="U22" i="2"/>
  <c r="Q22" i="2"/>
  <c r="S22" i="2"/>
  <c r="AF22" i="2"/>
  <c r="AB22" i="2"/>
  <c r="X22" i="2"/>
  <c r="T22" i="2"/>
  <c r="P22" i="2"/>
  <c r="AE22" i="2"/>
  <c r="AA22" i="2"/>
  <c r="W22" i="2"/>
  <c r="O22" i="2"/>
  <c r="M22" i="2"/>
  <c r="M16" i="2" s="1"/>
  <c r="AE18" i="2" l="1"/>
  <c r="AE19" i="2"/>
  <c r="AE16" i="2"/>
  <c r="AE17" i="2"/>
  <c r="AB19" i="2"/>
  <c r="AB16" i="2"/>
  <c r="AB17" i="2"/>
  <c r="AB18" i="2"/>
  <c r="U16" i="2"/>
  <c r="U17" i="2"/>
  <c r="U18" i="2"/>
  <c r="U19" i="2"/>
  <c r="R17" i="2"/>
  <c r="R18" i="2"/>
  <c r="R19" i="2"/>
  <c r="R16" i="2"/>
  <c r="T19" i="2"/>
  <c r="T16" i="2"/>
  <c r="T17" i="2"/>
  <c r="T18" i="2"/>
  <c r="AC16" i="2"/>
  <c r="AC17" i="2"/>
  <c r="AC18" i="2"/>
  <c r="AC19" i="2"/>
  <c r="O18" i="2"/>
  <c r="O19" i="2"/>
  <c r="O16" i="2"/>
  <c r="O17" i="2"/>
  <c r="P19" i="2"/>
  <c r="P16" i="2"/>
  <c r="P17" i="2"/>
  <c r="P18" i="2"/>
  <c r="AF19" i="2"/>
  <c r="AF16" i="2"/>
  <c r="AF17" i="2"/>
  <c r="AF18" i="2"/>
  <c r="Y16" i="2"/>
  <c r="Y17" i="2"/>
  <c r="Y18" i="2"/>
  <c r="Y19" i="2"/>
  <c r="V17" i="2"/>
  <c r="V18" i="2"/>
  <c r="V19" i="2"/>
  <c r="V16" i="2"/>
  <c r="W18" i="2"/>
  <c r="W19" i="2"/>
  <c r="W16" i="2"/>
  <c r="W17" i="2"/>
  <c r="S18" i="2"/>
  <c r="S19" i="2"/>
  <c r="S16" i="2"/>
  <c r="S20" i="2" s="1"/>
  <c r="S17" i="2"/>
  <c r="Z17" i="2"/>
  <c r="Z18" i="2"/>
  <c r="Z19" i="2"/>
  <c r="Z16" i="2"/>
  <c r="AA18" i="2"/>
  <c r="AA19" i="2"/>
  <c r="AA16" i="2"/>
  <c r="AA17" i="2"/>
  <c r="X19" i="2"/>
  <c r="X16" i="2"/>
  <c r="X17" i="2"/>
  <c r="X18" i="2"/>
  <c r="Q16" i="2"/>
  <c r="Q17" i="2"/>
  <c r="Q18" i="2"/>
  <c r="Q19" i="2"/>
  <c r="N17" i="2"/>
  <c r="N18" i="2"/>
  <c r="N19" i="2"/>
  <c r="N16" i="2"/>
  <c r="AD17" i="2"/>
  <c r="AD18" i="2"/>
  <c r="AD19" i="2"/>
  <c r="AD16" i="2"/>
  <c r="M19" i="2"/>
  <c r="M17" i="2"/>
  <c r="L28" i="4"/>
  <c r="M18" i="2"/>
  <c r="S14" i="2" l="1"/>
  <c r="S15" i="2"/>
  <c r="S12" i="2"/>
  <c r="S13" i="2"/>
  <c r="R20" i="2"/>
  <c r="U20" i="2"/>
  <c r="AB20" i="2"/>
  <c r="AE20" i="2"/>
  <c r="AD20" i="2"/>
  <c r="W20" i="2"/>
  <c r="V20" i="2"/>
  <c r="Y20" i="2"/>
  <c r="AF20" i="2"/>
  <c r="AC20" i="2"/>
  <c r="T20" i="2"/>
  <c r="N20" i="2"/>
  <c r="Q20" i="2"/>
  <c r="X20" i="2"/>
  <c r="AA20" i="2"/>
  <c r="Z20" i="2"/>
  <c r="P20" i="2"/>
  <c r="O20" i="2"/>
  <c r="M20" i="2"/>
  <c r="M15" i="2" s="1"/>
  <c r="O14" i="2" l="1"/>
  <c r="O15" i="2"/>
  <c r="O12" i="2"/>
  <c r="O13" i="2"/>
  <c r="X15" i="2"/>
  <c r="X12" i="2"/>
  <c r="X13" i="2"/>
  <c r="X14" i="2"/>
  <c r="AC12" i="2"/>
  <c r="AC13" i="2"/>
  <c r="AC14" i="2"/>
  <c r="AC15" i="2"/>
  <c r="W14" i="2"/>
  <c r="W15" i="2"/>
  <c r="W12" i="2"/>
  <c r="W13" i="2"/>
  <c r="U12" i="2"/>
  <c r="U13" i="2"/>
  <c r="U14" i="2"/>
  <c r="U15" i="2"/>
  <c r="S3" i="3"/>
  <c r="S8" i="2" s="1"/>
  <c r="S8" i="3" s="1"/>
  <c r="S2" i="3"/>
  <c r="S1" i="2" s="1"/>
  <c r="S9" i="2" s="1"/>
  <c r="P15" i="2"/>
  <c r="P12" i="2"/>
  <c r="P13" i="2"/>
  <c r="P14" i="2"/>
  <c r="Q12" i="2"/>
  <c r="Q13" i="2"/>
  <c r="Q14" i="2"/>
  <c r="Q15" i="2"/>
  <c r="AF15" i="2"/>
  <c r="AF12" i="2"/>
  <c r="AF13" i="2"/>
  <c r="AF14" i="2"/>
  <c r="AD13" i="2"/>
  <c r="AD14" i="2"/>
  <c r="AD15" i="2"/>
  <c r="AD12" i="2"/>
  <c r="R13" i="2"/>
  <c r="R14" i="2"/>
  <c r="R15" i="2"/>
  <c r="R12" i="2"/>
  <c r="Z13" i="2"/>
  <c r="Z14" i="2"/>
  <c r="Z15" i="2"/>
  <c r="Z12" i="2"/>
  <c r="N13" i="2"/>
  <c r="N14" i="2"/>
  <c r="N15" i="2"/>
  <c r="N12" i="2"/>
  <c r="Y12" i="2"/>
  <c r="Y13" i="2"/>
  <c r="Y14" i="2"/>
  <c r="Y15" i="2"/>
  <c r="AE14" i="2"/>
  <c r="AE15" i="2"/>
  <c r="AE12" i="2"/>
  <c r="AE13" i="2"/>
  <c r="AA14" i="2"/>
  <c r="AA15" i="2"/>
  <c r="AA12" i="2"/>
  <c r="AA13" i="2"/>
  <c r="T15" i="2"/>
  <c r="T12" i="2"/>
  <c r="T13" i="2"/>
  <c r="T14" i="2"/>
  <c r="V13" i="2"/>
  <c r="V14" i="2"/>
  <c r="V15" i="2"/>
  <c r="V12" i="2"/>
  <c r="AB15" i="2"/>
  <c r="AB12" i="2"/>
  <c r="AB13" i="2"/>
  <c r="AB14" i="2"/>
  <c r="M13" i="2"/>
  <c r="M14" i="2"/>
  <c r="M12" i="2"/>
  <c r="AE2" i="3" l="1"/>
  <c r="AE1" i="2" s="1"/>
  <c r="AE9" i="2" s="1"/>
  <c r="AE3" i="3"/>
  <c r="AE8" i="2" s="1"/>
  <c r="AE8" i="3" s="1"/>
  <c r="AD3" i="3"/>
  <c r="AD8" i="2" s="1"/>
  <c r="AD8" i="3" s="1"/>
  <c r="AD2" i="3"/>
  <c r="AD1" i="2" s="1"/>
  <c r="AD9" i="2" s="1"/>
  <c r="S9" i="3"/>
  <c r="S28" i="3"/>
  <c r="S27" i="3"/>
  <c r="S26" i="3"/>
  <c r="X3" i="3"/>
  <c r="X8" i="2" s="1"/>
  <c r="X8" i="3" s="1"/>
  <c r="X2" i="3"/>
  <c r="X1" i="2" s="1"/>
  <c r="X9" i="2" s="1"/>
  <c r="O2" i="3"/>
  <c r="O1" i="2" s="1"/>
  <c r="O9" i="2" s="1"/>
  <c r="O3" i="3"/>
  <c r="O8" i="2" s="1"/>
  <c r="O8" i="3" s="1"/>
  <c r="Z3" i="3"/>
  <c r="Z8" i="2" s="1"/>
  <c r="Z8" i="3" s="1"/>
  <c r="Z2" i="3"/>
  <c r="Z1" i="2" s="1"/>
  <c r="Z9" i="2" s="1"/>
  <c r="AB3" i="3"/>
  <c r="AB8" i="2" s="1"/>
  <c r="AB8" i="3" s="1"/>
  <c r="AB2" i="3"/>
  <c r="AB1" i="2" s="1"/>
  <c r="AB9" i="2" s="1"/>
  <c r="T2" i="3"/>
  <c r="T1" i="2" s="1"/>
  <c r="T9" i="2" s="1"/>
  <c r="T3" i="3"/>
  <c r="T8" i="2" s="1"/>
  <c r="T8" i="3" s="1"/>
  <c r="AA2" i="3"/>
  <c r="AA1" i="2" s="1"/>
  <c r="AA9" i="2" s="1"/>
  <c r="AA3" i="3"/>
  <c r="AA8" i="2" s="1"/>
  <c r="AA8" i="3" s="1"/>
  <c r="N3" i="3"/>
  <c r="N8" i="2" s="1"/>
  <c r="N8" i="3" s="1"/>
  <c r="N2" i="3"/>
  <c r="N1" i="2" s="1"/>
  <c r="N9" i="2" s="1"/>
  <c r="R3" i="3"/>
  <c r="R8" i="2" s="1"/>
  <c r="R8" i="3" s="1"/>
  <c r="R2" i="3"/>
  <c r="R1" i="2" s="1"/>
  <c r="R9" i="2" s="1"/>
  <c r="AF2" i="3"/>
  <c r="AF1" i="2" s="1"/>
  <c r="AF9" i="2" s="1"/>
  <c r="AF3" i="3"/>
  <c r="AF8" i="2" s="1"/>
  <c r="AF8" i="3" s="1"/>
  <c r="P2" i="3"/>
  <c r="P1" i="2" s="1"/>
  <c r="P9" i="2" s="1"/>
  <c r="P3" i="3"/>
  <c r="P8" i="2" s="1"/>
  <c r="P8" i="3" s="1"/>
  <c r="W3" i="3"/>
  <c r="W8" i="2" s="1"/>
  <c r="W8" i="3" s="1"/>
  <c r="W2" i="3"/>
  <c r="W1" i="2" s="1"/>
  <c r="W9" i="2" s="1"/>
  <c r="V3" i="3"/>
  <c r="V8" i="2" s="1"/>
  <c r="V8" i="3" s="1"/>
  <c r="V2" i="3"/>
  <c r="V1" i="2" s="1"/>
  <c r="V9" i="2" s="1"/>
  <c r="Y2" i="3"/>
  <c r="Y1" i="2" s="1"/>
  <c r="Y9" i="2" s="1"/>
  <c r="Y3" i="3"/>
  <c r="Y8" i="2" s="1"/>
  <c r="Y8" i="3" s="1"/>
  <c r="Q2" i="3"/>
  <c r="Q1" i="2" s="1"/>
  <c r="Q9" i="2" s="1"/>
  <c r="Q3" i="3"/>
  <c r="Q8" i="2" s="1"/>
  <c r="Q8" i="3" s="1"/>
  <c r="U2" i="3"/>
  <c r="U1" i="2" s="1"/>
  <c r="U9" i="2" s="1"/>
  <c r="U3" i="3"/>
  <c r="U8" i="2" s="1"/>
  <c r="U8" i="3" s="1"/>
  <c r="AC2" i="3"/>
  <c r="AC1" i="2" s="1"/>
  <c r="AC9" i="2" s="1"/>
  <c r="AC3" i="3"/>
  <c r="AC8" i="2" s="1"/>
  <c r="AC8" i="3" s="1"/>
  <c r="M3" i="3"/>
  <c r="M8" i="2" s="1"/>
  <c r="M8" i="3" s="1"/>
  <c r="M2" i="3"/>
  <c r="M1" i="2" s="1"/>
  <c r="M9" i="2" s="1"/>
  <c r="S4" i="2" l="1"/>
  <c r="S5" i="2"/>
  <c r="V9" i="3"/>
  <c r="V28" i="3"/>
  <c r="V27" i="3"/>
  <c r="V26" i="3"/>
  <c r="R9" i="3"/>
  <c r="AB9" i="3"/>
  <c r="AB28" i="3"/>
  <c r="AB27" i="3"/>
  <c r="AB26" i="3"/>
  <c r="AD9" i="3"/>
  <c r="AD28" i="3"/>
  <c r="AD27" i="3"/>
  <c r="AD26" i="3"/>
  <c r="AC9" i="3"/>
  <c r="AC28" i="3"/>
  <c r="AC27" i="3"/>
  <c r="AC26" i="3"/>
  <c r="Q9" i="3"/>
  <c r="Q27" i="3"/>
  <c r="Q28" i="3"/>
  <c r="Q26" i="3"/>
  <c r="P9" i="3"/>
  <c r="P28" i="3"/>
  <c r="P27" i="3"/>
  <c r="P26" i="3"/>
  <c r="AA9" i="3"/>
  <c r="AA28" i="3"/>
  <c r="AA27" i="3"/>
  <c r="AA26" i="3"/>
  <c r="O9" i="3"/>
  <c r="O28" i="3"/>
  <c r="O27" i="3"/>
  <c r="O26" i="3"/>
  <c r="M28" i="3"/>
  <c r="M27" i="3"/>
  <c r="W9" i="3"/>
  <c r="W28" i="3"/>
  <c r="W27" i="3"/>
  <c r="W26" i="3"/>
  <c r="N9" i="3"/>
  <c r="N27" i="3"/>
  <c r="N28" i="3"/>
  <c r="N26" i="3"/>
  <c r="Z9" i="3"/>
  <c r="Z28" i="3"/>
  <c r="Z27" i="3"/>
  <c r="Z26" i="3"/>
  <c r="X9" i="3"/>
  <c r="U9" i="3"/>
  <c r="U28" i="3"/>
  <c r="U27" i="3"/>
  <c r="U26" i="3"/>
  <c r="Y9" i="3"/>
  <c r="Y28" i="3"/>
  <c r="Y27" i="3"/>
  <c r="Y26" i="3"/>
  <c r="AF9" i="3"/>
  <c r="AF28" i="3"/>
  <c r="AF27" i="3"/>
  <c r="AF26" i="3"/>
  <c r="T9" i="3"/>
  <c r="S16" i="3" s="1"/>
  <c r="T28" i="3"/>
  <c r="T27" i="3"/>
  <c r="T26" i="3"/>
  <c r="S18" i="3"/>
  <c r="S10" i="3"/>
  <c r="S11" i="3"/>
  <c r="AE9" i="3"/>
  <c r="AE28" i="3"/>
  <c r="AE27" i="3"/>
  <c r="AE26" i="3"/>
  <c r="M9" i="3"/>
  <c r="M26" i="3"/>
  <c r="R27" i="3"/>
  <c r="X26" i="3"/>
  <c r="R26" i="3"/>
  <c r="X27" i="3"/>
  <c r="X28" i="3"/>
  <c r="R28" i="3"/>
  <c r="S17" i="3" l="1"/>
  <c r="S19" i="3"/>
  <c r="R4" i="2"/>
  <c r="R5" i="2" s="1"/>
  <c r="X4" i="2"/>
  <c r="X5" i="2" s="1"/>
  <c r="T4" i="2"/>
  <c r="T5" i="2"/>
  <c r="Y4" i="2"/>
  <c r="Y5" i="2" s="1"/>
  <c r="U4" i="2"/>
  <c r="U5" i="2" s="1"/>
  <c r="Z4" i="2"/>
  <c r="Z5" i="2" s="1"/>
  <c r="W4" i="2"/>
  <c r="W5" i="2" s="1"/>
  <c r="O4" i="2"/>
  <c r="O5" i="2" s="1"/>
  <c r="AA4" i="2"/>
  <c r="AA5" i="2"/>
  <c r="P4" i="2"/>
  <c r="P5" i="2" s="1"/>
  <c r="Q4" i="2"/>
  <c r="Q5" i="2" s="1"/>
  <c r="AC4" i="2"/>
  <c r="AC5" i="2" s="1"/>
  <c r="AD4" i="2"/>
  <c r="AD5" i="2" s="1"/>
  <c r="AB4" i="2"/>
  <c r="AB5" i="2" s="1"/>
  <c r="V4" i="2"/>
  <c r="V5" i="2" s="1"/>
  <c r="AF4" i="2"/>
  <c r="AF5" i="2" s="1"/>
  <c r="N4" i="2"/>
  <c r="N5" i="2" s="1"/>
  <c r="AE4" i="2"/>
  <c r="AE5" i="2" s="1"/>
  <c r="AE18" i="3"/>
  <c r="AE19" i="3"/>
  <c r="AE10" i="3"/>
  <c r="AE17" i="3"/>
  <c r="AE11" i="3"/>
  <c r="AE16" i="3"/>
  <c r="T19" i="3"/>
  <c r="T10" i="3"/>
  <c r="T17" i="3"/>
  <c r="T11" i="3"/>
  <c r="T18" i="3"/>
  <c r="T16" i="3"/>
  <c r="AF19" i="3"/>
  <c r="AF17" i="3"/>
  <c r="AF11" i="3"/>
  <c r="AF18" i="3"/>
  <c r="AF16" i="3"/>
  <c r="AF10" i="3"/>
  <c r="Y16" i="3"/>
  <c r="Y10" i="3"/>
  <c r="Y19" i="3"/>
  <c r="Y17" i="3"/>
  <c r="Y11" i="3"/>
  <c r="Y18" i="3"/>
  <c r="U16" i="3"/>
  <c r="U10" i="3"/>
  <c r="U19" i="3"/>
  <c r="U17" i="3"/>
  <c r="U11" i="3"/>
  <c r="U18" i="3"/>
  <c r="X19" i="3"/>
  <c r="X18" i="3"/>
  <c r="X16" i="3"/>
  <c r="X10" i="3"/>
  <c r="X17" i="3"/>
  <c r="X11" i="3"/>
  <c r="Z17" i="3"/>
  <c r="Z11" i="3"/>
  <c r="Z19" i="3"/>
  <c r="Z10" i="3"/>
  <c r="Z18" i="3"/>
  <c r="Z16" i="3"/>
  <c r="N17" i="3"/>
  <c r="N11" i="3"/>
  <c r="N16" i="3"/>
  <c r="N19" i="3"/>
  <c r="N10" i="3"/>
  <c r="N18" i="3"/>
  <c r="W18" i="3"/>
  <c r="W11" i="3"/>
  <c r="W16" i="3"/>
  <c r="W19" i="3"/>
  <c r="W10" i="3"/>
  <c r="W17" i="3"/>
  <c r="F23" i="2"/>
  <c r="F24" i="2"/>
  <c r="O18" i="3"/>
  <c r="O19" i="3"/>
  <c r="O10" i="3"/>
  <c r="O17" i="3"/>
  <c r="O11" i="3"/>
  <c r="O16" i="3"/>
  <c r="AA18" i="3"/>
  <c r="AA17" i="3"/>
  <c r="AA11" i="3"/>
  <c r="AA16" i="3"/>
  <c r="AA19" i="3"/>
  <c r="AA10" i="3"/>
  <c r="P19" i="3"/>
  <c r="P17" i="3"/>
  <c r="P11" i="3"/>
  <c r="P18" i="3"/>
  <c r="P16" i="3"/>
  <c r="P10" i="3"/>
  <c r="Q16" i="3"/>
  <c r="Q10" i="3"/>
  <c r="Q11" i="3"/>
  <c r="Q18" i="3"/>
  <c r="Q19" i="3"/>
  <c r="Q17" i="3"/>
  <c r="AC16" i="3"/>
  <c r="AC10" i="3"/>
  <c r="AC18" i="3"/>
  <c r="AC19" i="3"/>
  <c r="AC17" i="3"/>
  <c r="AC11" i="3"/>
  <c r="AD17" i="3"/>
  <c r="AD11" i="3"/>
  <c r="AD16" i="3"/>
  <c r="AD19" i="3"/>
  <c r="AD10" i="3"/>
  <c r="AD18" i="3"/>
  <c r="AB19" i="3"/>
  <c r="AB11" i="3"/>
  <c r="AB18" i="3"/>
  <c r="AB16" i="3"/>
  <c r="AB10" i="3"/>
  <c r="AB17" i="3"/>
  <c r="R17" i="3"/>
  <c r="R11" i="3"/>
  <c r="R18" i="3"/>
  <c r="R16" i="3"/>
  <c r="R19" i="3"/>
  <c r="R10" i="3"/>
  <c r="V17" i="3"/>
  <c r="V11" i="3"/>
  <c r="V18" i="3"/>
  <c r="V16" i="3"/>
  <c r="V19" i="3"/>
  <c r="V10" i="3"/>
  <c r="M19" i="3"/>
  <c r="M17" i="3"/>
  <c r="M18" i="3"/>
  <c r="M16" i="3"/>
  <c r="M10" i="3"/>
  <c r="M11" i="3"/>
  <c r="O1" i="16"/>
  <c r="E1" i="16" s="1"/>
  <c r="G24" i="2" l="1"/>
  <c r="D28" i="3" s="1"/>
  <c r="C28" i="3"/>
  <c r="G23" i="2"/>
  <c r="D27" i="3" s="1"/>
  <c r="C27" i="3"/>
  <c r="AI1" i="16"/>
  <c r="AL1" i="16"/>
  <c r="G5" i="3" l="1"/>
  <c r="H9" i="2" s="1"/>
  <c r="AF23" i="3" l="1"/>
  <c r="AB23" i="3"/>
  <c r="X23" i="3"/>
  <c r="T23" i="3"/>
  <c r="P23" i="3"/>
  <c r="AE22" i="3"/>
  <c r="AA22" i="3"/>
  <c r="W22" i="3"/>
  <c r="S22" i="3"/>
  <c r="O22" i="3"/>
  <c r="AD21" i="3"/>
  <c r="Z21" i="3"/>
  <c r="V21" i="3"/>
  <c r="R21" i="3"/>
  <c r="N21" i="3"/>
  <c r="AC20" i="3"/>
  <c r="Y20" i="3"/>
  <c r="U20" i="3"/>
  <c r="Q20" i="3"/>
  <c r="AF13" i="3"/>
  <c r="AB13" i="3"/>
  <c r="X13" i="3"/>
  <c r="T13" i="3"/>
  <c r="P13" i="3"/>
  <c r="AE12" i="3"/>
  <c r="AA12" i="3"/>
  <c r="W12" i="3"/>
  <c r="S12" i="3"/>
  <c r="O12" i="3"/>
  <c r="AD23" i="3"/>
  <c r="Y23" i="3"/>
  <c r="S23" i="3"/>
  <c r="N23" i="3"/>
  <c r="AB22" i="3"/>
  <c r="V22" i="3"/>
  <c r="Q22" i="3"/>
  <c r="AE21" i="3"/>
  <c r="Y21" i="3"/>
  <c r="T21" i="3"/>
  <c r="O21" i="3"/>
  <c r="AB20" i="3"/>
  <c r="W20" i="3"/>
  <c r="R20" i="3"/>
  <c r="AA13" i="3"/>
  <c r="V13" i="3"/>
  <c r="Q13" i="3"/>
  <c r="AD12" i="3"/>
  <c r="Y12" i="3"/>
  <c r="T12" i="3"/>
  <c r="N12" i="3"/>
  <c r="AC23" i="3"/>
  <c r="W23" i="3"/>
  <c r="R23" i="3"/>
  <c r="AF22" i="3"/>
  <c r="Z22" i="3"/>
  <c r="U22" i="3"/>
  <c r="P22" i="3"/>
  <c r="AC21" i="3"/>
  <c r="X21" i="3"/>
  <c r="X7" i="2" s="1"/>
  <c r="S21" i="3"/>
  <c r="S7" i="2" s="1"/>
  <c r="AF20" i="3"/>
  <c r="AA20" i="3"/>
  <c r="V20" i="3"/>
  <c r="V6" i="2" s="1"/>
  <c r="P20" i="3"/>
  <c r="AE13" i="3"/>
  <c r="Z13" i="3"/>
  <c r="U13" i="3"/>
  <c r="O13" i="3"/>
  <c r="AC12" i="3"/>
  <c r="X12" i="3"/>
  <c r="R12" i="3"/>
  <c r="AA23" i="3"/>
  <c r="V23" i="3"/>
  <c r="Q23" i="3"/>
  <c r="AD22" i="3"/>
  <c r="Y22" i="3"/>
  <c r="T22" i="3"/>
  <c r="N22" i="3"/>
  <c r="AB21" i="3"/>
  <c r="W21" i="3"/>
  <c r="W7" i="2" s="1"/>
  <c r="Q21" i="3"/>
  <c r="AE20" i="3"/>
  <c r="AE6" i="2" s="1"/>
  <c r="Z20" i="3"/>
  <c r="Z6" i="2" s="1"/>
  <c r="T20" i="3"/>
  <c r="T6" i="2" s="1"/>
  <c r="O20" i="3"/>
  <c r="AD13" i="3"/>
  <c r="Y13" i="3"/>
  <c r="S13" i="3"/>
  <c r="N13" i="3"/>
  <c r="AB12" i="3"/>
  <c r="V12" i="3"/>
  <c r="Q12" i="3"/>
  <c r="AE23" i="3"/>
  <c r="Z23" i="3"/>
  <c r="U23" i="3"/>
  <c r="O23" i="3"/>
  <c r="AC22" i="3"/>
  <c r="X22" i="3"/>
  <c r="R22" i="3"/>
  <c r="AF21" i="3"/>
  <c r="AF7" i="2" s="1"/>
  <c r="AA21" i="3"/>
  <c r="U21" i="3"/>
  <c r="P21" i="3"/>
  <c r="P7" i="2" s="1"/>
  <c r="AD20" i="3"/>
  <c r="AD6" i="2" s="1"/>
  <c r="X20" i="3"/>
  <c r="S20" i="3"/>
  <c r="S6" i="2" s="1"/>
  <c r="N20" i="3"/>
  <c r="AC13" i="3"/>
  <c r="W13" i="3"/>
  <c r="R13" i="3"/>
  <c r="AF12" i="3"/>
  <c r="Z12" i="3"/>
  <c r="U12" i="3"/>
  <c r="P12" i="3"/>
  <c r="AC3" i="2"/>
  <c r="Y3" i="2"/>
  <c r="U3" i="2"/>
  <c r="AF3" i="2"/>
  <c r="AB3" i="2"/>
  <c r="X3" i="2"/>
  <c r="T3" i="2"/>
  <c r="P3" i="2"/>
  <c r="AE2" i="2"/>
  <c r="AA2" i="2"/>
  <c r="W2" i="2"/>
  <c r="S2" i="2"/>
  <c r="O2" i="2"/>
  <c r="AE3" i="2"/>
  <c r="AA3" i="2"/>
  <c r="W3" i="2"/>
  <c r="AD3" i="2"/>
  <c r="Z3" i="2"/>
  <c r="V3" i="2"/>
  <c r="R3" i="2"/>
  <c r="N3" i="2"/>
  <c r="AC2" i="2"/>
  <c r="Y2" i="2"/>
  <c r="U2" i="2"/>
  <c r="Q2" i="2"/>
  <c r="O3" i="2"/>
  <c r="Z2" i="2"/>
  <c r="R2" i="2"/>
  <c r="AF2" i="2"/>
  <c r="X2" i="2"/>
  <c r="P2" i="2"/>
  <c r="S3" i="2"/>
  <c r="AD2" i="2"/>
  <c r="V2" i="2"/>
  <c r="N2" i="2"/>
  <c r="Q3" i="2"/>
  <c r="AB2" i="2"/>
  <c r="T2" i="2"/>
  <c r="AN2" i="16"/>
  <c r="M4" i="2"/>
  <c r="M5" i="2" s="1"/>
  <c r="S1" i="16"/>
  <c r="U7" i="2" l="1"/>
  <c r="AA6" i="2"/>
  <c r="AC7" i="2"/>
  <c r="W6" i="2"/>
  <c r="Y7" i="2"/>
  <c r="P6" i="2"/>
  <c r="N6" i="2"/>
  <c r="AB7" i="2"/>
  <c r="T7" i="2"/>
  <c r="X6" i="2"/>
  <c r="AA7" i="2"/>
  <c r="O6" i="2"/>
  <c r="Q7" i="2"/>
  <c r="AF6" i="2"/>
  <c r="AB6" i="2"/>
  <c r="O7" i="2"/>
  <c r="AC6" i="2"/>
  <c r="Z7" i="2"/>
  <c r="R6" i="2"/>
  <c r="Q6" i="2"/>
  <c r="N7" i="2"/>
  <c r="AD7" i="2"/>
  <c r="U6" i="2"/>
  <c r="R7" i="2"/>
  <c r="AE7" i="2"/>
  <c r="Y6" i="2"/>
  <c r="V7" i="2"/>
  <c r="AO2" i="16"/>
  <c r="AP2" i="16" s="1"/>
  <c r="AQ2" i="16" l="1"/>
  <c r="AR2" i="16" l="1"/>
  <c r="AS2" i="16" l="1"/>
  <c r="AT2" i="16" l="1"/>
  <c r="AU2" i="16" l="1"/>
  <c r="AV2" i="16" l="1"/>
  <c r="AW2" i="16" l="1"/>
  <c r="AX2" i="16" l="1"/>
  <c r="AY2" i="16" l="1"/>
  <c r="AZ2" i="16" l="1"/>
  <c r="BA2" i="16" l="1"/>
  <c r="BB2" i="16" l="1"/>
  <c r="BC2" i="16" l="1"/>
  <c r="BD2" i="16" l="1"/>
  <c r="BE2" i="16" l="1"/>
  <c r="BF2" i="16" l="1"/>
  <c r="BG2" i="16" l="1"/>
  <c r="BH2" i="16" l="1"/>
  <c r="BI2" i="16" l="1"/>
  <c r="BJ2" i="16" l="1"/>
  <c r="BK2" i="16" l="1"/>
  <c r="BL2" i="16" l="1"/>
  <c r="BM2" i="16" l="1"/>
  <c r="BN2" i="16" l="1"/>
  <c r="BO2" i="16" l="1"/>
  <c r="BP2" i="16" l="1"/>
  <c r="BQ2" i="16" l="1"/>
  <c r="BR2" i="16" l="1"/>
  <c r="BS2" i="16" l="1"/>
  <c r="BS1" i="16" s="1"/>
  <c r="BT2" i="16" l="1"/>
  <c r="BT1" i="16" s="1"/>
  <c r="BU2" i="16" l="1"/>
  <c r="BU1" i="16" s="1"/>
  <c r="BV2" i="16" l="1"/>
  <c r="BV1" i="16" s="1"/>
  <c r="BW2" i="16" l="1"/>
  <c r="BW1" i="16" s="1"/>
  <c r="BX2" i="16" l="1"/>
  <c r="BX1" i="16" s="1"/>
  <c r="BY2" i="16" l="1"/>
  <c r="BY1" i="16" s="1"/>
  <c r="BZ2" i="16" l="1"/>
  <c r="BZ1" i="16" s="1"/>
  <c r="CA2" i="16" l="1"/>
  <c r="CA1" i="16" s="1"/>
  <c r="CB2" i="16" l="1"/>
  <c r="CB1" i="16" s="1"/>
  <c r="CC2" i="16" l="1"/>
  <c r="CC1" i="16" s="1"/>
  <c r="CD2" i="16" l="1"/>
  <c r="CD1" i="16" s="1"/>
  <c r="CE2" i="16" l="1"/>
  <c r="CE1" i="16" s="1"/>
  <c r="CF2" i="16" l="1"/>
  <c r="CF1" i="16" s="1"/>
  <c r="CG2" i="16" l="1"/>
  <c r="CG1" i="16" s="1"/>
  <c r="CH2" i="16" l="1"/>
  <c r="CH1" i="16" s="1"/>
  <c r="CI2" i="16" l="1"/>
  <c r="CI1" i="16" s="1"/>
  <c r="CJ2" i="16" l="1"/>
  <c r="CJ1" i="16" s="1"/>
  <c r="CK2" i="16" l="1"/>
  <c r="CK1" i="16" s="1"/>
  <c r="CL2" i="16" l="1"/>
  <c r="CL1" i="16" s="1"/>
  <c r="CM2" i="16" l="1"/>
  <c r="CM1" i="16" s="1"/>
  <c r="CN2" i="16" l="1"/>
  <c r="CN1" i="16" s="1"/>
  <c r="CO2" i="16" l="1"/>
  <c r="CO1" i="16" s="1"/>
  <c r="CP2" i="16" l="1"/>
  <c r="CP1" i="16" s="1"/>
  <c r="CQ2" i="16" l="1"/>
  <c r="CQ1" i="16" s="1"/>
  <c r="CR2" i="16" l="1"/>
  <c r="CR1" i="16" s="1"/>
  <c r="CS2" i="16" l="1"/>
  <c r="CS1" i="16" s="1"/>
  <c r="CT2" i="16" l="1"/>
  <c r="CT1" i="16" s="1"/>
  <c r="CU2" i="16" l="1"/>
  <c r="CU1" i="16" s="1"/>
  <c r="CV2" i="16" l="1"/>
  <c r="CV1" i="16" s="1"/>
  <c r="CW2" i="16" l="1"/>
  <c r="CW1" i="16" s="1"/>
  <c r="CX2" i="16" l="1"/>
  <c r="CX1" i="16" s="1"/>
  <c r="CY2" i="16" l="1"/>
  <c r="CY1" i="16" s="1"/>
  <c r="CZ2" i="16" l="1"/>
  <c r="CZ1" i="16" s="1"/>
  <c r="DA2" i="16" l="1"/>
  <c r="DA1" i="16" s="1"/>
  <c r="DB2" i="16" l="1"/>
  <c r="DB1" i="16" s="1"/>
  <c r="DC2" i="16" l="1"/>
  <c r="DC1" i="16" s="1"/>
  <c r="DD2" i="16" l="1"/>
  <c r="DD1" i="16" s="1"/>
  <c r="DE2" i="16" l="1"/>
  <c r="DE1" i="16" s="1"/>
  <c r="M21" i="3"/>
  <c r="M23" i="3"/>
  <c r="M13" i="3"/>
  <c r="M3" i="2"/>
  <c r="M22" i="3"/>
  <c r="M20" i="3"/>
  <c r="M12" i="3"/>
  <c r="M2" i="2"/>
  <c r="M7" i="2" l="1"/>
  <c r="M6" i="2"/>
  <c r="DF2" i="16"/>
  <c r="DF1" i="16" s="1"/>
  <c r="DG2" i="16" l="1"/>
  <c r="DG1" i="16" s="1"/>
  <c r="DH2" i="16" l="1"/>
  <c r="DH1" i="16" s="1"/>
  <c r="DI2" i="16" l="1"/>
  <c r="DI1" i="16" s="1"/>
  <c r="DJ2" i="16" l="1"/>
  <c r="DJ1" i="16" s="1"/>
  <c r="DK2" i="16" l="1"/>
  <c r="DK1" i="16" s="1"/>
  <c r="DL2" i="16" l="1"/>
  <c r="DL1" i="16" s="1"/>
  <c r="DM2" i="16" l="1"/>
  <c r="DM1" i="16" s="1"/>
  <c r="DN2" i="16" l="1"/>
  <c r="DN1" i="16" s="1"/>
  <c r="DO2" i="16" l="1"/>
  <c r="DO1" i="16" s="1"/>
  <c r="DP2" i="16" l="1"/>
  <c r="DP1" i="16" s="1"/>
  <c r="DQ2" i="16" l="1"/>
  <c r="DQ1" i="16" s="1"/>
  <c r="DR2" i="16" l="1"/>
  <c r="DR1" i="16" s="1"/>
  <c r="DS2" i="16" l="1"/>
  <c r="DS1" i="16" s="1"/>
  <c r="DT2" i="16" l="1"/>
  <c r="DT1" i="16" s="1"/>
  <c r="DU2" i="16" l="1"/>
  <c r="DU1" i="16" s="1"/>
  <c r="DV2" i="16" l="1"/>
  <c r="DV1" i="16" s="1"/>
  <c r="DW2" i="16" l="1"/>
  <c r="DW1" i="16" s="1"/>
  <c r="DX2" i="16" l="1"/>
  <c r="DX1" i="16" s="1"/>
  <c r="DY2" i="16" l="1"/>
  <c r="DY1" i="16" s="1"/>
  <c r="DZ2" i="16" l="1"/>
  <c r="DZ1" i="16" s="1"/>
  <c r="EA2" i="16" l="1"/>
  <c r="EA1" i="16" s="1"/>
  <c r="Q1" i="16" l="1"/>
  <c r="F1" i="16"/>
  <c r="BQ1" i="16" l="1"/>
  <c r="BR1" i="16"/>
  <c r="BP1" i="16"/>
  <c r="BO1" i="16"/>
  <c r="BN1" i="16"/>
  <c r="BC1" i="16"/>
  <c r="AV1" i="16"/>
  <c r="BE1" i="16"/>
  <c r="AX1" i="16"/>
  <c r="BG1" i="16"/>
  <c r="AZ1" i="16"/>
  <c r="AN1" i="16"/>
  <c r="BI1" i="16"/>
  <c r="BB1" i="16"/>
  <c r="AQ1" i="16"/>
  <c r="BK1" i="16"/>
  <c r="BD1" i="16"/>
  <c r="AS1" i="16"/>
  <c r="AO1" i="16"/>
  <c r="BF1" i="16"/>
  <c r="AU1" i="16"/>
  <c r="BM1" i="16"/>
  <c r="BH1" i="16"/>
  <c r="AW1" i="16"/>
  <c r="AP1" i="16"/>
  <c r="BJ1" i="16"/>
  <c r="AY1" i="16"/>
  <c r="AR1" i="16"/>
  <c r="BL1" i="16"/>
  <c r="BA1" i="16"/>
  <c r="AT1" i="16"/>
  <c r="AJ1" i="16"/>
  <c r="R1" i="16"/>
  <c r="AM1" i="16" l="1"/>
  <c r="H22" i="2" l="1"/>
  <c r="G1" i="16"/>
  <c r="J1" i="16"/>
  <c r="H1" i="16"/>
  <c r="I1" i="16"/>
  <c r="F22" i="2" l="1"/>
  <c r="C26" i="3" s="1"/>
  <c r="G22" i="2" l="1"/>
  <c r="D26" i="3" s="1"/>
  <c r="F16" i="2"/>
  <c r="G17" i="2" l="1"/>
  <c r="F17" i="2"/>
  <c r="G16" i="2"/>
  <c r="F6" i="2"/>
  <c r="Z1" i="16" s="1"/>
  <c r="G5" i="2"/>
  <c r="F2" i="2"/>
  <c r="V1" i="16" s="1"/>
  <c r="F14" i="2"/>
  <c r="F9" i="2"/>
  <c r="AC1" i="16" s="1"/>
  <c r="G12" i="2"/>
  <c r="G7" i="2"/>
  <c r="F8" i="2"/>
  <c r="AB1" i="16" s="1"/>
  <c r="F5" i="2"/>
  <c r="Y1" i="16" s="1"/>
  <c r="F10" i="2"/>
  <c r="AD1" i="16" s="1"/>
  <c r="G8" i="2"/>
  <c r="F7" i="2"/>
  <c r="AA1" i="16" s="1"/>
  <c r="F15" i="2"/>
  <c r="H1" i="2"/>
  <c r="U1" i="16" s="1"/>
  <c r="F3" i="2"/>
  <c r="W1" i="16" s="1"/>
  <c r="F4" i="2"/>
  <c r="X1" i="16" s="1"/>
  <c r="F13" i="2"/>
  <c r="F11" i="2"/>
  <c r="AE1" i="16" s="1"/>
  <c r="G2" i="2"/>
  <c r="G15" i="2"/>
  <c r="G3" i="2"/>
  <c r="F12" i="2"/>
  <c r="AF1" i="16" s="1"/>
  <c r="G13" i="2"/>
  <c r="G4" i="2"/>
  <c r="G6" i="2"/>
  <c r="G14" i="2"/>
  <c r="G11" i="2"/>
  <c r="G10" i="2"/>
  <c r="G9" i="2"/>
  <c r="AH1" i="16" l="1"/>
</calcChain>
</file>

<file path=xl/comments1.xml><?xml version="1.0" encoding="utf-8"?>
<comments xmlns="http://schemas.openxmlformats.org/spreadsheetml/2006/main">
  <authors>
    <author>Rodriguez</author>
  </authors>
  <commentList>
    <comment ref="A5" authorId="0" shapeId="0">
      <text>
        <r>
          <rPr>
            <b/>
            <sz val="11"/>
            <color indexed="81"/>
            <rFont val="Tahoma"/>
            <family val="2"/>
          </rPr>
          <t>Rodriguez:
Paste: Sec Name;Sec</t>
        </r>
        <r>
          <rPr>
            <sz val="11"/>
            <color indexed="81"/>
            <rFont val="Tahoma"/>
            <family val="2"/>
          </rPr>
          <t xml:space="preserve">
Example:
WNV1;ACTGACTCTCA
WNV2;ACTCCATCTAA</t>
        </r>
      </text>
    </comment>
  </commentList>
</comments>
</file>

<file path=xl/comments2.xml><?xml version="1.0" encoding="utf-8"?>
<comments xmlns="http://schemas.openxmlformats.org/spreadsheetml/2006/main">
  <authors>
    <author>Rodriguez</author>
  </authors>
  <commentList>
    <comment ref="J1" authorId="0" shapeId="0">
      <text>
        <r>
          <rPr>
            <b/>
            <sz val="9"/>
            <color indexed="81"/>
            <rFont val="Tahoma"/>
            <family val="2"/>
          </rPr>
          <t>Rodriguez:</t>
        </r>
        <r>
          <rPr>
            <sz val="9"/>
            <color indexed="81"/>
            <rFont val="Tahoma"/>
            <family val="2"/>
          </rPr>
          <t xml:space="preserve">
Copiar en esta columna entera  el valor de la columna  F entera, con el MaxMM (F20) diciendo a partir de cuantos errores la sec se incluira en el nuevo analisis. Permite analisar "el resto" de las sec, aquellas que se quedaron con mas errores y asi poder buscar nuevas variantes que se ajusten mejor a ellas</t>
        </r>
      </text>
    </comment>
    <comment ref="I4" authorId="0" shapeId="0">
      <text>
        <r>
          <rPr>
            <sz val="10"/>
            <color indexed="81"/>
            <rFont val="Tahoma"/>
            <family val="2"/>
          </rPr>
          <t xml:space="preserve">Minimmun % (as in lines 12 to 15)  to be include in the "major" consensus (lines 1 and 9).
</t>
        </r>
      </text>
    </comment>
  </commentList>
</comments>
</file>

<file path=xl/comments3.xml><?xml version="1.0" encoding="utf-8"?>
<comments xmlns="http://schemas.openxmlformats.org/spreadsheetml/2006/main">
  <authors>
    <author>Rodriguez</author>
  </authors>
  <commentList>
    <comment ref="C25" authorId="0" shapeId="0">
      <text>
        <r>
          <rPr>
            <b/>
            <sz val="9"/>
            <color indexed="81"/>
            <rFont val="Tahoma"/>
            <family val="2"/>
          </rPr>
          <t>Rodriguez:</t>
        </r>
        <r>
          <rPr>
            <sz val="9"/>
            <color indexed="81"/>
            <rFont val="Tahoma"/>
            <family val="2"/>
          </rPr>
          <t xml:space="preserve">
Elimina del analisis las sec con menos errores que MaxMM (con pocos errores) pero que son demaciado cortas &lt;MinLen</t>
        </r>
      </text>
    </comment>
  </commentList>
</comments>
</file>

<file path=xl/sharedStrings.xml><?xml version="1.0" encoding="utf-8"?>
<sst xmlns="http://schemas.openxmlformats.org/spreadsheetml/2006/main" count="790" uniqueCount="226">
  <si>
    <t>-</t>
  </si>
  <si>
    <t>T</t>
  </si>
  <si>
    <t>A</t>
  </si>
  <si>
    <t>G</t>
  </si>
  <si>
    <t>C</t>
  </si>
  <si>
    <t>R</t>
  </si>
  <si>
    <t>Y</t>
  </si>
  <si>
    <t>S</t>
  </si>
  <si>
    <t>CG</t>
  </si>
  <si>
    <t>K</t>
  </si>
  <si>
    <t>TG</t>
  </si>
  <si>
    <t>TC</t>
  </si>
  <si>
    <t>B</t>
  </si>
  <si>
    <t>TCG</t>
  </si>
  <si>
    <t>AG</t>
  </si>
  <si>
    <t>M</t>
  </si>
  <si>
    <t>AC</t>
  </si>
  <si>
    <t>V</t>
  </si>
  <si>
    <t>ACG</t>
  </si>
  <si>
    <t>W</t>
  </si>
  <si>
    <t>AT</t>
  </si>
  <si>
    <t>D</t>
  </si>
  <si>
    <t>ATG</t>
  </si>
  <si>
    <t>H</t>
  </si>
  <si>
    <t>ATC</t>
  </si>
  <si>
    <t>N</t>
  </si>
  <si>
    <t>ATCG</t>
  </si>
  <si>
    <t>"-";"G";"C";"S";"T";"K";"Y";"B";"A";"R";"M";"V";"W";"D";"H";"N"</t>
  </si>
  <si>
    <t>Clas</t>
  </si>
  <si>
    <t>Esp</t>
  </si>
  <si>
    <t>OK</t>
  </si>
  <si>
    <t>Err</t>
  </si>
  <si>
    <t>Name</t>
  </si>
  <si>
    <t>SeqToSee</t>
  </si>
  <si>
    <t>ErrDg</t>
  </si>
  <si>
    <t>Len</t>
  </si>
  <si>
    <t>ActivPrim</t>
  </si>
  <si>
    <t>OK Primer</t>
  </si>
  <si>
    <t>SeqStart</t>
  </si>
  <si>
    <t>-GCSTKYBARMVWDHN</t>
  </si>
  <si>
    <t>HCos</t>
  </si>
  <si>
    <t>UserHCons</t>
  </si>
  <si>
    <t>r</t>
  </si>
  <si>
    <t>Error</t>
  </si>
  <si>
    <t>No Identich</t>
  </si>
  <si>
    <t>Deg?</t>
  </si>
  <si>
    <t>Deg</t>
  </si>
  <si>
    <t>GC?</t>
  </si>
  <si>
    <t>GC</t>
  </si>
  <si>
    <t>Suma GC, max</t>
  </si>
  <si>
    <t>AT?</t>
  </si>
  <si>
    <t>GC, max</t>
  </si>
  <si>
    <t>AT, max</t>
  </si>
  <si>
    <t>Suma AT, max</t>
  </si>
  <si>
    <t>Author</t>
  </si>
  <si>
    <r>
      <t xml:space="preserve">Breslauer </t>
    </r>
    <r>
      <rPr>
        <i/>
        <sz val="11"/>
        <color rgb="FF000000"/>
        <rFont val="Inherit"/>
      </rPr>
      <t>et al</t>
    </r>
    <r>
      <rPr>
        <sz val="11"/>
        <color rgb="FF000000"/>
        <rFont val="Inherit"/>
      </rPr>
      <t>. (1986)</t>
    </r>
  </si>
  <si>
    <r>
      <t xml:space="preserve">SantaLucia </t>
    </r>
    <r>
      <rPr>
        <i/>
        <sz val="11"/>
        <color rgb="FF000000"/>
        <rFont val="Inherit"/>
      </rPr>
      <t>et al</t>
    </r>
    <r>
      <rPr>
        <sz val="11"/>
        <color rgb="FF000000"/>
        <rFont val="Inherit"/>
      </rPr>
      <t>. (1996)</t>
    </r>
  </si>
  <si>
    <r>
      <t xml:space="preserve">Sugimoto </t>
    </r>
    <r>
      <rPr>
        <i/>
        <sz val="11"/>
        <color rgb="FF000000"/>
        <rFont val="Inherit"/>
      </rPr>
      <t>et al</t>
    </r>
    <r>
      <rPr>
        <sz val="11"/>
        <color rgb="FF000000"/>
        <rFont val="Inherit"/>
      </rPr>
      <t>. (1996)</t>
    </r>
  </si>
  <si>
    <t>Abbreviation</t>
  </si>
  <si>
    <t>TH1</t>
  </si>
  <si>
    <t>TH2</t>
  </si>
  <si>
    <t>TH3</t>
  </si>
  <si>
    <t>Propagation sequence</t>
  </si>
  <si>
    <r>
      <t xml:space="preserve">Δ </t>
    </r>
    <r>
      <rPr>
        <i/>
        <sz val="11"/>
        <color rgb="FF000000"/>
        <rFont val="Inherit"/>
      </rPr>
      <t>H</t>
    </r>
    <r>
      <rPr>
        <sz val="11"/>
        <color rgb="FF000000"/>
        <rFont val="Inherit"/>
      </rPr>
      <t xml:space="preserve"> (kcal/mol)</t>
    </r>
  </si>
  <si>
    <r>
      <t xml:space="preserve">Δ </t>
    </r>
    <r>
      <rPr>
        <i/>
        <sz val="11"/>
        <color rgb="FF000000"/>
        <rFont val="Inherit"/>
      </rPr>
      <t>S</t>
    </r>
    <r>
      <rPr>
        <sz val="11"/>
        <color rgb="FF000000"/>
        <rFont val="Inherit"/>
      </rPr>
      <t xml:space="preserve"> (cal/°K</t>
    </r>
  </si>
  <si>
    <r>
      <t xml:space="preserve">Δ </t>
    </r>
    <r>
      <rPr>
        <i/>
        <sz val="11"/>
        <color rgb="FF000000"/>
        <rFont val="Inherit"/>
      </rPr>
      <t>G</t>
    </r>
    <r>
      <rPr>
        <sz val="11"/>
        <color rgb="FF000000"/>
        <rFont val="Inherit"/>
      </rPr>
      <t xml:space="preserve"> (kcal/mol)</t>
    </r>
  </si>
  <si>
    <t>AA/TT</t>
  </si>
  <si>
    <t>AT/TA</t>
  </si>
  <si>
    <t>TA/AT</t>
  </si>
  <si>
    <t>CA/GT</t>
  </si>
  <si>
    <t>GT/CA</t>
  </si>
  <si>
    <t>CT/GA</t>
  </si>
  <si>
    <t>GA/CT</t>
  </si>
  <si>
    <t>CG/GC</t>
  </si>
  <si>
    <t>GC/CG</t>
  </si>
  <si>
    <t>GG/CC</t>
  </si>
  <si>
    <t>Any G·C pair?</t>
  </si>
  <si>
    <t>Only A·T pairs?</t>
  </si>
  <si>
    <t>Symmetry correction</t>
  </si>
  <si>
    <r>
      <t>5</t>
    </r>
    <r>
      <rPr>
        <vertAlign val="superscript"/>
        <sz val="9.35"/>
        <color rgb="FF000000"/>
        <rFont val="Inherit"/>
      </rPr>
      <t>′</t>
    </r>
    <r>
      <rPr>
        <sz val="11"/>
        <color rgb="FF000000"/>
        <rFont val="Inherit"/>
      </rPr>
      <t>-terminal T·A bp</t>
    </r>
  </si>
  <si>
    <t>En Uso</t>
  </si>
  <si>
    <t>Signo</t>
  </si>
  <si>
    <t>dH,min</t>
  </si>
  <si>
    <t>dH,max</t>
  </si>
  <si>
    <t>dHmin</t>
  </si>
  <si>
    <t>dHmax</t>
  </si>
  <si>
    <t>dSmin</t>
  </si>
  <si>
    <t>dSmax</t>
  </si>
  <si>
    <t>dS,min</t>
  </si>
  <si>
    <t>dS,max</t>
  </si>
  <si>
    <t>Suma dHmin</t>
  </si>
  <si>
    <t>Suma dHmax</t>
  </si>
  <si>
    <t>Suma dSmin</t>
  </si>
  <si>
    <t>Suma dSmax</t>
  </si>
  <si>
    <t>[primer,nM]</t>
  </si>
  <si>
    <t>cal/mole K</t>
  </si>
  <si>
    <t>Rln(1/PC)</t>
  </si>
  <si>
    <t>Tm,min NearNeig</t>
  </si>
  <si>
    <t>[Na+,mM]</t>
  </si>
  <si>
    <t>Kelv-Salt</t>
  </si>
  <si>
    <t>Tm,max NearNeig</t>
  </si>
  <si>
    <t>Tm Basic (B)</t>
  </si>
  <si>
    <t>Tm NearNeigb (N)</t>
  </si>
  <si>
    <t>dH</t>
  </si>
  <si>
    <t>dS</t>
  </si>
  <si>
    <t>dHmax-dHmin</t>
  </si>
  <si>
    <t>dSmax-dSmin</t>
  </si>
  <si>
    <t>Gr</t>
  </si>
  <si>
    <t>Lin</t>
  </si>
  <si>
    <t>No.</t>
  </si>
  <si>
    <t>Seq</t>
  </si>
  <si>
    <t>From</t>
  </si>
  <si>
    <t>To</t>
  </si>
  <si>
    <t>TbMin</t>
  </si>
  <si>
    <t>TbMx</t>
  </si>
  <si>
    <t>TnMn</t>
  </si>
  <si>
    <t>TnMax</t>
  </si>
  <si>
    <t>SeEr</t>
  </si>
  <si>
    <t>MinCons</t>
  </si>
  <si>
    <t>ActPrimLen</t>
  </si>
  <si>
    <t>ActPrimerLen</t>
  </si>
  <si>
    <t>Pos</t>
  </si>
  <si>
    <t>Q</t>
  </si>
  <si>
    <t>prio</t>
  </si>
  <si>
    <t>UserConsens</t>
  </si>
  <si>
    <t>Consen</t>
  </si>
  <si>
    <t>CountErr</t>
  </si>
  <si>
    <t>GapMM</t>
  </si>
  <si>
    <t>DegM</t>
  </si>
  <si>
    <t>MM</t>
  </si>
  <si>
    <t>PM</t>
  </si>
  <si>
    <t>NoSel</t>
  </si>
  <si>
    <t>DegMM</t>
  </si>
  <si>
    <t>DefPrimerLen</t>
  </si>
  <si>
    <t>MinSecLen</t>
  </si>
  <si>
    <t>MinToHighCons</t>
  </si>
  <si>
    <t>Complement</t>
  </si>
  <si>
    <t>-CGSAMRVTYKBWHDN</t>
  </si>
  <si>
    <t>G NearNeigb (G)</t>
  </si>
  <si>
    <t>Ta, °C</t>
  </si>
  <si>
    <t>FASTA format</t>
  </si>
  <si>
    <t xml:space="preserve">FASTA </t>
  </si>
  <si>
    <t>Advanced funtions</t>
  </si>
  <si>
    <t>Basics funtions</t>
  </si>
  <si>
    <t>Subalignment export</t>
  </si>
  <si>
    <t>Sequence classification</t>
  </si>
  <si>
    <t>Sequence input:</t>
  </si>
  <si>
    <t>Max Seq Length:</t>
  </si>
  <si>
    <t xml:space="preserve"> sequences</t>
  </si>
  <si>
    <t>Found:</t>
  </si>
  <si>
    <t>To:</t>
  </si>
  <si>
    <t>From:</t>
  </si>
  <si>
    <t>Description</t>
  </si>
  <si>
    <t>Imported nt</t>
  </si>
  <si>
    <t>FASTA format aligned DNA sequences</t>
  </si>
  <si>
    <t>Suma dGmax</t>
  </si>
  <si>
    <t>Suma dGmin</t>
  </si>
  <si>
    <t>Suma I min</t>
  </si>
  <si>
    <t>Suma Imax</t>
  </si>
  <si>
    <r>
      <t>I</t>
    </r>
    <r>
      <rPr>
        <b/>
        <i/>
        <vertAlign val="subscript"/>
        <sz val="16"/>
        <rFont val="Albertus MT"/>
        <family val="1"/>
      </rPr>
      <t>senc</t>
    </r>
  </si>
  <si>
    <r>
      <t>I</t>
    </r>
    <r>
      <rPr>
        <b/>
        <i/>
        <vertAlign val="subscript"/>
        <sz val="16"/>
        <rFont val="Albertus MT"/>
        <family val="1"/>
      </rPr>
      <t>sat</t>
    </r>
  </si>
  <si>
    <r>
      <rPr>
        <b/>
        <sz val="16"/>
        <rFont val="Calibri"/>
        <family val="2"/>
      </rPr>
      <t>∆</t>
    </r>
    <r>
      <rPr>
        <b/>
        <i/>
        <sz val="16"/>
        <rFont val="Albertus MT"/>
        <family val="1"/>
      </rPr>
      <t>G</t>
    </r>
    <r>
      <rPr>
        <b/>
        <i/>
        <vertAlign val="subscript"/>
        <sz val="16"/>
        <rFont val="Albertus MT"/>
        <family val="1"/>
      </rPr>
      <t>senc</t>
    </r>
  </si>
  <si>
    <r>
      <rPr>
        <b/>
        <sz val="16"/>
        <rFont val="Calibri"/>
        <family val="2"/>
      </rPr>
      <t>∆</t>
    </r>
    <r>
      <rPr>
        <b/>
        <i/>
        <sz val="16"/>
        <rFont val="Albertus MT"/>
        <family val="1"/>
      </rPr>
      <t>G</t>
    </r>
    <r>
      <rPr>
        <b/>
        <i/>
        <vertAlign val="subscript"/>
        <sz val="16"/>
        <rFont val="Albertus MT"/>
        <family val="1"/>
      </rPr>
      <t>sat</t>
    </r>
  </si>
  <si>
    <t>G stept</t>
  </si>
  <si>
    <r>
      <rPr>
        <b/>
        <sz val="16"/>
        <rFont val="Calibri"/>
        <family val="2"/>
      </rPr>
      <t>∆</t>
    </r>
    <r>
      <rPr>
        <b/>
        <i/>
        <sz val="16"/>
        <rFont val="Albertus MT"/>
        <family val="1"/>
      </rPr>
      <t>G</t>
    </r>
  </si>
  <si>
    <t>I</t>
  </si>
  <si>
    <t>Ta</t>
  </si>
  <si>
    <t>Kelvin</t>
  </si>
  <si>
    <t>Intensity (I)</t>
  </si>
  <si>
    <t>HightConsenso</t>
  </si>
  <si>
    <t>Tm bas min</t>
  </si>
  <si>
    <t>Tm bas max</t>
  </si>
  <si>
    <t>Δ H (kcal/mol)</t>
  </si>
  <si>
    <t>Δ S (cal/°K</t>
  </si>
  <si>
    <t>Δ G (kcal/mol)</t>
  </si>
  <si>
    <t>SantaLucia et al. (1996)</t>
  </si>
  <si>
    <t>To Do:</t>
  </si>
  <si>
    <t>VBA - how to update values? Need to have an argument? See Tm calculations in oligo table</t>
  </si>
  <si>
    <t>VBA - re/generate most of the sheet using re/definition of all ranges and relative formules</t>
  </si>
  <si>
    <t>StartSeq &amp; position relative to original sequences</t>
  </si>
  <si>
    <t>VBA - calcule min/max H, S, ect.</t>
  </si>
  <si>
    <t>mm</t>
  </si>
  <si>
    <t>#seq</t>
  </si>
  <si>
    <t>Consensus</t>
  </si>
  <si>
    <t>Min2Consensus</t>
  </si>
  <si>
    <t>Edit oligo from consensus</t>
  </si>
  <si>
    <t>Minor</t>
  </si>
  <si>
    <t>Major</t>
  </si>
  <si>
    <t>selected: Is this sequence selected for analisis? Will be defined as a Named range becouse it is used in Match too.</t>
  </si>
  <si>
    <t>seq: implement separate cell with each base, not a cell with the complete sequence.</t>
  </si>
  <si>
    <t>Seq Used</t>
  </si>
  <si>
    <t>code</t>
  </si>
  <si>
    <t>char</t>
  </si>
  <si>
    <t>is deg</t>
  </si>
  <si>
    <t>is simple nt</t>
  </si>
  <si>
    <t>deg cod</t>
  </si>
  <si>
    <t>Number of Identical</t>
  </si>
  <si>
    <t>[=0]"-";[=1]"G";[=2]"C";[=3]"S";[=4]"T"</t>
  </si>
  <si>
    <t>seqTences</t>
  </si>
  <si>
    <t>Releases</t>
  </si>
  <si>
    <t>FIX: pos beg selected primer: currPrimerPosition =MIN(Match.SelectedPosRow) in sheet oligos</t>
  </si>
  <si>
    <t>v1.05</t>
  </si>
  <si>
    <t>FIX: export - DIM variables</t>
  </si>
  <si>
    <t>v1.05.01</t>
  </si>
  <si>
    <t>Initial commit. qPCR4vir committed to GitHub on Aug 31</t>
  </si>
  <si>
    <t>qPCR4vir committed on Sep 7</t>
  </si>
  <si>
    <t xml:space="preserve">v1.04 </t>
  </si>
  <si>
    <t>v1.03</t>
  </si>
  <si>
    <t>FIX and Code review: start of primer not column, and use of ranges in ThDy calculations.</t>
  </si>
  <si>
    <t xml:space="preserve">Introduce more named ranges in Match </t>
  </si>
  <si>
    <t>v1.05.02</t>
  </si>
  <si>
    <t>v1.05.03</t>
  </si>
  <si>
    <t>.</t>
  </si>
  <si>
    <r>
      <t xml:space="preserve">VBA - formula for </t>
    </r>
    <r>
      <rPr>
        <strike/>
        <sz val="11"/>
        <color theme="1"/>
        <rFont val="Calibri"/>
        <family val="2"/>
        <scheme val="minor"/>
      </rPr>
      <t>oligo sequence</t>
    </r>
    <r>
      <rPr>
        <sz val="11"/>
        <color theme="1"/>
        <rFont val="Calibri"/>
        <family val="2"/>
        <scheme val="minor"/>
      </rPr>
      <t xml:space="preserve"> and for the comlementary </t>
    </r>
  </si>
  <si>
    <t xml:space="preserve">Introducing version number in Code to facilitate commits comments in git/GitHub. </t>
  </si>
  <si>
    <t>v1.06.00</t>
  </si>
  <si>
    <t>v1.06.01</t>
  </si>
  <si>
    <t>FIX:  revert VBA code from .vba files to Excel</t>
  </si>
  <si>
    <t>C:\Prog\VisualOliDeg\alignments\test.fasta</t>
  </si>
  <si>
    <t>seq1</t>
  </si>
  <si>
    <t>gr</t>
  </si>
  <si>
    <t>ATCGATCGATCGATCGATCG</t>
  </si>
  <si>
    <t>seq2</t>
  </si>
  <si>
    <t>ATCGACCGATCGATCGATCG</t>
  </si>
  <si>
    <t>seq3</t>
  </si>
  <si>
    <t>ATCGATCGATCAATCGATCG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</si>
</sst>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164" formatCode="0.0&quot;°C&quot;"/>
    <numFmt numFmtId="165" formatCode="0.0"/>
    <numFmt numFmtId="166" formatCode="&quot;e&lt;&quot;0"/>
    <numFmt numFmtId="167" formatCode="[=4]&quot;T&quot;;General"/>
    <numFmt numFmtId="168" formatCode="[=0]&quot;-&quot;;[=1]&quot;G&quot;"/>
  </numFmts>
  <fonts count="49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sz val="10"/>
      <name val="Arial"/>
      <family val="2"/>
    </font>
    <font>
      <b/>
      <sz val="11"/>
      <color indexed="13"/>
      <name val="Arial"/>
      <family val="2"/>
    </font>
    <font>
      <sz val="8"/>
      <color theme="1"/>
      <name val="Calibri"/>
      <family val="2"/>
      <scheme val="minor"/>
    </font>
    <font>
      <sz val="9"/>
      <color rgb="FF0070C0"/>
      <name val="Calibri"/>
      <family val="2"/>
      <scheme val="minor"/>
    </font>
    <font>
      <sz val="9"/>
      <color theme="1"/>
      <name val="Calibri"/>
      <family val="2"/>
      <scheme val="minor"/>
    </font>
    <font>
      <sz val="11"/>
      <color rgb="FFFFFF01"/>
      <name val="Calibri"/>
      <family val="2"/>
      <scheme val="minor"/>
    </font>
    <font>
      <sz val="9"/>
      <color rgb="FFFFFF01"/>
      <name val="Calibri"/>
      <family val="2"/>
      <scheme val="minor"/>
    </font>
    <font>
      <sz val="11"/>
      <color rgb="FF000000"/>
      <name val="Inherit"/>
    </font>
    <font>
      <i/>
      <sz val="11"/>
      <color rgb="FF000000"/>
      <name val="Inherit"/>
    </font>
    <font>
      <vertAlign val="superscript"/>
      <sz val="9.35"/>
      <color rgb="FF000000"/>
      <name val="Inherit"/>
    </font>
    <font>
      <sz val="10"/>
      <color theme="1"/>
      <name val="Calibri"/>
      <family val="2"/>
      <scheme val="minor"/>
    </font>
    <font>
      <b/>
      <sz val="11"/>
      <name val="Arial"/>
      <family val="2"/>
    </font>
    <font>
      <sz val="11"/>
      <name val="Calibri"/>
      <family val="2"/>
      <scheme val="minor"/>
    </font>
    <font>
      <sz val="7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indexed="81"/>
      <name val="Tahoma"/>
      <family val="2"/>
    </font>
    <font>
      <sz val="11"/>
      <color indexed="81"/>
      <name val="Tahoma"/>
      <family val="2"/>
    </font>
    <font>
      <sz val="8"/>
      <color rgb="FF0070C0"/>
      <name val="Calibri"/>
      <family val="2"/>
      <scheme val="minor"/>
    </font>
    <font>
      <sz val="10"/>
      <color indexed="81"/>
      <name val="Tahoma"/>
      <family val="2"/>
    </font>
    <font>
      <b/>
      <i/>
      <sz val="16"/>
      <name val="Albertus MT"/>
      <family val="1"/>
    </font>
    <font>
      <b/>
      <i/>
      <vertAlign val="subscript"/>
      <sz val="16"/>
      <name val="Albertus MT"/>
      <family val="1"/>
    </font>
    <font>
      <b/>
      <sz val="16"/>
      <name val="Calibri"/>
      <family val="2"/>
    </font>
    <font>
      <sz val="11"/>
      <color theme="1"/>
      <name val="Consolas"/>
      <family val="3"/>
    </font>
    <font>
      <b/>
      <sz val="10"/>
      <name val="Arial"/>
      <family val="2"/>
    </font>
    <font>
      <b/>
      <sz val="11"/>
      <color theme="3" tint="-0.499984740745262"/>
      <name val="Arial"/>
      <family val="2"/>
    </font>
    <font>
      <b/>
      <sz val="7"/>
      <color theme="3" tint="-0.499984740745262"/>
      <name val="Consolas"/>
      <family val="3"/>
    </font>
    <font>
      <sz val="11"/>
      <color theme="3" tint="-0.499984740745262"/>
      <name val="Arial"/>
      <family val="2"/>
    </font>
    <font>
      <sz val="10"/>
      <color theme="1"/>
      <name val="Consolas"/>
      <family val="3"/>
    </font>
    <font>
      <strike/>
      <sz val="11"/>
      <color theme="1"/>
      <name val="Calibri"/>
      <family val="2"/>
      <scheme val="minor"/>
    </font>
  </fonts>
  <fills count="42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indexed="1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FF3737"/>
        <bgColor indexed="64"/>
      </patternFill>
    </fill>
  </fills>
  <borders count="73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/>
      <bottom style="double">
        <color rgb="FFFFFF00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dotted">
        <color indexed="64"/>
      </left>
      <right/>
      <top style="thin">
        <color indexed="64"/>
      </top>
      <bottom style="double">
        <color rgb="FFFFFF00"/>
      </bottom>
      <diagonal/>
    </border>
    <border>
      <left style="dotted">
        <color indexed="64"/>
      </left>
      <right/>
      <top/>
      <bottom/>
      <diagonal/>
    </border>
    <border>
      <left/>
      <right/>
      <top/>
      <bottom style="double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double">
        <color rgb="FF7030A0"/>
      </left>
      <right style="double">
        <color rgb="FF7030A0"/>
      </right>
      <top style="double">
        <color rgb="FF7030A0"/>
      </top>
      <bottom/>
      <diagonal/>
    </border>
    <border>
      <left style="double">
        <color rgb="FF7030A0"/>
      </left>
      <right style="double">
        <color rgb="FF7030A0"/>
      </right>
      <top/>
      <bottom/>
      <diagonal/>
    </border>
    <border>
      <left style="double">
        <color rgb="FF7030A0"/>
      </left>
      <right style="double">
        <color rgb="FF7030A0"/>
      </right>
      <top/>
      <bottom style="double">
        <color rgb="FF7030A0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double">
        <color indexed="64"/>
      </top>
      <bottom/>
      <diagonal/>
    </border>
    <border>
      <left style="thin">
        <color indexed="64"/>
      </left>
      <right style="double">
        <color indexed="64"/>
      </right>
      <top style="double">
        <color indexed="64"/>
      </top>
      <bottom/>
      <diagonal/>
    </border>
    <border>
      <left style="double">
        <color indexed="64"/>
      </left>
      <right style="thin">
        <color indexed="64"/>
      </right>
      <top/>
      <bottom/>
      <diagonal/>
    </border>
    <border>
      <left/>
      <right style="double">
        <color indexed="64"/>
      </right>
      <top style="medium">
        <color indexed="64"/>
      </top>
      <bottom style="thin">
        <color indexed="64"/>
      </bottom>
      <diagonal/>
    </border>
    <border>
      <left/>
      <right style="double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double">
        <color indexed="64"/>
      </right>
      <top style="medium">
        <color indexed="64"/>
      </top>
      <bottom style="medium">
        <color indexed="64"/>
      </bottom>
      <diagonal/>
    </border>
    <border>
      <left/>
      <right style="double">
        <color indexed="64"/>
      </right>
      <top/>
      <bottom/>
      <diagonal/>
    </border>
    <border>
      <left style="medium">
        <color indexed="64"/>
      </left>
      <right style="double">
        <color indexed="64"/>
      </right>
      <top/>
      <bottom style="medium">
        <color indexed="64"/>
      </bottom>
      <diagonal/>
    </border>
    <border>
      <left style="double">
        <color indexed="64"/>
      </left>
      <right style="thin">
        <color indexed="64"/>
      </right>
      <top/>
      <bottom style="double">
        <color indexed="64"/>
      </bottom>
      <diagonal/>
    </border>
    <border>
      <left/>
      <right style="thin">
        <color auto="1"/>
      </right>
      <top style="thin">
        <color auto="1"/>
      </top>
      <bottom style="double">
        <color indexed="64"/>
      </bottom>
      <diagonal/>
    </border>
    <border>
      <left style="medium">
        <color indexed="64"/>
      </left>
      <right style="double">
        <color indexed="64"/>
      </right>
      <top style="medium">
        <color indexed="64"/>
      </top>
      <bottom style="double">
        <color indexed="64"/>
      </bottom>
      <diagonal/>
    </border>
    <border>
      <left/>
      <right style="thin">
        <color indexed="64"/>
      </right>
      <top style="double">
        <color indexed="64"/>
      </top>
      <bottom/>
      <diagonal/>
    </border>
    <border>
      <left/>
      <right style="medium">
        <color indexed="64"/>
      </right>
      <top style="double">
        <color indexed="64"/>
      </top>
      <bottom style="thin">
        <color indexed="64"/>
      </bottom>
      <diagonal/>
    </border>
    <border>
      <left/>
      <right style="double">
        <color indexed="64"/>
      </right>
      <top style="double">
        <color indexed="64"/>
      </top>
      <bottom/>
      <diagonal/>
    </border>
    <border>
      <left/>
      <right style="double">
        <color indexed="64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double">
        <color indexed="64"/>
      </right>
      <top style="thin">
        <color auto="1"/>
      </top>
      <bottom style="thin">
        <color auto="1"/>
      </bottom>
      <diagonal/>
    </border>
    <border>
      <left/>
      <right style="double">
        <color indexed="64"/>
      </right>
      <top style="thin">
        <color auto="1"/>
      </top>
      <bottom style="double">
        <color indexed="64"/>
      </bottom>
      <diagonal/>
    </border>
    <border>
      <left style="double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</borders>
  <cellStyleXfs count="59">
    <xf numFmtId="0" fontId="0" fillId="0" borderId="0"/>
    <xf numFmtId="9" fontId="1" fillId="0" borderId="0" applyFont="0" applyFill="0" applyBorder="0" applyAlignment="0" applyProtection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  <xf numFmtId="0" fontId="18" fillId="0" borderId="0"/>
    <xf numFmtId="0" fontId="1" fillId="0" borderId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8" fillId="0" borderId="0"/>
    <xf numFmtId="0" fontId="1" fillId="8" borderId="8" applyNumberFormat="0" applyFont="0" applyAlignment="0" applyProtection="0"/>
    <xf numFmtId="9" fontId="1" fillId="0" borderId="0" applyFont="0" applyFill="0" applyBorder="0" applyAlignment="0" applyProtection="0"/>
    <xf numFmtId="0" fontId="18" fillId="0" borderId="0"/>
    <xf numFmtId="0" fontId="1" fillId="0" borderId="0"/>
    <xf numFmtId="0" fontId="1" fillId="0" borderId="0"/>
  </cellStyleXfs>
  <cellXfs count="237">
    <xf numFmtId="0" fontId="0" fillId="0" borderId="0" xfId="0"/>
    <xf numFmtId="0" fontId="18" fillId="34" borderId="0" xfId="42" applyFill="1"/>
    <xf numFmtId="0" fontId="18" fillId="34" borderId="16" xfId="42" applyFill="1" applyBorder="1"/>
    <xf numFmtId="0" fontId="18" fillId="34" borderId="0" xfId="42" applyFill="1" applyBorder="1"/>
    <xf numFmtId="0" fontId="18" fillId="34" borderId="11" xfId="42" applyFill="1" applyBorder="1"/>
    <xf numFmtId="0" fontId="18" fillId="0" borderId="0" xfId="42"/>
    <xf numFmtId="0" fontId="18" fillId="0" borderId="10" xfId="42" applyBorder="1"/>
    <xf numFmtId="0" fontId="18" fillId="0" borderId="11" xfId="42" applyBorder="1"/>
    <xf numFmtId="0" fontId="18" fillId="0" borderId="12" xfId="42" applyBorder="1"/>
    <xf numFmtId="0" fontId="18" fillId="0" borderId="13" xfId="42" applyBorder="1"/>
    <xf numFmtId="0" fontId="18" fillId="0" borderId="0" xfId="42" applyBorder="1"/>
    <xf numFmtId="0" fontId="18" fillId="0" borderId="14" xfId="42" applyBorder="1"/>
    <xf numFmtId="0" fontId="18" fillId="0" borderId="15" xfId="42" applyBorder="1"/>
    <xf numFmtId="0" fontId="18" fillId="0" borderId="16" xfId="42" applyBorder="1"/>
    <xf numFmtId="0" fontId="18" fillId="0" borderId="17" xfId="42" applyBorder="1"/>
    <xf numFmtId="0" fontId="0" fillId="0" borderId="0" xfId="0" applyAlignment="1">
      <alignment horizontal="center"/>
    </xf>
    <xf numFmtId="0" fontId="18" fillId="0" borderId="0" xfId="51"/>
    <xf numFmtId="0" fontId="22" fillId="0" borderId="19" xfId="0" applyFont="1" applyBorder="1" applyAlignment="1">
      <alignment horizontal="center" vertical="center" textRotation="90"/>
    </xf>
    <xf numFmtId="0" fontId="22" fillId="0" borderId="0" xfId="0" applyFont="1" applyAlignment="1">
      <alignment horizontal="center" vertical="center" textRotation="90"/>
    </xf>
    <xf numFmtId="0" fontId="22" fillId="0" borderId="20" xfId="0" applyFont="1" applyBorder="1" applyAlignment="1">
      <alignment horizontal="center" vertical="center" textRotation="90"/>
    </xf>
    <xf numFmtId="0" fontId="0" fillId="0" borderId="0" xfId="0" applyAlignment="1">
      <alignment horizontal="center" vertical="center"/>
    </xf>
    <xf numFmtId="49" fontId="20" fillId="33" borderId="21" xfId="52" applyNumberFormat="1" applyFont="1" applyFill="1" applyBorder="1" applyAlignment="1">
      <alignment horizontal="center" vertical="center"/>
    </xf>
    <xf numFmtId="49" fontId="20" fillId="33" borderId="21" xfId="53" applyNumberFormat="1" applyFont="1" applyFill="1" applyBorder="1" applyAlignment="1">
      <alignment horizontal="center" vertical="center"/>
    </xf>
    <xf numFmtId="49" fontId="0" fillId="0" borderId="0" xfId="0" applyNumberFormat="1"/>
    <xf numFmtId="0" fontId="0" fillId="0" borderId="0" xfId="0" applyNumberFormat="1"/>
    <xf numFmtId="0" fontId="20" fillId="33" borderId="21" xfId="53" applyNumberFormat="1" applyFont="1" applyFill="1" applyBorder="1" applyAlignment="1">
      <alignment horizontal="center" vertical="center"/>
    </xf>
    <xf numFmtId="0" fontId="17" fillId="0" borderId="0" xfId="0" applyFont="1"/>
    <xf numFmtId="0" fontId="21" fillId="0" borderId="0" xfId="0" applyFont="1" applyAlignment="1">
      <alignment horizontal="center" textRotation="90"/>
    </xf>
    <xf numFmtId="49" fontId="19" fillId="0" borderId="0" xfId="48" applyNumberFormat="1" applyFont="1"/>
    <xf numFmtId="0" fontId="0" fillId="0" borderId="10" xfId="0" applyBorder="1"/>
    <xf numFmtId="0" fontId="0" fillId="0" borderId="11" xfId="0" applyBorder="1"/>
    <xf numFmtId="0" fontId="0" fillId="0" borderId="13" xfId="0" applyBorder="1"/>
    <xf numFmtId="0" fontId="0" fillId="0" borderId="0" xfId="0" applyBorder="1"/>
    <xf numFmtId="1" fontId="23" fillId="0" borderId="0" xfId="1" applyNumberFormat="1" applyFont="1" applyAlignment="1">
      <alignment horizontal="center" textRotation="90"/>
    </xf>
    <xf numFmtId="0" fontId="23" fillId="34" borderId="0" xfId="0" applyFont="1" applyFill="1" applyAlignment="1">
      <alignment vertical="center"/>
    </xf>
    <xf numFmtId="0" fontId="0" fillId="0" borderId="20" xfId="0" applyBorder="1"/>
    <xf numFmtId="0" fontId="0" fillId="0" borderId="23" xfId="0" applyBorder="1"/>
    <xf numFmtId="0" fontId="0" fillId="0" borderId="24" xfId="0" applyBorder="1"/>
    <xf numFmtId="0" fontId="0" fillId="0" borderId="25" xfId="0" applyBorder="1"/>
    <xf numFmtId="0" fontId="0" fillId="0" borderId="26" xfId="0" applyBorder="1" applyAlignment="1">
      <alignment horizontal="right"/>
    </xf>
    <xf numFmtId="0" fontId="0" fillId="0" borderId="23" xfId="0" applyBorder="1" applyAlignment="1">
      <alignment horizontal="right"/>
    </xf>
    <xf numFmtId="0" fontId="25" fillId="0" borderId="0" xfId="0" applyFont="1" applyAlignment="1">
      <alignment horizontal="center" vertical="center" textRotation="90"/>
    </xf>
    <xf numFmtId="0" fontId="0" fillId="0" borderId="23" xfId="0" applyBorder="1" applyAlignment="1">
      <alignment horizontal="center"/>
    </xf>
    <xf numFmtId="0" fontId="0" fillId="0" borderId="28" xfId="0" applyBorder="1"/>
    <xf numFmtId="0" fontId="18" fillId="0" borderId="0" xfId="42" applyFill="1"/>
    <xf numFmtId="1" fontId="0" fillId="0" borderId="0" xfId="0" applyNumberFormat="1" applyAlignment="1">
      <alignment horizontal="center"/>
    </xf>
    <xf numFmtId="0" fontId="23" fillId="0" borderId="0" xfId="0" applyFont="1"/>
    <xf numFmtId="0" fontId="23" fillId="0" borderId="0" xfId="0" applyFont="1" applyAlignment="1">
      <alignment horizontal="center"/>
    </xf>
    <xf numFmtId="0" fontId="18" fillId="0" borderId="0" xfId="42" applyAlignment="1">
      <alignment textRotation="90"/>
    </xf>
    <xf numFmtId="0" fontId="26" fillId="0" borderId="0" xfId="0" applyFont="1" applyAlignment="1">
      <alignment horizontal="left" wrapText="1" indent="1"/>
    </xf>
    <xf numFmtId="0" fontId="0" fillId="34" borderId="0" xfId="0" applyFill="1"/>
    <xf numFmtId="0" fontId="0" fillId="36" borderId="0" xfId="0" applyFill="1"/>
    <xf numFmtId="0" fontId="18" fillId="0" borderId="0" xfId="42" applyBorder="1" applyAlignment="1">
      <alignment textRotation="90"/>
    </xf>
    <xf numFmtId="0" fontId="0" fillId="0" borderId="12" xfId="0" applyBorder="1"/>
    <xf numFmtId="0" fontId="0" fillId="0" borderId="14" xfId="0" applyBorder="1"/>
    <xf numFmtId="0" fontId="0" fillId="0" borderId="15" xfId="0" applyBorder="1"/>
    <xf numFmtId="0" fontId="0" fillId="0" borderId="16" xfId="0" applyBorder="1"/>
    <xf numFmtId="0" fontId="0" fillId="0" borderId="17" xfId="0" applyBorder="1"/>
    <xf numFmtId="0" fontId="26" fillId="0" borderId="13" xfId="0" applyFont="1" applyBorder="1" applyAlignment="1">
      <alignment horizontal="left" wrapText="1" indent="1"/>
    </xf>
    <xf numFmtId="0" fontId="26" fillId="0" borderId="0" xfId="0" applyFont="1" applyBorder="1" applyAlignment="1">
      <alignment horizontal="left" wrapText="1" indent="1"/>
    </xf>
    <xf numFmtId="0" fontId="26" fillId="0" borderId="14" xfId="0" applyFont="1" applyBorder="1" applyAlignment="1">
      <alignment horizontal="left" wrapText="1" indent="1"/>
    </xf>
    <xf numFmtId="0" fontId="26" fillId="0" borderId="15" xfId="0" applyFont="1" applyBorder="1" applyAlignment="1">
      <alignment horizontal="left" wrapText="1" indent="1"/>
    </xf>
    <xf numFmtId="0" fontId="26" fillId="0" borderId="16" xfId="0" applyFont="1" applyBorder="1" applyAlignment="1">
      <alignment horizontal="left" wrapText="1" indent="1"/>
    </xf>
    <xf numFmtId="0" fontId="26" fillId="0" borderId="17" xfId="0" applyFont="1" applyBorder="1" applyAlignment="1">
      <alignment horizontal="left" wrapText="1" indent="1"/>
    </xf>
    <xf numFmtId="0" fontId="0" fillId="34" borderId="10" xfId="0" applyFill="1" applyBorder="1"/>
    <xf numFmtId="0" fontId="0" fillId="34" borderId="11" xfId="0" applyFill="1" applyBorder="1"/>
    <xf numFmtId="0" fontId="0" fillId="36" borderId="11" xfId="0" applyFill="1" applyBorder="1"/>
    <xf numFmtId="0" fontId="0" fillId="36" borderId="12" xfId="0" applyFill="1" applyBorder="1"/>
    <xf numFmtId="0" fontId="0" fillId="34" borderId="13" xfId="0" applyFill="1" applyBorder="1"/>
    <xf numFmtId="0" fontId="0" fillId="36" borderId="0" xfId="0" applyFill="1" applyBorder="1"/>
    <xf numFmtId="0" fontId="0" fillId="36" borderId="14" xfId="0" applyFill="1" applyBorder="1"/>
    <xf numFmtId="0" fontId="0" fillId="34" borderId="0" xfId="0" applyFill="1" applyBorder="1"/>
    <xf numFmtId="0" fontId="0" fillId="34" borderId="14" xfId="0" applyFill="1" applyBorder="1"/>
    <xf numFmtId="0" fontId="0" fillId="34" borderId="15" xfId="0" applyFill="1" applyBorder="1"/>
    <xf numFmtId="0" fontId="0" fillId="34" borderId="16" xfId="0" applyFill="1" applyBorder="1"/>
    <xf numFmtId="0" fontId="0" fillId="34" borderId="17" xfId="0" applyFill="1" applyBorder="1"/>
    <xf numFmtId="0" fontId="0" fillId="0" borderId="32" xfId="0" applyBorder="1"/>
    <xf numFmtId="0" fontId="0" fillId="0" borderId="33" xfId="0" applyBorder="1"/>
    <xf numFmtId="0" fontId="0" fillId="0" borderId="30" xfId="0" applyBorder="1"/>
    <xf numFmtId="0" fontId="0" fillId="37" borderId="0" xfId="0" applyFill="1"/>
    <xf numFmtId="0" fontId="0" fillId="37" borderId="31" xfId="0" applyFill="1" applyBorder="1"/>
    <xf numFmtId="0" fontId="0" fillId="0" borderId="34" xfId="0" applyBorder="1"/>
    <xf numFmtId="0" fontId="0" fillId="0" borderId="35" xfId="0" applyBorder="1"/>
    <xf numFmtId="0" fontId="0" fillId="0" borderId="36" xfId="0" applyBorder="1"/>
    <xf numFmtId="0" fontId="0" fillId="0" borderId="19" xfId="0" applyBorder="1"/>
    <xf numFmtId="0" fontId="0" fillId="0" borderId="37" xfId="0" applyBorder="1"/>
    <xf numFmtId="0" fontId="0" fillId="0" borderId="38" xfId="0" applyBorder="1"/>
    <xf numFmtId="0" fontId="0" fillId="0" borderId="39" xfId="0" applyBorder="1"/>
    <xf numFmtId="0" fontId="0" fillId="0" borderId="0" xfId="0" applyFill="1" applyBorder="1"/>
    <xf numFmtId="0" fontId="0" fillId="0" borderId="0" xfId="0" applyAlignment="1">
      <alignment horizontal="left"/>
    </xf>
    <xf numFmtId="0" fontId="29" fillId="0" borderId="0" xfId="0" applyFont="1"/>
    <xf numFmtId="0" fontId="23" fillId="0" borderId="27" xfId="0" applyFont="1" applyBorder="1" applyAlignment="1">
      <alignment horizontal="center"/>
    </xf>
    <xf numFmtId="1" fontId="23" fillId="0" borderId="11" xfId="1" applyNumberFormat="1" applyFont="1" applyBorder="1" applyAlignment="1">
      <alignment horizontal="center" textRotation="90"/>
    </xf>
    <xf numFmtId="1" fontId="23" fillId="0" borderId="16" xfId="1" applyNumberFormat="1" applyFont="1" applyBorder="1" applyAlignment="1">
      <alignment horizontal="center" textRotation="90"/>
    </xf>
    <xf numFmtId="49" fontId="20" fillId="33" borderId="21" xfId="53" applyNumberFormat="1" applyFont="1" applyFill="1" applyBorder="1" applyAlignment="1">
      <alignment horizontal="left" vertical="center"/>
    </xf>
    <xf numFmtId="164" fontId="29" fillId="0" borderId="0" xfId="0" applyNumberFormat="1" applyFont="1"/>
    <xf numFmtId="49" fontId="0" fillId="0" borderId="0" xfId="0" applyNumberFormat="1" applyAlignment="1">
      <alignment horizontal="center"/>
    </xf>
    <xf numFmtId="9" fontId="0" fillId="0" borderId="27" xfId="1" applyFont="1" applyBorder="1"/>
    <xf numFmtId="0" fontId="29" fillId="0" borderId="39" xfId="0" applyFont="1" applyBorder="1"/>
    <xf numFmtId="0" fontId="29" fillId="0" borderId="23" xfId="0" applyFont="1" applyBorder="1"/>
    <xf numFmtId="0" fontId="0" fillId="0" borderId="0" xfId="0" applyBorder="1" applyAlignment="1">
      <alignment horizontal="center"/>
    </xf>
    <xf numFmtId="0" fontId="29" fillId="0" borderId="0" xfId="0" applyFont="1" applyBorder="1"/>
    <xf numFmtId="164" fontId="29" fillId="0" borderId="0" xfId="0" applyNumberFormat="1" applyFont="1" applyBorder="1"/>
    <xf numFmtId="9" fontId="31" fillId="0" borderId="0" xfId="1" applyFont="1" applyFill="1" applyBorder="1"/>
    <xf numFmtId="1" fontId="20" fillId="33" borderId="21" xfId="1" applyNumberFormat="1" applyFont="1" applyFill="1" applyBorder="1" applyAlignment="1">
      <alignment horizontal="center" vertical="center"/>
    </xf>
    <xf numFmtId="1" fontId="20" fillId="33" borderId="21" xfId="52" applyNumberFormat="1" applyFont="1" applyFill="1" applyBorder="1" applyAlignment="1">
      <alignment horizontal="center" vertical="center"/>
    </xf>
    <xf numFmtId="0" fontId="20" fillId="33" borderId="21" xfId="52" applyNumberFormat="1" applyFont="1" applyFill="1" applyBorder="1" applyAlignment="1">
      <alignment horizontal="center" vertical="center"/>
    </xf>
    <xf numFmtId="0" fontId="0" fillId="0" borderId="0" xfId="0" applyFont="1" applyAlignment="1">
      <alignment horizontal="center"/>
    </xf>
    <xf numFmtId="0" fontId="0" fillId="0" borderId="0" xfId="0" applyFont="1" applyBorder="1" applyAlignment="1">
      <alignment horizontal="center"/>
    </xf>
    <xf numFmtId="0" fontId="16" fillId="0" borderId="0" xfId="0" applyFont="1" applyAlignment="1">
      <alignment horizontal="center"/>
    </xf>
    <xf numFmtId="0" fontId="16" fillId="0" borderId="0" xfId="0" applyFont="1" applyBorder="1" applyAlignment="1">
      <alignment horizontal="center"/>
    </xf>
    <xf numFmtId="0" fontId="23" fillId="0" borderId="0" xfId="0" applyFont="1" applyBorder="1" applyAlignment="1">
      <alignment horizontal="center"/>
    </xf>
    <xf numFmtId="0" fontId="0" fillId="0" borderId="0" xfId="0" applyBorder="1" applyAlignment="1">
      <alignment horizontal="left"/>
    </xf>
    <xf numFmtId="0" fontId="23" fillId="0" borderId="0" xfId="0" applyFont="1" applyBorder="1" applyAlignment="1">
      <alignment horizontal="left"/>
    </xf>
    <xf numFmtId="0" fontId="23" fillId="0" borderId="39" xfId="0" applyFont="1" applyBorder="1" applyAlignment="1">
      <alignment horizontal="left"/>
    </xf>
    <xf numFmtId="0" fontId="23" fillId="0" borderId="23" xfId="0" applyFont="1" applyBorder="1" applyAlignment="1">
      <alignment horizontal="left"/>
    </xf>
    <xf numFmtId="164" fontId="29" fillId="38" borderId="0" xfId="0" applyNumberFormat="1" applyFont="1" applyFill="1"/>
    <xf numFmtId="164" fontId="29" fillId="38" borderId="0" xfId="0" applyNumberFormat="1" applyFont="1" applyFill="1" applyBorder="1"/>
    <xf numFmtId="165" fontId="23" fillId="0" borderId="0" xfId="1" applyNumberFormat="1" applyFont="1" applyAlignment="1">
      <alignment horizontal="center" textRotation="90"/>
    </xf>
    <xf numFmtId="0" fontId="20" fillId="33" borderId="34" xfId="53" applyNumberFormat="1" applyFont="1" applyFill="1" applyBorder="1" applyAlignment="1">
      <alignment horizontal="center" vertical="center"/>
    </xf>
    <xf numFmtId="0" fontId="16" fillId="0" borderId="33" xfId="0" applyFont="1" applyBorder="1" applyAlignment="1">
      <alignment horizontal="center"/>
    </xf>
    <xf numFmtId="0" fontId="0" fillId="0" borderId="32" xfId="0" applyNumberFormat="1" applyBorder="1" applyAlignment="1">
      <alignment horizontal="left"/>
    </xf>
    <xf numFmtId="0" fontId="23" fillId="0" borderId="33" xfId="0" applyNumberFormat="1" applyFont="1" applyBorder="1" applyAlignment="1">
      <alignment horizontal="center"/>
    </xf>
    <xf numFmtId="0" fontId="0" fillId="0" borderId="30" xfId="0" applyFont="1" applyBorder="1" applyAlignment="1">
      <alignment horizontal="center"/>
    </xf>
    <xf numFmtId="0" fontId="0" fillId="0" borderId="0" xfId="0" applyFill="1"/>
    <xf numFmtId="0" fontId="0" fillId="0" borderId="0" xfId="0" applyFill="1" applyAlignment="1">
      <alignment horizontal="center"/>
    </xf>
    <xf numFmtId="0" fontId="29" fillId="0" borderId="42" xfId="0" applyFont="1" applyBorder="1"/>
    <xf numFmtId="166" fontId="30" fillId="0" borderId="42" xfId="53" applyNumberFormat="1" applyFont="1" applyFill="1" applyBorder="1" applyAlignment="1">
      <alignment horizontal="center" vertical="center"/>
    </xf>
    <xf numFmtId="0" fontId="0" fillId="0" borderId="42" xfId="0" applyBorder="1"/>
    <xf numFmtId="0" fontId="32" fillId="0" borderId="0" xfId="0" applyFont="1" applyAlignment="1">
      <alignment horizontal="center"/>
    </xf>
    <xf numFmtId="0" fontId="0" fillId="0" borderId="29" xfId="0" applyBorder="1" applyAlignment="1">
      <alignment horizontal="right"/>
    </xf>
    <xf numFmtId="0" fontId="0" fillId="0" borderId="27" xfId="0" applyBorder="1"/>
    <xf numFmtId="0" fontId="0" fillId="0" borderId="36" xfId="0" applyBorder="1" applyAlignment="1">
      <alignment horizontal="right"/>
    </xf>
    <xf numFmtId="0" fontId="0" fillId="0" borderId="39" xfId="0" applyBorder="1" applyAlignment="1">
      <alignment horizontal="right"/>
    </xf>
    <xf numFmtId="0" fontId="0" fillId="0" borderId="38" xfId="0" applyBorder="1" applyAlignment="1">
      <alignment horizontal="right"/>
    </xf>
    <xf numFmtId="0" fontId="0" fillId="0" borderId="24" xfId="0" applyBorder="1" applyAlignment="1">
      <alignment horizontal="right"/>
    </xf>
    <xf numFmtId="0" fontId="0" fillId="0" borderId="40" xfId="0" applyBorder="1" applyAlignment="1">
      <alignment horizontal="right"/>
    </xf>
    <xf numFmtId="166" fontId="20" fillId="33" borderId="41" xfId="53" applyNumberFormat="1" applyFont="1" applyFill="1" applyBorder="1" applyAlignment="1">
      <alignment horizontal="center" vertical="center"/>
    </xf>
    <xf numFmtId="0" fontId="26" fillId="34" borderId="13" xfId="0" applyFont="1" applyFill="1" applyBorder="1" applyAlignment="1">
      <alignment horizontal="left" wrapText="1" indent="1"/>
    </xf>
    <xf numFmtId="0" fontId="26" fillId="34" borderId="0" xfId="0" applyFont="1" applyFill="1" applyBorder="1" applyAlignment="1">
      <alignment horizontal="left" wrapText="1" indent="1"/>
    </xf>
    <xf numFmtId="0" fontId="20" fillId="33" borderId="21" xfId="52" applyNumberFormat="1" applyFont="1" applyFill="1" applyBorder="1" applyAlignment="1">
      <alignment horizontal="left" vertical="center"/>
    </xf>
    <xf numFmtId="9" fontId="0" fillId="0" borderId="0" xfId="1" applyFont="1" applyBorder="1"/>
    <xf numFmtId="0" fontId="26" fillId="0" borderId="13" xfId="0" applyFont="1" applyBorder="1" applyAlignment="1">
      <alignment horizontal="left" wrapText="1" indent="1"/>
    </xf>
    <xf numFmtId="0" fontId="26" fillId="0" borderId="0" xfId="0" applyFont="1" applyBorder="1" applyAlignment="1">
      <alignment horizontal="left" wrapText="1" indent="1"/>
    </xf>
    <xf numFmtId="0" fontId="26" fillId="0" borderId="14" xfId="0" applyFont="1" applyBorder="1" applyAlignment="1">
      <alignment horizontal="left" wrapText="1" indent="1"/>
    </xf>
    <xf numFmtId="0" fontId="0" fillId="0" borderId="0" xfId="0" applyAlignment="1">
      <alignment vertical="top"/>
    </xf>
    <xf numFmtId="49" fontId="0" fillId="0" borderId="0" xfId="0" applyNumberFormat="1" applyAlignment="1">
      <alignment vertical="top" wrapText="1"/>
    </xf>
    <xf numFmtId="0" fontId="16" fillId="0" borderId="0" xfId="0" applyFont="1" applyAlignment="1">
      <alignment horizontal="right"/>
    </xf>
    <xf numFmtId="0" fontId="31" fillId="0" borderId="0" xfId="0" applyFont="1" applyFill="1" applyAlignment="1">
      <alignment horizontal="center"/>
    </xf>
    <xf numFmtId="1" fontId="37" fillId="0" borderId="19" xfId="1" applyNumberFormat="1" applyFont="1" applyBorder="1" applyAlignment="1">
      <alignment horizontal="center" vertical="center" textRotation="90"/>
    </xf>
    <xf numFmtId="1" fontId="37" fillId="0" borderId="0" xfId="1" applyNumberFormat="1" applyFont="1" applyAlignment="1">
      <alignment horizontal="center" vertical="center" textRotation="90"/>
    </xf>
    <xf numFmtId="1" fontId="37" fillId="0" borderId="20" xfId="1" applyNumberFormat="1" applyFont="1" applyBorder="1" applyAlignment="1">
      <alignment horizontal="center" vertical="center" textRotation="90"/>
    </xf>
    <xf numFmtId="0" fontId="16" fillId="34" borderId="22" xfId="0" applyFont="1" applyFill="1" applyBorder="1" applyAlignment="1">
      <alignment vertical="center"/>
    </xf>
    <xf numFmtId="0" fontId="0" fillId="0" borderId="0" xfId="0" applyAlignment="1">
      <alignment vertical="center"/>
    </xf>
    <xf numFmtId="165" fontId="0" fillId="0" borderId="0" xfId="0" applyNumberFormat="1"/>
    <xf numFmtId="1" fontId="20" fillId="33" borderId="21" xfId="52" applyNumberFormat="1" applyFont="1" applyFill="1" applyBorder="1" applyAlignment="1">
      <alignment horizontal="left" vertical="center"/>
    </xf>
    <xf numFmtId="0" fontId="0" fillId="35" borderId="0" xfId="0" applyFill="1" applyAlignment="1">
      <alignment horizontal="left"/>
    </xf>
    <xf numFmtId="49" fontId="0" fillId="0" borderId="0" xfId="0" applyNumberFormat="1" applyAlignment="1">
      <alignment horizontal="left"/>
    </xf>
    <xf numFmtId="1" fontId="0" fillId="0" borderId="0" xfId="0" applyNumberFormat="1" applyAlignment="1">
      <alignment horizontal="left"/>
    </xf>
    <xf numFmtId="0" fontId="39" fillId="0" borderId="44" xfId="42" applyFont="1" applyBorder="1" applyAlignment="1">
      <alignment horizontal="center"/>
    </xf>
    <xf numFmtId="165" fontId="18" fillId="0" borderId="45" xfId="42" applyNumberFormat="1" applyBorder="1" applyAlignment="1">
      <alignment horizontal="center"/>
    </xf>
    <xf numFmtId="0" fontId="39" fillId="0" borderId="46" xfId="42" applyFont="1" applyBorder="1" applyAlignment="1">
      <alignment horizontal="center"/>
    </xf>
    <xf numFmtId="165" fontId="18" fillId="0" borderId="47" xfId="42" applyNumberFormat="1" applyBorder="1" applyAlignment="1">
      <alignment horizontal="center"/>
    </xf>
    <xf numFmtId="0" fontId="39" fillId="0" borderId="48" xfId="42" applyFont="1" applyBorder="1" applyAlignment="1">
      <alignment horizontal="center"/>
    </xf>
    <xf numFmtId="165" fontId="18" fillId="0" borderId="49" xfId="42" applyNumberFormat="1" applyBorder="1" applyAlignment="1">
      <alignment horizontal="center"/>
    </xf>
    <xf numFmtId="2" fontId="18" fillId="0" borderId="0" xfId="42" applyNumberFormat="1"/>
    <xf numFmtId="0" fontId="39" fillId="0" borderId="18" xfId="42" applyFont="1" applyBorder="1" applyAlignment="1">
      <alignment horizontal="center"/>
    </xf>
    <xf numFmtId="165" fontId="23" fillId="38" borderId="50" xfId="42" applyNumberFormat="1" applyFont="1" applyFill="1" applyBorder="1"/>
    <xf numFmtId="2" fontId="23" fillId="38" borderId="0" xfId="42" applyNumberFormat="1" applyFont="1" applyFill="1" applyBorder="1"/>
    <xf numFmtId="165" fontId="23" fillId="38" borderId="51" xfId="42" applyNumberFormat="1" applyFont="1" applyFill="1" applyBorder="1"/>
    <xf numFmtId="0" fontId="18" fillId="0" borderId="0" xfId="42" applyFont="1"/>
    <xf numFmtId="165" fontId="23" fillId="38" borderId="52" xfId="42" applyNumberFormat="1" applyFont="1" applyFill="1" applyBorder="1"/>
    <xf numFmtId="2" fontId="0" fillId="0" borderId="0" xfId="0" applyNumberFormat="1" applyBorder="1"/>
    <xf numFmtId="0" fontId="0" fillId="0" borderId="0" xfId="0" applyBorder="1" applyAlignment="1">
      <alignment horizontal="right"/>
    </xf>
    <xf numFmtId="0" fontId="0" fillId="0" borderId="0" xfId="0" applyFill="1" applyBorder="1" applyAlignment="1">
      <alignment horizontal="right"/>
    </xf>
    <xf numFmtId="0" fontId="26" fillId="0" borderId="53" xfId="0" applyFont="1" applyBorder="1" applyAlignment="1">
      <alignment horizontal="left" wrapText="1" indent="1"/>
    </xf>
    <xf numFmtId="0" fontId="26" fillId="0" borderId="22" xfId="0" applyFont="1" applyBorder="1" applyAlignment="1">
      <alignment horizontal="left" wrapText="1" indent="1"/>
    </xf>
    <xf numFmtId="0" fontId="26" fillId="0" borderId="54" xfId="0" applyFont="1" applyBorder="1" applyAlignment="1">
      <alignment horizontal="left" wrapText="1" indent="1"/>
    </xf>
    <xf numFmtId="0" fontId="42" fillId="0" borderId="0" xfId="0" applyFont="1"/>
    <xf numFmtId="49" fontId="42" fillId="0" borderId="0" xfId="0" applyNumberFormat="1" applyFont="1"/>
    <xf numFmtId="14" fontId="0" fillId="0" borderId="0" xfId="0" applyNumberFormat="1" applyAlignment="1">
      <alignment vertical="top"/>
    </xf>
    <xf numFmtId="0" fontId="23" fillId="0" borderId="24" xfId="0" applyFont="1" applyBorder="1" applyAlignment="1">
      <alignment horizontal="center"/>
    </xf>
    <xf numFmtId="0" fontId="0" fillId="0" borderId="56" xfId="0" applyBorder="1" applyAlignment="1">
      <alignment vertical="center"/>
    </xf>
    <xf numFmtId="0" fontId="0" fillId="0" borderId="60" xfId="0" applyFill="1" applyBorder="1"/>
    <xf numFmtId="0" fontId="21" fillId="0" borderId="61" xfId="0" applyFont="1" applyFill="1" applyBorder="1" applyAlignment="1">
      <alignment vertical="center"/>
    </xf>
    <xf numFmtId="0" fontId="20" fillId="33" borderId="43" xfId="52" applyNumberFormat="1" applyFont="1" applyFill="1" applyBorder="1" applyAlignment="1">
      <alignment horizontal="center" vertical="center"/>
    </xf>
    <xf numFmtId="0" fontId="23" fillId="39" borderId="0" xfId="0" applyFont="1" applyFill="1"/>
    <xf numFmtId="0" fontId="0" fillId="39" borderId="0" xfId="0" applyFill="1" applyAlignment="1">
      <alignment vertical="center"/>
    </xf>
    <xf numFmtId="0" fontId="23" fillId="39" borderId="20" xfId="0" applyFont="1" applyFill="1" applyBorder="1"/>
    <xf numFmtId="0" fontId="23" fillId="39" borderId="0" xfId="0" applyFont="1" applyFill="1" applyBorder="1"/>
    <xf numFmtId="0" fontId="0" fillId="39" borderId="0" xfId="0" applyFill="1"/>
    <xf numFmtId="0" fontId="0" fillId="0" borderId="66" xfId="0" applyBorder="1" applyAlignment="1">
      <alignment horizontal="center" vertical="center"/>
    </xf>
    <xf numFmtId="1" fontId="0" fillId="0" borderId="67" xfId="1" applyNumberFormat="1" applyFont="1" applyFill="1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23" fillId="0" borderId="69" xfId="0" applyFont="1" applyBorder="1" applyAlignment="1">
      <alignment horizontal="center"/>
    </xf>
    <xf numFmtId="0" fontId="24" fillId="0" borderId="0" xfId="0" applyFont="1" applyAlignment="1">
      <alignment horizontal="center"/>
    </xf>
    <xf numFmtId="0" fontId="0" fillId="40" borderId="0" xfId="0" applyFill="1" applyBorder="1"/>
    <xf numFmtId="0" fontId="0" fillId="40" borderId="0" xfId="0" applyFill="1"/>
    <xf numFmtId="1" fontId="43" fillId="0" borderId="0" xfId="52" applyNumberFormat="1" applyFont="1" applyFill="1" applyBorder="1" applyAlignment="1">
      <alignment horizontal="left" vertical="center"/>
    </xf>
    <xf numFmtId="1" fontId="45" fillId="0" borderId="0" xfId="52" applyNumberFormat="1" applyFont="1" applyFill="1" applyBorder="1" applyAlignment="1">
      <alignment horizontal="left" vertical="center"/>
    </xf>
    <xf numFmtId="0" fontId="44" fillId="0" borderId="0" xfId="52" applyNumberFormat="1" applyFont="1" applyFill="1" applyBorder="1" applyAlignment="1">
      <alignment horizontal="center" vertical="center"/>
    </xf>
    <xf numFmtId="49" fontId="42" fillId="0" borderId="0" xfId="0" applyNumberFormat="1" applyFont="1" applyAlignment="1">
      <alignment horizontal="center"/>
    </xf>
    <xf numFmtId="0" fontId="0" fillId="0" borderId="0" xfId="0" applyAlignment="1">
      <alignment horizontal="center" textRotation="90"/>
    </xf>
    <xf numFmtId="0" fontId="18" fillId="34" borderId="0" xfId="42" applyFill="1" applyAlignment="1">
      <alignment horizontal="center" textRotation="90"/>
    </xf>
    <xf numFmtId="1" fontId="46" fillId="0" borderId="0" xfId="52" applyNumberFormat="1" applyFont="1" applyFill="1" applyBorder="1" applyAlignment="1">
      <alignment horizontal="left" vertical="center"/>
    </xf>
    <xf numFmtId="0" fontId="0" fillId="41" borderId="0" xfId="0" applyFill="1"/>
    <xf numFmtId="0" fontId="0" fillId="41" borderId="0" xfId="0" applyFill="1" applyAlignment="1">
      <alignment horizontal="center"/>
    </xf>
    <xf numFmtId="0" fontId="21" fillId="40" borderId="72" xfId="0" applyFont="1" applyFill="1" applyBorder="1" applyAlignment="1">
      <alignment horizontal="center" vertical="center"/>
    </xf>
    <xf numFmtId="0" fontId="21" fillId="40" borderId="55" xfId="0" applyFont="1" applyFill="1" applyBorder="1" applyAlignment="1">
      <alignment horizontal="center" vertical="center"/>
    </xf>
    <xf numFmtId="0" fontId="0" fillId="40" borderId="68" xfId="0" applyFill="1" applyBorder="1" applyAlignment="1">
      <alignment horizontal="center" vertical="center"/>
    </xf>
    <xf numFmtId="0" fontId="23" fillId="40" borderId="57" xfId="0" applyFont="1" applyFill="1" applyBorder="1" applyAlignment="1">
      <alignment horizontal="center"/>
    </xf>
    <xf numFmtId="0" fontId="23" fillId="40" borderId="27" xfId="0" applyFont="1" applyFill="1" applyBorder="1" applyAlignment="1">
      <alignment horizontal="center"/>
    </xf>
    <xf numFmtId="0" fontId="23" fillId="40" borderId="69" xfId="0" applyFont="1" applyFill="1" applyBorder="1" applyAlignment="1">
      <alignment horizontal="center"/>
    </xf>
    <xf numFmtId="0" fontId="0" fillId="40" borderId="57" xfId="0" applyFill="1" applyBorder="1" applyAlignment="1">
      <alignment horizontal="center"/>
    </xf>
    <xf numFmtId="0" fontId="0" fillId="40" borderId="27" xfId="0" applyFill="1" applyBorder="1" applyAlignment="1">
      <alignment horizontal="center"/>
    </xf>
    <xf numFmtId="0" fontId="0" fillId="40" borderId="70" xfId="0" applyFill="1" applyBorder="1" applyAlignment="1">
      <alignment horizontal="center"/>
    </xf>
    <xf numFmtId="0" fontId="0" fillId="40" borderId="63" xfId="0" applyFill="1" applyBorder="1" applyAlignment="1">
      <alignment horizontal="center"/>
    </xf>
    <xf numFmtId="0" fontId="23" fillId="40" borderId="64" xfId="0" applyFont="1" applyFill="1" applyBorder="1" applyAlignment="1">
      <alignment horizontal="center"/>
    </xf>
    <xf numFmtId="0" fontId="23" fillId="40" borderId="71" xfId="0" applyFont="1" applyFill="1" applyBorder="1" applyAlignment="1">
      <alignment horizontal="center"/>
    </xf>
    <xf numFmtId="0" fontId="23" fillId="37" borderId="58" xfId="0" applyFont="1" applyFill="1" applyBorder="1"/>
    <xf numFmtId="0" fontId="23" fillId="37" borderId="59" xfId="0" applyFont="1" applyFill="1" applyBorder="1"/>
    <xf numFmtId="0" fontId="0" fillId="37" borderId="59" xfId="0" applyFill="1" applyBorder="1"/>
    <xf numFmtId="0" fontId="0" fillId="37" borderId="60" xfId="0" applyFill="1" applyBorder="1"/>
    <xf numFmtId="0" fontId="0" fillId="37" borderId="62" xfId="0" applyNumberFormat="1" applyFill="1" applyBorder="1"/>
    <xf numFmtId="0" fontId="23" fillId="37" borderId="69" xfId="0" applyFont="1" applyFill="1" applyBorder="1" applyAlignment="1">
      <alignment horizontal="center"/>
    </xf>
    <xf numFmtId="0" fontId="0" fillId="37" borderId="65" xfId="0" applyFill="1" applyBorder="1"/>
    <xf numFmtId="167" fontId="0" fillId="0" borderId="0" xfId="0" applyNumberFormat="1"/>
    <xf numFmtId="168" fontId="0" fillId="0" borderId="0" xfId="0" applyNumberFormat="1"/>
    <xf numFmtId="0" fontId="47" fillId="0" borderId="0" xfId="0" applyFont="1"/>
    <xf numFmtId="0" fontId="47" fillId="0" borderId="0" xfId="0" applyFont="1" applyBorder="1"/>
    <xf numFmtId="14" fontId="0" fillId="0" borderId="0" xfId="0" applyNumberFormat="1" applyAlignment="1">
      <alignment horizontal="center" vertical="top"/>
    </xf>
    <xf numFmtId="0" fontId="26" fillId="0" borderId="10" xfId="0" applyFont="1" applyBorder="1" applyAlignment="1">
      <alignment horizontal="left" wrapText="1" indent="1"/>
    </xf>
    <xf numFmtId="0" fontId="26" fillId="0" borderId="11" xfId="0" applyFont="1" applyBorder="1" applyAlignment="1">
      <alignment horizontal="left" wrapText="1" indent="1"/>
    </xf>
    <xf numFmtId="0" fontId="26" fillId="0" borderId="12" xfId="0" applyFont="1" applyBorder="1" applyAlignment="1">
      <alignment horizontal="left" wrapText="1" indent="1"/>
    </xf>
    <xf numFmtId="0" fontId="26" fillId="0" borderId="13" xfId="0" applyFont="1" applyBorder="1" applyAlignment="1">
      <alignment horizontal="left" wrapText="1" indent="1"/>
    </xf>
    <xf numFmtId="0" fontId="26" fillId="0" borderId="0" xfId="0" applyFont="1" applyBorder="1" applyAlignment="1">
      <alignment horizontal="left" wrapText="1" indent="1"/>
    </xf>
    <xf numFmtId="0" fontId="26" fillId="0" borderId="14" xfId="0" applyFont="1" applyBorder="1" applyAlignment="1">
      <alignment horizontal="left" wrapText="1" indent="1"/>
    </xf>
  </cellXfs>
  <cellStyles count="59">
    <cellStyle name="20 % - Akzent1" xfId="19" builtinId="30" customBuiltin="1"/>
    <cellStyle name="20 % - Akzent2" xfId="23" builtinId="34" customBuiltin="1"/>
    <cellStyle name="20 % - Akzent3" xfId="27" builtinId="38" customBuiltin="1"/>
    <cellStyle name="20 % - Akzent4" xfId="31" builtinId="42" customBuiltin="1"/>
    <cellStyle name="20 % - Akzent5" xfId="35" builtinId="46" customBuiltin="1"/>
    <cellStyle name="20 % - Akzent6" xfId="39" builtinId="50" customBuiltin="1"/>
    <cellStyle name="40 % - Akzent1" xfId="20" builtinId="31" customBuiltin="1"/>
    <cellStyle name="40 % - Akzent2" xfId="24" builtinId="35" customBuiltin="1"/>
    <cellStyle name="40 % - Akzent3" xfId="28" builtinId="39" customBuiltin="1"/>
    <cellStyle name="40 % - Akzent4" xfId="32" builtinId="43" customBuiltin="1"/>
    <cellStyle name="40 % - Akzent5" xfId="36" builtinId="47" customBuiltin="1"/>
    <cellStyle name="40 % - Akzent6" xfId="40" builtinId="51" customBuiltin="1"/>
    <cellStyle name="60 % - Akzent1" xfId="21" builtinId="32" customBuiltin="1"/>
    <cellStyle name="60 % - Akzent2" xfId="25" builtinId="36" customBuiltin="1"/>
    <cellStyle name="60 % - Akzent3" xfId="29" builtinId="40" customBuiltin="1"/>
    <cellStyle name="60 % - Akzent4" xfId="33" builtinId="44" customBuiltin="1"/>
    <cellStyle name="60 % - Akzent5" xfId="37" builtinId="48" customBuiltin="1"/>
    <cellStyle name="60 % - Akzent6" xfId="41" builtinId="52" customBuiltin="1"/>
    <cellStyle name="Akzent1" xfId="18" builtinId="29" customBuiltin="1"/>
    <cellStyle name="Akzent2" xfId="22" builtinId="33" customBuiltin="1"/>
    <cellStyle name="Akzent3" xfId="26" builtinId="37" customBuiltin="1"/>
    <cellStyle name="Akzent4" xfId="30" builtinId="41" customBuiltin="1"/>
    <cellStyle name="Akzent5" xfId="34" builtinId="45" customBuiltin="1"/>
    <cellStyle name="Akzent6" xfId="38" builtinId="49" customBuiltin="1"/>
    <cellStyle name="Ausgabe" xfId="11" builtinId="21" customBuiltin="1"/>
    <cellStyle name="Berechnung" xfId="12" builtinId="22" customBuiltin="1"/>
    <cellStyle name="Eingabe" xfId="10" builtinId="20" customBuiltin="1"/>
    <cellStyle name="Ergebnis" xfId="17" builtinId="25" customBuiltin="1"/>
    <cellStyle name="Erklärender Text" xfId="16" builtinId="53" customBuiltin="1"/>
    <cellStyle name="Gut" xfId="7" builtinId="26" customBuiltin="1"/>
    <cellStyle name="Neutral" xfId="9" builtinId="28" customBuiltin="1"/>
    <cellStyle name="Notiz 2" xfId="45"/>
    <cellStyle name="Notiz 3" xfId="54"/>
    <cellStyle name="Prozent" xfId="1" builtinId="5"/>
    <cellStyle name="Prozent 2" xfId="55"/>
    <cellStyle name="Schlecht" xfId="8" builtinId="27" customBuiltin="1"/>
    <cellStyle name="Standard" xfId="0" builtinId="0"/>
    <cellStyle name="Standard 2" xfId="42"/>
    <cellStyle name="Standard 2 2" xfId="47"/>
    <cellStyle name="Standard 2 3" xfId="43"/>
    <cellStyle name="Standard 2 4" xfId="44"/>
    <cellStyle name="Standard 2 5" xfId="49"/>
    <cellStyle name="Standard 2 6" xfId="46"/>
    <cellStyle name="Standard 2 7" xfId="50"/>
    <cellStyle name="Standard 3" xfId="48"/>
    <cellStyle name="Standard 30" xfId="56"/>
    <cellStyle name="Standard 4" xfId="51"/>
    <cellStyle name="Standard 5" xfId="52"/>
    <cellStyle name="Standard 6" xfId="53"/>
    <cellStyle name="Standard 7" xfId="57"/>
    <cellStyle name="Standard 8" xfId="58"/>
    <cellStyle name="Überschrift" xfId="2" builtinId="15" customBuiltin="1"/>
    <cellStyle name="Überschrift 1" xfId="3" builtinId="16" customBuiltin="1"/>
    <cellStyle name="Überschrift 2" xfId="4" builtinId="17" customBuiltin="1"/>
    <cellStyle name="Überschrift 3" xfId="5" builtinId="18" customBuiltin="1"/>
    <cellStyle name="Überschrift 4" xfId="6" builtinId="19" customBuiltin="1"/>
    <cellStyle name="Verknüpfte Zelle" xfId="13" builtinId="24" customBuiltin="1"/>
    <cellStyle name="Warnender Text" xfId="15" builtinId="11" customBuiltin="1"/>
    <cellStyle name="Zelle überprüfen" xfId="14" builtinId="23" customBuiltin="1"/>
  </cellStyles>
  <dxfs count="33">
    <dxf>
      <font>
        <color theme="0" tint="-0.24994659260841701"/>
      </font>
    </dxf>
    <dxf>
      <font>
        <b/>
        <i val="0"/>
        <color rgb="FFFFFF01"/>
      </font>
      <fill>
        <patternFill patternType="none">
          <bgColor auto="1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rgb="FF00B0F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9" tint="0.39994506668294322"/>
        </patternFill>
      </fill>
    </dxf>
    <dxf>
      <font>
        <color rgb="FFFFFF00"/>
      </font>
      <fill>
        <patternFill patternType="solid">
          <bgColor theme="5" tint="0.59996337778862885"/>
        </patternFill>
      </fill>
    </dxf>
    <dxf>
      <fill>
        <patternFill>
          <bgColor rgb="FFFDA69D"/>
        </patternFill>
      </fill>
    </dxf>
    <dxf>
      <fill>
        <patternFill>
          <bgColor rgb="FFFB7F75"/>
        </patternFill>
      </fill>
    </dxf>
    <dxf>
      <fill>
        <patternFill>
          <bgColor theme="8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rgb="FF00B0F0"/>
        </patternFill>
      </fill>
    </dxf>
    <dxf>
      <font>
        <color theme="0" tint="-0.24994659260841701"/>
      </font>
    </dxf>
    <dxf>
      <font>
        <b/>
        <i val="0"/>
        <color rgb="FFFFFF01"/>
      </font>
      <fill>
        <patternFill patternType="none">
          <bgColor auto="1"/>
        </patternFill>
      </fill>
    </dxf>
    <dxf>
      <font>
        <color theme="5" tint="0.59996337778862885"/>
      </font>
      <fill>
        <patternFill>
          <bgColor theme="5" tint="0.59996337778862885"/>
        </patternFill>
      </fill>
    </dxf>
    <dxf>
      <font>
        <color theme="0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theme="3" tint="0.59996337778862885"/>
        </patternFill>
      </fill>
    </dxf>
    <dxf>
      <fill>
        <patternFill>
          <bgColor rgb="FFFDA69D"/>
        </patternFill>
      </fill>
    </dxf>
    <dxf>
      <fill>
        <patternFill>
          <bgColor rgb="FFFB7F75"/>
        </patternFill>
      </fill>
    </dxf>
    <dxf>
      <fill>
        <patternFill>
          <bgColor theme="8" tint="0.59996337778862885"/>
        </patternFill>
      </fill>
    </dxf>
    <dxf>
      <font>
        <color theme="0"/>
      </font>
      <fill>
        <patternFill>
          <bgColor theme="1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</dxfs>
  <tableStyles count="0" defaultTableStyle="TableStyleMedium9" defaultPivotStyle="PivotStyleLight16"/>
  <colors>
    <mruColors>
      <color rgb="FFFF3737"/>
      <color rgb="FFAFFFAF"/>
      <color rgb="FF0000DE"/>
      <color rgb="FFB7FFB7"/>
      <color rgb="FF5D5DFF"/>
      <color rgb="FF79FF79"/>
      <color rgb="FF00EB00"/>
      <color rgb="FFFF5B5B"/>
      <color rgb="FF00FFF0"/>
      <color rgb="FFBE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>
                <a:latin typeface="Bodoni MT Black" pitchFamily="18" charset="0"/>
              </a:rPr>
              <a:t>∆G  to  I</a:t>
            </a:r>
          </a:p>
        </c:rich>
      </c:tx>
      <c:layout>
        <c:manualLayout>
          <c:xMode val="edge"/>
          <c:yMode val="edge"/>
          <c:x val="0.52875773782994107"/>
          <c:y val="0.17011509924895737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3.89618124657495E-2"/>
          <c:y val="3.3463738085370932E-2"/>
          <c:w val="0.93300308615269245"/>
          <c:h val="0.87783378836439463"/>
        </c:manualLayout>
      </c:layout>
      <c:scatterChart>
        <c:scatterStyle val="smoothMarker"/>
        <c:varyColors val="0"/>
        <c:ser>
          <c:idx val="0"/>
          <c:order val="0"/>
          <c:tx>
            <c:strRef>
              <c:f>I2G!$D$22</c:f>
              <c:strCache>
                <c:ptCount val="1"/>
                <c:pt idx="0">
                  <c:v>I</c:v>
                </c:pt>
              </c:strCache>
            </c:strRef>
          </c:tx>
          <c:xVal>
            <c:numRef>
              <c:f>I2G!$C$23:$C$273</c:f>
              <c:numCache>
                <c:formatCode>0.0</c:formatCode>
                <c:ptCount val="251"/>
                <c:pt idx="0">
                  <c:v>-10</c:v>
                </c:pt>
                <c:pt idx="1">
                  <c:v>-9.9</c:v>
                </c:pt>
                <c:pt idx="2">
                  <c:v>-9.8000000000000007</c:v>
                </c:pt>
                <c:pt idx="3">
                  <c:v>-9.7000000000000011</c:v>
                </c:pt>
                <c:pt idx="4">
                  <c:v>-9.6000000000000014</c:v>
                </c:pt>
                <c:pt idx="5">
                  <c:v>-9.5000000000000018</c:v>
                </c:pt>
                <c:pt idx="6">
                  <c:v>-9.4000000000000021</c:v>
                </c:pt>
                <c:pt idx="7">
                  <c:v>-9.3000000000000025</c:v>
                </c:pt>
                <c:pt idx="8">
                  <c:v>-9.2000000000000028</c:v>
                </c:pt>
                <c:pt idx="9">
                  <c:v>-9.1000000000000032</c:v>
                </c:pt>
                <c:pt idx="10">
                  <c:v>-9.0000000000000036</c:v>
                </c:pt>
                <c:pt idx="11">
                  <c:v>-8.9000000000000039</c:v>
                </c:pt>
                <c:pt idx="12">
                  <c:v>-8.8000000000000043</c:v>
                </c:pt>
                <c:pt idx="13">
                  <c:v>-8.7000000000000046</c:v>
                </c:pt>
                <c:pt idx="14">
                  <c:v>-8.600000000000005</c:v>
                </c:pt>
                <c:pt idx="15">
                  <c:v>-8.5000000000000053</c:v>
                </c:pt>
                <c:pt idx="16">
                  <c:v>-8.4000000000000057</c:v>
                </c:pt>
                <c:pt idx="17">
                  <c:v>-8.300000000000006</c:v>
                </c:pt>
                <c:pt idx="18">
                  <c:v>-8.2000000000000064</c:v>
                </c:pt>
                <c:pt idx="19">
                  <c:v>-8.1000000000000068</c:v>
                </c:pt>
                <c:pt idx="20">
                  <c:v>-8.0000000000000071</c:v>
                </c:pt>
                <c:pt idx="21">
                  <c:v>-7.9000000000000075</c:v>
                </c:pt>
                <c:pt idx="22">
                  <c:v>-7.8000000000000078</c:v>
                </c:pt>
                <c:pt idx="23">
                  <c:v>-7.7000000000000082</c:v>
                </c:pt>
                <c:pt idx="24">
                  <c:v>-7.6000000000000085</c:v>
                </c:pt>
                <c:pt idx="25">
                  <c:v>-7.5000000000000089</c:v>
                </c:pt>
                <c:pt idx="26">
                  <c:v>-7.4000000000000092</c:v>
                </c:pt>
                <c:pt idx="27">
                  <c:v>-7.3000000000000096</c:v>
                </c:pt>
                <c:pt idx="28">
                  <c:v>-7.2000000000000099</c:v>
                </c:pt>
                <c:pt idx="29">
                  <c:v>-7.1000000000000103</c:v>
                </c:pt>
                <c:pt idx="30">
                  <c:v>-7.0000000000000107</c:v>
                </c:pt>
                <c:pt idx="31">
                  <c:v>-6.900000000000011</c:v>
                </c:pt>
                <c:pt idx="32">
                  <c:v>-6.8000000000000114</c:v>
                </c:pt>
                <c:pt idx="33">
                  <c:v>-6.7000000000000117</c:v>
                </c:pt>
                <c:pt idx="34">
                  <c:v>-6.6000000000000121</c:v>
                </c:pt>
                <c:pt idx="35">
                  <c:v>-6.5000000000000124</c:v>
                </c:pt>
                <c:pt idx="36">
                  <c:v>-6.4000000000000128</c:v>
                </c:pt>
                <c:pt idx="37">
                  <c:v>-6.3000000000000131</c:v>
                </c:pt>
                <c:pt idx="38">
                  <c:v>-6.2000000000000135</c:v>
                </c:pt>
                <c:pt idx="39">
                  <c:v>-6.1000000000000139</c:v>
                </c:pt>
                <c:pt idx="40">
                  <c:v>-6.0000000000000142</c:v>
                </c:pt>
                <c:pt idx="41">
                  <c:v>-5.9000000000000146</c:v>
                </c:pt>
                <c:pt idx="42">
                  <c:v>-5.8000000000000149</c:v>
                </c:pt>
                <c:pt idx="43">
                  <c:v>-5.7000000000000153</c:v>
                </c:pt>
                <c:pt idx="44">
                  <c:v>-5.6000000000000156</c:v>
                </c:pt>
                <c:pt idx="45">
                  <c:v>-5.500000000000016</c:v>
                </c:pt>
                <c:pt idx="46">
                  <c:v>-5.4000000000000163</c:v>
                </c:pt>
                <c:pt idx="47">
                  <c:v>-5.3000000000000167</c:v>
                </c:pt>
                <c:pt idx="48">
                  <c:v>-5.2000000000000171</c:v>
                </c:pt>
                <c:pt idx="49">
                  <c:v>-5.1000000000000174</c:v>
                </c:pt>
                <c:pt idx="50">
                  <c:v>-5.0000000000000178</c:v>
                </c:pt>
                <c:pt idx="51">
                  <c:v>-4.9000000000000181</c:v>
                </c:pt>
                <c:pt idx="52">
                  <c:v>-4.8000000000000185</c:v>
                </c:pt>
                <c:pt idx="53">
                  <c:v>-4.7000000000000188</c:v>
                </c:pt>
                <c:pt idx="54">
                  <c:v>-4.6000000000000192</c:v>
                </c:pt>
                <c:pt idx="55">
                  <c:v>-4.5000000000000195</c:v>
                </c:pt>
                <c:pt idx="56">
                  <c:v>-4.4000000000000199</c:v>
                </c:pt>
                <c:pt idx="57">
                  <c:v>-4.3000000000000203</c:v>
                </c:pt>
                <c:pt idx="58">
                  <c:v>-4.2000000000000206</c:v>
                </c:pt>
                <c:pt idx="59">
                  <c:v>-4.100000000000021</c:v>
                </c:pt>
                <c:pt idx="60">
                  <c:v>-4.0000000000000213</c:v>
                </c:pt>
                <c:pt idx="61">
                  <c:v>-3.9000000000000212</c:v>
                </c:pt>
                <c:pt idx="62">
                  <c:v>-3.8000000000000211</c:v>
                </c:pt>
                <c:pt idx="63">
                  <c:v>-3.700000000000021</c:v>
                </c:pt>
                <c:pt idx="64">
                  <c:v>-3.600000000000021</c:v>
                </c:pt>
                <c:pt idx="65">
                  <c:v>-3.5000000000000209</c:v>
                </c:pt>
                <c:pt idx="66">
                  <c:v>-3.4000000000000208</c:v>
                </c:pt>
                <c:pt idx="67">
                  <c:v>-3.3000000000000207</c:v>
                </c:pt>
                <c:pt idx="68">
                  <c:v>-3.2000000000000206</c:v>
                </c:pt>
                <c:pt idx="69">
                  <c:v>-3.1000000000000205</c:v>
                </c:pt>
                <c:pt idx="70">
                  <c:v>-3.0000000000000204</c:v>
                </c:pt>
                <c:pt idx="71">
                  <c:v>-2.9000000000000203</c:v>
                </c:pt>
                <c:pt idx="72">
                  <c:v>-2.8000000000000203</c:v>
                </c:pt>
                <c:pt idx="73">
                  <c:v>-2.7000000000000202</c:v>
                </c:pt>
                <c:pt idx="74">
                  <c:v>-2.6000000000000201</c:v>
                </c:pt>
                <c:pt idx="75">
                  <c:v>-2.50000000000002</c:v>
                </c:pt>
                <c:pt idx="76">
                  <c:v>-2.4000000000000199</c:v>
                </c:pt>
                <c:pt idx="77">
                  <c:v>-2.3000000000000198</c:v>
                </c:pt>
                <c:pt idx="78">
                  <c:v>-2.2000000000000197</c:v>
                </c:pt>
                <c:pt idx="79">
                  <c:v>-2.1000000000000196</c:v>
                </c:pt>
                <c:pt idx="80">
                  <c:v>-2.0000000000000195</c:v>
                </c:pt>
                <c:pt idx="81">
                  <c:v>-1.9000000000000195</c:v>
                </c:pt>
                <c:pt idx="82">
                  <c:v>-1.8000000000000194</c:v>
                </c:pt>
                <c:pt idx="83">
                  <c:v>-1.7000000000000193</c:v>
                </c:pt>
                <c:pt idx="84">
                  <c:v>-1.6000000000000192</c:v>
                </c:pt>
                <c:pt idx="85">
                  <c:v>-1.5000000000000191</c:v>
                </c:pt>
                <c:pt idx="86">
                  <c:v>-1.400000000000019</c:v>
                </c:pt>
                <c:pt idx="87">
                  <c:v>-1.3000000000000189</c:v>
                </c:pt>
                <c:pt idx="88">
                  <c:v>-1.2000000000000188</c:v>
                </c:pt>
                <c:pt idx="89">
                  <c:v>-1.1000000000000187</c:v>
                </c:pt>
                <c:pt idx="90">
                  <c:v>-1.0000000000000187</c:v>
                </c:pt>
                <c:pt idx="91">
                  <c:v>-0.90000000000001867</c:v>
                </c:pt>
                <c:pt idx="92">
                  <c:v>-0.8000000000000187</c:v>
                </c:pt>
                <c:pt idx="93">
                  <c:v>-0.70000000000001872</c:v>
                </c:pt>
                <c:pt idx="94">
                  <c:v>-0.60000000000001874</c:v>
                </c:pt>
                <c:pt idx="95">
                  <c:v>-0.50000000000001876</c:v>
                </c:pt>
                <c:pt idx="96">
                  <c:v>-0.40000000000001878</c:v>
                </c:pt>
                <c:pt idx="97">
                  <c:v>-0.30000000000001881</c:v>
                </c:pt>
                <c:pt idx="98">
                  <c:v>-0.2000000000000188</c:v>
                </c:pt>
                <c:pt idx="99">
                  <c:v>-0.1000000000000188</c:v>
                </c:pt>
                <c:pt idx="100">
                  <c:v>-1.8790524691780774E-14</c:v>
                </c:pt>
                <c:pt idx="101">
                  <c:v>9.9999999999981215E-2</c:v>
                </c:pt>
                <c:pt idx="102">
                  <c:v>0.19999999999998122</c:v>
                </c:pt>
                <c:pt idx="103">
                  <c:v>0.29999999999998123</c:v>
                </c:pt>
                <c:pt idx="104">
                  <c:v>0.39999999999998126</c:v>
                </c:pt>
                <c:pt idx="105">
                  <c:v>0.49999999999998124</c:v>
                </c:pt>
                <c:pt idx="106">
                  <c:v>0.59999999999998122</c:v>
                </c:pt>
                <c:pt idx="107">
                  <c:v>0.69999999999998119</c:v>
                </c:pt>
                <c:pt idx="108">
                  <c:v>0.79999999999998117</c:v>
                </c:pt>
                <c:pt idx="109">
                  <c:v>0.89999999999998115</c:v>
                </c:pt>
                <c:pt idx="110">
                  <c:v>0.99999999999998113</c:v>
                </c:pt>
                <c:pt idx="111">
                  <c:v>1.0999999999999812</c:v>
                </c:pt>
                <c:pt idx="112">
                  <c:v>1.1999999999999813</c:v>
                </c:pt>
                <c:pt idx="113">
                  <c:v>1.2999999999999814</c:v>
                </c:pt>
                <c:pt idx="114">
                  <c:v>1.3999999999999815</c:v>
                </c:pt>
                <c:pt idx="115">
                  <c:v>1.4999999999999816</c:v>
                </c:pt>
                <c:pt idx="116">
                  <c:v>1.5999999999999817</c:v>
                </c:pt>
                <c:pt idx="117">
                  <c:v>1.6999999999999817</c:v>
                </c:pt>
                <c:pt idx="118">
                  <c:v>1.7999999999999818</c:v>
                </c:pt>
                <c:pt idx="119">
                  <c:v>1.8999999999999819</c:v>
                </c:pt>
                <c:pt idx="120">
                  <c:v>1.999999999999982</c:v>
                </c:pt>
                <c:pt idx="121">
                  <c:v>2.0999999999999819</c:v>
                </c:pt>
                <c:pt idx="122">
                  <c:v>2.199999999999982</c:v>
                </c:pt>
                <c:pt idx="123">
                  <c:v>2.2999999999999821</c:v>
                </c:pt>
                <c:pt idx="124">
                  <c:v>2.3999999999999821</c:v>
                </c:pt>
                <c:pt idx="125">
                  <c:v>2.4999999999999822</c:v>
                </c:pt>
                <c:pt idx="126">
                  <c:v>2.5999999999999823</c:v>
                </c:pt>
                <c:pt idx="127">
                  <c:v>2.6999999999999824</c:v>
                </c:pt>
                <c:pt idx="128">
                  <c:v>2.7999999999999825</c:v>
                </c:pt>
                <c:pt idx="129">
                  <c:v>2.8999999999999826</c:v>
                </c:pt>
                <c:pt idx="130">
                  <c:v>2.9999999999999827</c:v>
                </c:pt>
                <c:pt idx="131">
                  <c:v>3.0999999999999828</c:v>
                </c:pt>
                <c:pt idx="132">
                  <c:v>3.1999999999999829</c:v>
                </c:pt>
                <c:pt idx="133">
                  <c:v>3.2999999999999829</c:v>
                </c:pt>
                <c:pt idx="134">
                  <c:v>3.399999999999983</c:v>
                </c:pt>
                <c:pt idx="135">
                  <c:v>3.4999999999999831</c:v>
                </c:pt>
                <c:pt idx="136">
                  <c:v>3.5999999999999832</c:v>
                </c:pt>
                <c:pt idx="137">
                  <c:v>3.6999999999999833</c:v>
                </c:pt>
                <c:pt idx="138">
                  <c:v>3.7999999999999834</c:v>
                </c:pt>
                <c:pt idx="139">
                  <c:v>3.8999999999999835</c:v>
                </c:pt>
                <c:pt idx="140">
                  <c:v>3.9999999999999836</c:v>
                </c:pt>
                <c:pt idx="141">
                  <c:v>4.0999999999999837</c:v>
                </c:pt>
                <c:pt idx="142">
                  <c:v>4.1999999999999833</c:v>
                </c:pt>
                <c:pt idx="143">
                  <c:v>4.2999999999999829</c:v>
                </c:pt>
                <c:pt idx="144">
                  <c:v>4.3999999999999826</c:v>
                </c:pt>
                <c:pt idx="145">
                  <c:v>4.4999999999999822</c:v>
                </c:pt>
                <c:pt idx="146">
                  <c:v>4.5999999999999819</c:v>
                </c:pt>
                <c:pt idx="147">
                  <c:v>4.6999999999999815</c:v>
                </c:pt>
                <c:pt idx="148">
                  <c:v>4.7999999999999812</c:v>
                </c:pt>
                <c:pt idx="149">
                  <c:v>4.8999999999999808</c:v>
                </c:pt>
                <c:pt idx="150">
                  <c:v>4.9999999999999805</c:v>
                </c:pt>
                <c:pt idx="151">
                  <c:v>5.0999999999999801</c:v>
                </c:pt>
                <c:pt idx="152">
                  <c:v>5.1999999999999797</c:v>
                </c:pt>
                <c:pt idx="153">
                  <c:v>5.2999999999999794</c:v>
                </c:pt>
                <c:pt idx="154">
                  <c:v>5.399999999999979</c:v>
                </c:pt>
                <c:pt idx="155">
                  <c:v>5.4999999999999787</c:v>
                </c:pt>
                <c:pt idx="156">
                  <c:v>5.5999999999999783</c:v>
                </c:pt>
                <c:pt idx="157">
                  <c:v>5.699999999999978</c:v>
                </c:pt>
                <c:pt idx="158">
                  <c:v>5.7999999999999776</c:v>
                </c:pt>
                <c:pt idx="159">
                  <c:v>5.8999999999999773</c:v>
                </c:pt>
                <c:pt idx="160">
                  <c:v>5.9999999999999769</c:v>
                </c:pt>
                <c:pt idx="161">
                  <c:v>6.0999999999999766</c:v>
                </c:pt>
                <c:pt idx="162">
                  <c:v>6.1999999999999762</c:v>
                </c:pt>
                <c:pt idx="163">
                  <c:v>6.2999999999999758</c:v>
                </c:pt>
                <c:pt idx="164">
                  <c:v>6.3999999999999755</c:v>
                </c:pt>
                <c:pt idx="165">
                  <c:v>6.4999999999999751</c:v>
                </c:pt>
                <c:pt idx="166">
                  <c:v>6.5999999999999748</c:v>
                </c:pt>
                <c:pt idx="167">
                  <c:v>6.6999999999999744</c:v>
                </c:pt>
                <c:pt idx="168">
                  <c:v>6.7999999999999741</c:v>
                </c:pt>
                <c:pt idx="169">
                  <c:v>6.8999999999999737</c:v>
                </c:pt>
                <c:pt idx="170">
                  <c:v>6.9999999999999734</c:v>
                </c:pt>
                <c:pt idx="171">
                  <c:v>7.099999999999973</c:v>
                </c:pt>
                <c:pt idx="172">
                  <c:v>7.1999999999999726</c:v>
                </c:pt>
                <c:pt idx="173">
                  <c:v>7.2999999999999723</c:v>
                </c:pt>
                <c:pt idx="174">
                  <c:v>7.3999999999999719</c:v>
                </c:pt>
                <c:pt idx="175">
                  <c:v>7.4999999999999716</c:v>
                </c:pt>
                <c:pt idx="176">
                  <c:v>7.5999999999999712</c:v>
                </c:pt>
                <c:pt idx="177">
                  <c:v>7.6999999999999709</c:v>
                </c:pt>
                <c:pt idx="178">
                  <c:v>7.7999999999999705</c:v>
                </c:pt>
                <c:pt idx="179">
                  <c:v>7.8999999999999702</c:v>
                </c:pt>
                <c:pt idx="180">
                  <c:v>7.9999999999999698</c:v>
                </c:pt>
                <c:pt idx="181">
                  <c:v>8.0999999999999694</c:v>
                </c:pt>
                <c:pt idx="182">
                  <c:v>8.1999999999999691</c:v>
                </c:pt>
                <c:pt idx="183">
                  <c:v>8.2999999999999687</c:v>
                </c:pt>
                <c:pt idx="184">
                  <c:v>8.3999999999999684</c:v>
                </c:pt>
                <c:pt idx="185">
                  <c:v>8.499999999999968</c:v>
                </c:pt>
                <c:pt idx="186">
                  <c:v>8.5999999999999677</c:v>
                </c:pt>
                <c:pt idx="187">
                  <c:v>8.6999999999999673</c:v>
                </c:pt>
                <c:pt idx="188">
                  <c:v>8.799999999999967</c:v>
                </c:pt>
                <c:pt idx="189">
                  <c:v>8.8999999999999666</c:v>
                </c:pt>
                <c:pt idx="190">
                  <c:v>8.9999999999999662</c:v>
                </c:pt>
                <c:pt idx="191">
                  <c:v>9.0999999999999659</c:v>
                </c:pt>
                <c:pt idx="192">
                  <c:v>9.1999999999999655</c:v>
                </c:pt>
                <c:pt idx="193">
                  <c:v>9.2999999999999652</c:v>
                </c:pt>
                <c:pt idx="194">
                  <c:v>9.3999999999999648</c:v>
                </c:pt>
                <c:pt idx="195">
                  <c:v>9.4999999999999645</c:v>
                </c:pt>
                <c:pt idx="196">
                  <c:v>9.5999999999999641</c:v>
                </c:pt>
                <c:pt idx="197">
                  <c:v>9.6999999999999638</c:v>
                </c:pt>
                <c:pt idx="198">
                  <c:v>9.7999999999999634</c:v>
                </c:pt>
                <c:pt idx="199">
                  <c:v>9.8999999999999631</c:v>
                </c:pt>
                <c:pt idx="200">
                  <c:v>9.9999999999999627</c:v>
                </c:pt>
                <c:pt idx="201">
                  <c:v>10.099999999999962</c:v>
                </c:pt>
                <c:pt idx="202">
                  <c:v>10.199999999999962</c:v>
                </c:pt>
                <c:pt idx="203">
                  <c:v>10.299999999999962</c:v>
                </c:pt>
                <c:pt idx="204">
                  <c:v>10.399999999999961</c:v>
                </c:pt>
                <c:pt idx="205">
                  <c:v>10.499999999999961</c:v>
                </c:pt>
                <c:pt idx="206">
                  <c:v>10.599999999999961</c:v>
                </c:pt>
                <c:pt idx="207">
                  <c:v>10.69999999999996</c:v>
                </c:pt>
                <c:pt idx="208">
                  <c:v>10.79999999999996</c:v>
                </c:pt>
                <c:pt idx="209">
                  <c:v>10.899999999999959</c:v>
                </c:pt>
                <c:pt idx="210">
                  <c:v>10.999999999999959</c:v>
                </c:pt>
                <c:pt idx="211">
                  <c:v>11.099999999999959</c:v>
                </c:pt>
                <c:pt idx="212">
                  <c:v>11.199999999999958</c:v>
                </c:pt>
                <c:pt idx="213">
                  <c:v>11.299999999999958</c:v>
                </c:pt>
                <c:pt idx="214">
                  <c:v>11.399999999999958</c:v>
                </c:pt>
                <c:pt idx="215">
                  <c:v>11.499999999999957</c:v>
                </c:pt>
                <c:pt idx="216">
                  <c:v>11.599999999999957</c:v>
                </c:pt>
                <c:pt idx="217">
                  <c:v>11.699999999999957</c:v>
                </c:pt>
                <c:pt idx="218">
                  <c:v>11.799999999999956</c:v>
                </c:pt>
                <c:pt idx="219">
                  <c:v>11.899999999999956</c:v>
                </c:pt>
                <c:pt idx="220">
                  <c:v>11.999999999999956</c:v>
                </c:pt>
                <c:pt idx="221">
                  <c:v>12.099999999999955</c:v>
                </c:pt>
                <c:pt idx="222">
                  <c:v>12.199999999999955</c:v>
                </c:pt>
                <c:pt idx="223">
                  <c:v>12.299999999999955</c:v>
                </c:pt>
                <c:pt idx="224">
                  <c:v>12.399999999999954</c:v>
                </c:pt>
                <c:pt idx="225">
                  <c:v>12.499999999999954</c:v>
                </c:pt>
                <c:pt idx="226">
                  <c:v>12.599999999999953</c:v>
                </c:pt>
                <c:pt idx="227">
                  <c:v>12.699999999999953</c:v>
                </c:pt>
                <c:pt idx="228">
                  <c:v>12.799999999999953</c:v>
                </c:pt>
                <c:pt idx="229">
                  <c:v>12.899999999999952</c:v>
                </c:pt>
                <c:pt idx="230">
                  <c:v>12.999999999999952</c:v>
                </c:pt>
                <c:pt idx="231">
                  <c:v>13.099999999999952</c:v>
                </c:pt>
                <c:pt idx="232">
                  <c:v>13.199999999999951</c:v>
                </c:pt>
                <c:pt idx="233">
                  <c:v>13.299999999999951</c:v>
                </c:pt>
                <c:pt idx="234">
                  <c:v>13.399999999999951</c:v>
                </c:pt>
                <c:pt idx="235">
                  <c:v>13.49999999999995</c:v>
                </c:pt>
                <c:pt idx="236">
                  <c:v>13.59999999999995</c:v>
                </c:pt>
                <c:pt idx="237">
                  <c:v>13.69999999999995</c:v>
                </c:pt>
                <c:pt idx="238">
                  <c:v>13.799999999999949</c:v>
                </c:pt>
                <c:pt idx="239">
                  <c:v>13.899999999999949</c:v>
                </c:pt>
                <c:pt idx="240">
                  <c:v>13.999999999999948</c:v>
                </c:pt>
                <c:pt idx="241">
                  <c:v>14.099999999999948</c:v>
                </c:pt>
                <c:pt idx="242">
                  <c:v>14.199999999999948</c:v>
                </c:pt>
                <c:pt idx="243">
                  <c:v>14.299999999999947</c:v>
                </c:pt>
                <c:pt idx="244">
                  <c:v>14.399999999999947</c:v>
                </c:pt>
                <c:pt idx="245">
                  <c:v>14.499999999999947</c:v>
                </c:pt>
                <c:pt idx="246">
                  <c:v>14.599999999999946</c:v>
                </c:pt>
                <c:pt idx="247">
                  <c:v>14.699999999999946</c:v>
                </c:pt>
                <c:pt idx="248">
                  <c:v>14.799999999999946</c:v>
                </c:pt>
                <c:pt idx="249">
                  <c:v>14.899999999999945</c:v>
                </c:pt>
                <c:pt idx="250">
                  <c:v>14.999999999999945</c:v>
                </c:pt>
              </c:numCache>
            </c:numRef>
          </c:xVal>
          <c:yVal>
            <c:numRef>
              <c:f>I2G!$D$23:$D$273</c:f>
              <c:numCache>
                <c:formatCode>0.00</c:formatCode>
                <c:ptCount val="251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  <c:pt idx="39">
                  <c:v>1</c:v>
                </c:pt>
                <c:pt idx="40">
                  <c:v>1</c:v>
                </c:pt>
                <c:pt idx="41">
                  <c:v>1</c:v>
                </c:pt>
                <c:pt idx="42">
                  <c:v>1</c:v>
                </c:pt>
                <c:pt idx="43">
                  <c:v>1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1</c:v>
                </c:pt>
                <c:pt idx="48">
                  <c:v>1</c:v>
                </c:pt>
                <c:pt idx="49">
                  <c:v>1</c:v>
                </c:pt>
                <c:pt idx="50">
                  <c:v>1</c:v>
                </c:pt>
                <c:pt idx="51">
                  <c:v>1</c:v>
                </c:pt>
                <c:pt idx="52">
                  <c:v>1</c:v>
                </c:pt>
                <c:pt idx="53">
                  <c:v>1</c:v>
                </c:pt>
                <c:pt idx="54">
                  <c:v>1</c:v>
                </c:pt>
                <c:pt idx="55">
                  <c:v>1</c:v>
                </c:pt>
                <c:pt idx="56">
                  <c:v>1</c:v>
                </c:pt>
                <c:pt idx="57">
                  <c:v>1</c:v>
                </c:pt>
                <c:pt idx="58">
                  <c:v>1</c:v>
                </c:pt>
                <c:pt idx="59">
                  <c:v>1</c:v>
                </c:pt>
                <c:pt idx="60">
                  <c:v>1</c:v>
                </c:pt>
                <c:pt idx="61">
                  <c:v>1</c:v>
                </c:pt>
                <c:pt idx="62">
                  <c:v>1</c:v>
                </c:pt>
                <c:pt idx="63">
                  <c:v>1</c:v>
                </c:pt>
                <c:pt idx="64">
                  <c:v>1</c:v>
                </c:pt>
                <c:pt idx="65">
                  <c:v>1</c:v>
                </c:pt>
                <c:pt idx="66">
                  <c:v>1</c:v>
                </c:pt>
                <c:pt idx="67">
                  <c:v>1</c:v>
                </c:pt>
                <c:pt idx="68">
                  <c:v>1</c:v>
                </c:pt>
                <c:pt idx="69">
                  <c:v>1</c:v>
                </c:pt>
                <c:pt idx="70">
                  <c:v>1</c:v>
                </c:pt>
                <c:pt idx="71">
                  <c:v>1</c:v>
                </c:pt>
                <c:pt idx="72">
                  <c:v>1</c:v>
                </c:pt>
                <c:pt idx="73">
                  <c:v>1</c:v>
                </c:pt>
                <c:pt idx="74">
                  <c:v>1</c:v>
                </c:pt>
                <c:pt idx="75">
                  <c:v>1</c:v>
                </c:pt>
                <c:pt idx="76">
                  <c:v>1</c:v>
                </c:pt>
                <c:pt idx="77">
                  <c:v>1</c:v>
                </c:pt>
                <c:pt idx="78">
                  <c:v>1</c:v>
                </c:pt>
                <c:pt idx="79">
                  <c:v>1</c:v>
                </c:pt>
                <c:pt idx="80">
                  <c:v>1</c:v>
                </c:pt>
                <c:pt idx="81">
                  <c:v>1</c:v>
                </c:pt>
                <c:pt idx="82">
                  <c:v>1</c:v>
                </c:pt>
                <c:pt idx="83">
                  <c:v>1</c:v>
                </c:pt>
                <c:pt idx="84">
                  <c:v>1</c:v>
                </c:pt>
                <c:pt idx="85">
                  <c:v>1</c:v>
                </c:pt>
                <c:pt idx="86">
                  <c:v>1</c:v>
                </c:pt>
                <c:pt idx="87">
                  <c:v>1</c:v>
                </c:pt>
                <c:pt idx="88">
                  <c:v>1</c:v>
                </c:pt>
                <c:pt idx="89">
                  <c:v>1</c:v>
                </c:pt>
                <c:pt idx="90">
                  <c:v>1</c:v>
                </c:pt>
                <c:pt idx="91">
                  <c:v>1</c:v>
                </c:pt>
                <c:pt idx="92">
                  <c:v>1</c:v>
                </c:pt>
                <c:pt idx="93">
                  <c:v>1</c:v>
                </c:pt>
                <c:pt idx="94">
                  <c:v>1</c:v>
                </c:pt>
                <c:pt idx="95">
                  <c:v>1</c:v>
                </c:pt>
                <c:pt idx="96">
                  <c:v>1</c:v>
                </c:pt>
                <c:pt idx="97">
                  <c:v>1</c:v>
                </c:pt>
                <c:pt idx="98">
                  <c:v>1</c:v>
                </c:pt>
                <c:pt idx="99">
                  <c:v>1</c:v>
                </c:pt>
                <c:pt idx="100">
                  <c:v>1</c:v>
                </c:pt>
                <c:pt idx="101">
                  <c:v>1</c:v>
                </c:pt>
                <c:pt idx="102">
                  <c:v>1</c:v>
                </c:pt>
                <c:pt idx="103">
                  <c:v>1</c:v>
                </c:pt>
                <c:pt idx="104">
                  <c:v>1</c:v>
                </c:pt>
                <c:pt idx="105">
                  <c:v>1</c:v>
                </c:pt>
                <c:pt idx="106">
                  <c:v>1</c:v>
                </c:pt>
                <c:pt idx="107">
                  <c:v>1</c:v>
                </c:pt>
                <c:pt idx="108">
                  <c:v>1</c:v>
                </c:pt>
                <c:pt idx="109">
                  <c:v>1</c:v>
                </c:pt>
                <c:pt idx="110">
                  <c:v>0.86388766370261416</c:v>
                </c:pt>
                <c:pt idx="111">
                  <c:v>0.74630189549754045</c:v>
                </c:pt>
                <c:pt idx="112">
                  <c:v>0.64472100091818485</c:v>
                </c:pt>
                <c:pt idx="113">
                  <c:v>0.55696651922320617</c:v>
                </c:pt>
                <c:pt idx="114">
                  <c:v>0.4811565050522994</c:v>
                </c:pt>
                <c:pt idx="115">
                  <c:v>0.4156651690249345</c:v>
                </c:pt>
                <c:pt idx="116">
                  <c:v>0.35908801175149307</c:v>
                </c:pt>
                <c:pt idx="117">
                  <c:v>0.31021170353560562</c:v>
                </c:pt>
                <c:pt idx="118">
                  <c:v>0.26798806382057488</c:v>
                </c:pt>
                <c:pt idx="119">
                  <c:v>0.23151158235413707</c:v>
                </c:pt>
                <c:pt idx="120">
                  <c:v>0.20000000000000531</c:v>
                </c:pt>
                <c:pt idx="121">
                  <c:v>0.17277753274052271</c:v>
                </c:pt>
                <c:pt idx="122">
                  <c:v>0.14926037909950796</c:v>
                </c:pt>
                <c:pt idx="123">
                  <c:v>0.12894420018363684</c:v>
                </c:pt>
                <c:pt idx="124">
                  <c:v>0.11139330384464118</c:v>
                </c:pt>
                <c:pt idx="125">
                  <c:v>9.6231301010459833E-2</c:v>
                </c:pt>
                <c:pt idx="126">
                  <c:v>8.313303380498685E-2</c:v>
                </c:pt>
                <c:pt idx="127">
                  <c:v>7.1817602350298548E-2</c:v>
                </c:pt>
                <c:pt idx="128">
                  <c:v>6.2042340707121058E-2</c:v>
                </c:pt>
                <c:pt idx="129">
                  <c:v>5.359761276411492E-2</c:v>
                </c:pt>
                <c:pt idx="130">
                  <c:v>4.6302316470827366E-2</c:v>
                </c:pt>
                <c:pt idx="131">
                  <c:v>4.0000000000001021E-2</c:v>
                </c:pt>
                <c:pt idx="132">
                  <c:v>3.4555506548104485E-2</c:v>
                </c:pt>
                <c:pt idx="133">
                  <c:v>2.9852075819901569E-2</c:v>
                </c:pt>
                <c:pt idx="134">
                  <c:v>2.5788840036727351E-2</c:v>
                </c:pt>
                <c:pt idx="135">
                  <c:v>2.2278660768928212E-2</c:v>
                </c:pt>
                <c:pt idx="136">
                  <c:v>1.9246260202091945E-2</c:v>
                </c:pt>
                <c:pt idx="137">
                  <c:v>1.6626606760997354E-2</c:v>
                </c:pt>
                <c:pt idx="138">
                  <c:v>1.4363520470059695E-2</c:v>
                </c:pt>
                <c:pt idx="139">
                  <c:v>1.2408468141424201E-2</c:v>
                </c:pt>
                <c:pt idx="140">
                  <c:v>1.0719522552822974E-2</c:v>
                </c:pt>
                <c:pt idx="141">
                  <c:v>9.2604632941654646E-3</c:v>
                </c:pt>
                <c:pt idx="142">
                  <c:v>8.0000000000002031E-3</c:v>
                </c:pt>
                <c:pt idx="143">
                  <c:v>6.9111013096209029E-3</c:v>
                </c:pt>
                <c:pt idx="144">
                  <c:v>5.9704151639803187E-3</c:v>
                </c:pt>
                <c:pt idx="145">
                  <c:v>5.157768007345475E-3</c:v>
                </c:pt>
                <c:pt idx="146">
                  <c:v>4.4557321537856505E-3</c:v>
                </c:pt>
                <c:pt idx="147">
                  <c:v>3.8492520404183992E-3</c:v>
                </c:pt>
                <c:pt idx="148">
                  <c:v>3.3253213521994823E-3</c:v>
                </c:pt>
                <c:pt idx="149">
                  <c:v>2.8727040940119512E-3</c:v>
                </c:pt>
                <c:pt idx="150">
                  <c:v>2.4816936282848509E-3</c:v>
                </c:pt>
                <c:pt idx="151">
                  <c:v>2.1439045105646056E-3</c:v>
                </c:pt>
                <c:pt idx="152">
                  <c:v>1.852092658833104E-3</c:v>
                </c:pt>
                <c:pt idx="153">
                  <c:v>1.6000000000000502E-3</c:v>
                </c:pt>
                <c:pt idx="154">
                  <c:v>1.3822202619241891E-3</c:v>
                </c:pt>
                <c:pt idx="155">
                  <c:v>1.19408303279607E-3</c:v>
                </c:pt>
                <c:pt idx="156">
                  <c:v>1.0315536014691012E-3</c:v>
                </c:pt>
                <c:pt idx="157">
                  <c:v>8.9114643075713536E-4</c:v>
                </c:pt>
                <c:pt idx="158">
                  <c:v>7.6985040808368456E-4</c:v>
                </c:pt>
                <c:pt idx="159">
                  <c:v>6.6506427043990044E-4</c:v>
                </c:pt>
                <c:pt idx="160">
                  <c:v>5.7454081880239374E-4</c:v>
                </c:pt>
                <c:pt idx="161">
                  <c:v>4.9633872565697356E-4</c:v>
                </c:pt>
                <c:pt idx="162">
                  <c:v>4.2878090211292421E-4</c:v>
                </c:pt>
                <c:pt idx="163">
                  <c:v>3.7041853176662272E-4</c:v>
                </c:pt>
                <c:pt idx="164">
                  <c:v>3.2000000000001174E-4</c:v>
                </c:pt>
                <c:pt idx="165">
                  <c:v>2.7644405238483924E-4</c:v>
                </c:pt>
                <c:pt idx="166">
                  <c:v>2.3881660655921544E-4</c:v>
                </c:pt>
                <c:pt idx="167">
                  <c:v>2.0631072029382149E-4</c:v>
                </c:pt>
                <c:pt idx="168">
                  <c:v>1.7822928615142817E-4</c:v>
                </c:pt>
                <c:pt idx="169">
                  <c:v>1.5397008161673783E-4</c:v>
                </c:pt>
                <c:pt idx="170">
                  <c:v>1.330128540879809E-4</c:v>
                </c:pt>
                <c:pt idx="171">
                  <c:v>1.1490816376047944E-4</c:v>
                </c:pt>
                <c:pt idx="172">
                  <c:v>9.9267745131395317E-5</c:v>
                </c:pt>
                <c:pt idx="173">
                  <c:v>8.5756180422585357E-5</c:v>
                </c:pt>
                <c:pt idx="174">
                  <c:v>7.4083706353324995E-5</c:v>
                </c:pt>
                <c:pt idx="175">
                  <c:v>6.4000000000002735E-5</c:v>
                </c:pt>
                <c:pt idx="176">
                  <c:v>5.5288810476968182E-5</c:v>
                </c:pt>
                <c:pt idx="177">
                  <c:v>4.776332131184338E-5</c:v>
                </c:pt>
                <c:pt idx="178">
                  <c:v>4.126214405876455E-5</c:v>
                </c:pt>
                <c:pt idx="179">
                  <c:v>3.5645857230285849E-5</c:v>
                </c:pt>
                <c:pt idx="180">
                  <c:v>3.0794016323347761E-5</c:v>
                </c:pt>
                <c:pt idx="181">
                  <c:v>2.6602570817596343E-5</c:v>
                </c:pt>
                <c:pt idx="182">
                  <c:v>2.2981632752096029E-5</c:v>
                </c:pt>
                <c:pt idx="183">
                  <c:v>1.9853549026279187E-5</c:v>
                </c:pt>
                <c:pt idx="184">
                  <c:v>1.7151236084517145E-5</c:v>
                </c:pt>
                <c:pt idx="185">
                  <c:v>1.4816741270665091E-5</c:v>
                </c:pt>
                <c:pt idx="186">
                  <c:v>1.2800000000000625E-5</c:v>
                </c:pt>
                <c:pt idx="187">
                  <c:v>1.1057762095393703E-5</c:v>
                </c:pt>
                <c:pt idx="188">
                  <c:v>9.552664262368734E-6</c:v>
                </c:pt>
                <c:pt idx="189">
                  <c:v>8.2524288117529602E-6</c:v>
                </c:pt>
                <c:pt idx="190">
                  <c:v>7.1291714460572139E-6</c:v>
                </c:pt>
                <c:pt idx="191">
                  <c:v>6.1588032646695891E-6</c:v>
                </c:pt>
                <c:pt idx="192">
                  <c:v>5.3205141635193014E-6</c:v>
                </c:pt>
                <c:pt idx="193">
                  <c:v>4.5963265504192333E-6</c:v>
                </c:pt>
                <c:pt idx="194">
                  <c:v>3.9707098052558614E-6</c:v>
                </c:pt>
                <c:pt idx="195">
                  <c:v>3.43024721690345E-6</c:v>
                </c:pt>
                <c:pt idx="196">
                  <c:v>2.9633482541330363E-6</c:v>
                </c:pt>
                <c:pt idx="197">
                  <c:v>2.5600000000001402E-6</c:v>
                </c:pt>
                <c:pt idx="198">
                  <c:v>2.2115524190787542E-6</c:v>
                </c:pt>
                <c:pt idx="199">
                  <c:v>1.9105328524737581E-6</c:v>
                </c:pt>
                <c:pt idx="200">
                  <c:v>1.6504857623506021E-6</c:v>
                </c:pt>
                <c:pt idx="201">
                  <c:v>1.4258342892114513E-6</c:v>
                </c:pt>
                <c:pt idx="202">
                  <c:v>1.2317606529339252E-6</c:v>
                </c:pt>
                <c:pt idx="203">
                  <c:v>1.0641028327038666E-6</c:v>
                </c:pt>
                <c:pt idx="204">
                  <c:v>9.1926531008385232E-7</c:v>
                </c:pt>
                <c:pt idx="205">
                  <c:v>7.941419610511771E-7</c:v>
                </c:pt>
                <c:pt idx="206">
                  <c:v>6.8604944338069416E-7</c:v>
                </c:pt>
                <c:pt idx="207">
                  <c:v>5.9266965082661085E-7</c:v>
                </c:pt>
                <c:pt idx="208">
                  <c:v>5.1200000000003116E-7</c:v>
                </c:pt>
                <c:pt idx="209">
                  <c:v>4.4231048381575356E-7</c:v>
                </c:pt>
                <c:pt idx="210">
                  <c:v>3.8210657049475467E-7</c:v>
                </c:pt>
                <c:pt idx="211">
                  <c:v>3.3009715247012183E-7</c:v>
                </c:pt>
                <c:pt idx="212">
                  <c:v>2.8516685784229151E-7</c:v>
                </c:pt>
                <c:pt idx="213">
                  <c:v>2.4635213058678607E-7</c:v>
                </c:pt>
                <c:pt idx="214">
                  <c:v>2.1282056654077425E-7</c:v>
                </c:pt>
                <c:pt idx="215">
                  <c:v>1.8385306201677126E-7</c:v>
                </c:pt>
                <c:pt idx="216">
                  <c:v>1.5882839221023611E-7</c:v>
                </c:pt>
                <c:pt idx="217">
                  <c:v>1.3720988867613967E-7</c:v>
                </c:pt>
                <c:pt idx="218">
                  <c:v>1.185339301653229E-7</c:v>
                </c:pt>
                <c:pt idx="219">
                  <c:v>1.0240000000000687E-7</c:v>
                </c:pt>
                <c:pt idx="220">
                  <c:v>8.8462096763151254E-8</c:v>
                </c:pt>
                <c:pt idx="221">
                  <c:v>7.642131409895127E-8</c:v>
                </c:pt>
                <c:pt idx="222">
                  <c:v>6.6019430494024888E-8</c:v>
                </c:pt>
                <c:pt idx="223">
                  <c:v>5.7033371568458754E-8</c:v>
                </c:pt>
                <c:pt idx="224">
                  <c:v>4.9270426117357607E-8</c:v>
                </c:pt>
                <c:pt idx="225">
                  <c:v>4.2564113308155181E-8</c:v>
                </c:pt>
                <c:pt idx="226">
                  <c:v>3.6770612403354543E-8</c:v>
                </c:pt>
                <c:pt idx="227">
                  <c:v>3.1765678442047468E-8</c:v>
                </c:pt>
                <c:pt idx="228">
                  <c:v>2.744197773522815E-8</c:v>
                </c:pt>
                <c:pt idx="229">
                  <c:v>2.3706786033064765E-8</c:v>
                </c:pt>
                <c:pt idx="230">
                  <c:v>2.0480000000001534E-8</c:v>
                </c:pt>
                <c:pt idx="231">
                  <c:v>1.7692419352630389E-8</c:v>
                </c:pt>
                <c:pt idx="232">
                  <c:v>1.528426281979032E-8</c:v>
                </c:pt>
                <c:pt idx="233">
                  <c:v>1.3203886098805034E-8</c:v>
                </c:pt>
                <c:pt idx="234">
                  <c:v>1.1406674313691801E-8</c:v>
                </c:pt>
                <c:pt idx="235">
                  <c:v>9.854085223471565E-9</c:v>
                </c:pt>
                <c:pt idx="236">
                  <c:v>8.512822661631073E-9</c:v>
                </c:pt>
                <c:pt idx="237">
                  <c:v>7.3541224806709408E-9</c:v>
                </c:pt>
                <c:pt idx="238">
                  <c:v>6.3531356884095214E-9</c:v>
                </c:pt>
                <c:pt idx="239">
                  <c:v>5.4883955470456529E-9</c:v>
                </c:pt>
                <c:pt idx="240">
                  <c:v>4.7413572066129729E-9</c:v>
                </c:pt>
                <c:pt idx="241">
                  <c:v>4.0960000000003242E-9</c:v>
                </c:pt>
                <c:pt idx="242">
                  <c:v>3.5384838705260931E-9</c:v>
                </c:pt>
                <c:pt idx="243">
                  <c:v>3.0568525639580878E-9</c:v>
                </c:pt>
                <c:pt idx="244">
                  <c:v>2.6407772197610276E-9</c:v>
                </c:pt>
                <c:pt idx="245">
                  <c:v>2.2813348627383779E-9</c:v>
                </c:pt>
                <c:pt idx="246">
                  <c:v>1.9708170446943282E-9</c:v>
                </c:pt>
                <c:pt idx="247">
                  <c:v>1.702564532326228E-9</c:v>
                </c:pt>
                <c:pt idx="248">
                  <c:v>1.4708244961341996E-9</c:v>
                </c:pt>
                <c:pt idx="249">
                  <c:v>1.2706271376819143E-9</c:v>
                </c:pt>
                <c:pt idx="250">
                  <c:v>1.0976791094091394E-9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A4AD-4522-8DF3-F26661E13B49}"/>
            </c:ext>
          </c:extLst>
        </c:ser>
        <c:ser>
          <c:idx val="1"/>
          <c:order val="1"/>
          <c:tx>
            <c:v>senc</c:v>
          </c:tx>
          <c:marker>
            <c:symbol val="square"/>
            <c:size val="12"/>
          </c:marker>
          <c:dLbls>
            <c:dLbl>
              <c:idx val="0"/>
              <c:layout>
                <c:manualLayout>
                  <c:x val="-5.4945054945054984E-3"/>
                  <c:y val="-3.2183908045977122E-2"/>
                </c:manualLayout>
              </c:layout>
              <c:showLegendKey val="0"/>
              <c:showVal val="0"/>
              <c:showCatName val="0"/>
              <c:showSerName val="1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1-A4AD-4522-8DF3-F26661E13B49}"/>
                </c:ex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I2G!$C$15</c:f>
              <c:numCache>
                <c:formatCode>0.0</c:formatCode>
                <c:ptCount val="1"/>
                <c:pt idx="0">
                  <c:v>2</c:v>
                </c:pt>
              </c:numCache>
            </c:numRef>
          </c:xVal>
          <c:yVal>
            <c:numRef>
              <c:f>I2G!$C$13</c:f>
              <c:numCache>
                <c:formatCode>0.0</c:formatCode>
                <c:ptCount val="1"/>
                <c:pt idx="0">
                  <c:v>0.2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2-A4AD-4522-8DF3-F26661E13B49}"/>
            </c:ext>
          </c:extLst>
        </c:ser>
        <c:ser>
          <c:idx val="2"/>
          <c:order val="2"/>
          <c:tx>
            <c:v>satur</c:v>
          </c:tx>
          <c:marker>
            <c:symbol val="triangle"/>
            <c:size val="14"/>
            <c:spPr>
              <a:solidFill>
                <a:schemeClr val="accent6">
                  <a:lumMod val="75000"/>
                </a:schemeClr>
              </a:solidFill>
            </c:spPr>
          </c:marker>
          <c:dLbls>
            <c:dLbl>
              <c:idx val="0"/>
              <c:layout>
                <c:manualLayout>
                  <c:x val="-2.0870035476334713E-2"/>
                  <c:y val="-4.8747216942709802E-2"/>
                </c:manualLayout>
              </c:layout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3-A4AD-4522-8DF3-F26661E13B49}"/>
                </c:ex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I2G!$C$16</c:f>
              <c:numCache>
                <c:formatCode>0.0</c:formatCode>
                <c:ptCount val="1"/>
                <c:pt idx="0">
                  <c:v>0.9</c:v>
                </c:pt>
              </c:numCache>
            </c:numRef>
          </c:xVal>
          <c:yVal>
            <c:numRef>
              <c:f>I2G!$C$14</c:f>
              <c:numCache>
                <c:formatCode>0.0</c:formatCode>
                <c:ptCount val="1"/>
                <c:pt idx="0">
                  <c:v>1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4-A4AD-4522-8DF3-F26661E13B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3549984"/>
        <c:axId val="243550544"/>
      </c:scatterChart>
      <c:valAx>
        <c:axId val="24354998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de-DE">
                    <a:latin typeface="Bodoni MT Black" pitchFamily="18" charset="0"/>
                  </a:rPr>
                  <a:t>∆G</a:t>
                </a:r>
              </a:p>
            </c:rich>
          </c:tx>
          <c:layout>
            <c:manualLayout>
              <c:xMode val="edge"/>
              <c:yMode val="edge"/>
              <c:x val="0.75826425542960973"/>
              <c:y val="0.90762605679315256"/>
            </c:manualLayout>
          </c:layout>
          <c:overlay val="0"/>
        </c:title>
        <c:numFmt formatCode="0.0" sourceLinked="1"/>
        <c:majorTickMark val="out"/>
        <c:minorTickMark val="none"/>
        <c:tickLblPos val="nextTo"/>
        <c:crossAx val="243550544"/>
        <c:crosses val="autoZero"/>
        <c:crossBetween val="midCat"/>
      </c:valAx>
      <c:valAx>
        <c:axId val="243550544"/>
        <c:scaling>
          <c:orientation val="minMax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/>
                </a:pPr>
                <a:r>
                  <a:rPr lang="de-DE">
                    <a:latin typeface="Bodoni MT Black" pitchFamily="18" charset="0"/>
                  </a:rPr>
                  <a:t>I</a:t>
                </a:r>
              </a:p>
            </c:rich>
          </c:tx>
          <c:layout>
            <c:manualLayout>
              <c:xMode val="edge"/>
              <c:yMode val="edge"/>
              <c:x val="0.39927158143693581"/>
              <c:y val="7.7945572592899512E-2"/>
            </c:manualLayout>
          </c:layout>
          <c:overlay val="0"/>
        </c:title>
        <c:numFmt formatCode="0.0" sourceLinked="0"/>
        <c:majorTickMark val="out"/>
        <c:minorTickMark val="none"/>
        <c:tickLblPos val="nextTo"/>
        <c:spPr>
          <a:ln w="15875"/>
        </c:spPr>
        <c:txPr>
          <a:bodyPr anchor="t" anchorCtr="1"/>
          <a:lstStyle/>
          <a:p>
            <a:pPr>
              <a:defRPr baseline="0"/>
            </a:pPr>
            <a:endParaRPr lang="de-DE"/>
          </a:p>
        </c:txPr>
        <c:crossAx val="2435499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8740157499999996" l="0.70000000000000062" r="0.70000000000000062" t="0.78740157499999996" header="0.30000000000000032" footer="0.30000000000000032"/>
    <c:pageSetup/>
  </c:printSettings>
</c:chartSpace>
</file>

<file path=xl/ctrlProps/ctrlProp1.xml><?xml version="1.0" encoding="utf-8"?>
<formControlPr xmlns="http://schemas.microsoft.com/office/spreadsheetml/2009/9/main" objectType="Drop" dropStyle="combo" dx="16" fmlaLink="Tm_choice" fmlaRange="PosiblesTmCalcMet" noThreeD="1" sel="3" val="0"/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9.png"/><Relationship Id="rId2" Type="http://schemas.openxmlformats.org/officeDocument/2006/relationships/image" Target="../media/image8.png"/><Relationship Id="rId1" Type="http://schemas.openxmlformats.org/officeDocument/2006/relationships/chart" Target="../charts/chart1.xml"/><Relationship Id="rId5" Type="http://schemas.openxmlformats.org/officeDocument/2006/relationships/image" Target="../media/image11.png"/><Relationship Id="rId4" Type="http://schemas.openxmlformats.org/officeDocument/2006/relationships/image" Target="../media/image10.pn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2.emf"/><Relationship Id="rId2" Type="http://schemas.openxmlformats.org/officeDocument/2006/relationships/image" Target="../media/image3.emf"/><Relationship Id="rId1" Type="http://schemas.openxmlformats.org/officeDocument/2006/relationships/image" Target="../media/image4.emf"/><Relationship Id="rId4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7.emf"/><Relationship Id="rId2" Type="http://schemas.openxmlformats.org/officeDocument/2006/relationships/image" Target="../media/image6.emf"/><Relationship Id="rId1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0</xdr:row>
          <xdr:rowOff>47625</xdr:rowOff>
        </xdr:from>
        <xdr:to>
          <xdr:col>0</xdr:col>
          <xdr:colOff>1809750</xdr:colOff>
          <xdr:row>2</xdr:row>
          <xdr:rowOff>9525</xdr:rowOff>
        </xdr:to>
        <xdr:sp macro="" textlink="">
          <xdr:nvSpPr>
            <xdr:cNvPr id="4099" name="cbt_Set_FASTAfile" hidden="1">
              <a:extLst>
                <a:ext uri="{63B3BB69-23CF-44E3-9099-C40C66FF867C}">
                  <a14:compatExt spid="_x0000_s40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66675</xdr:colOff>
          <xdr:row>2</xdr:row>
          <xdr:rowOff>47625</xdr:rowOff>
        </xdr:from>
        <xdr:to>
          <xdr:col>0</xdr:col>
          <xdr:colOff>1057275</xdr:colOff>
          <xdr:row>3</xdr:row>
          <xdr:rowOff>161925</xdr:rowOff>
        </xdr:to>
        <xdr:sp macro="" textlink="">
          <xdr:nvSpPr>
            <xdr:cNvPr id="4100" name="cbt_AddSeq" hidden="1">
              <a:extLst>
                <a:ext uri="{63B3BB69-23CF-44E3-9099-C40C66FF867C}">
                  <a14:compatExt spid="_x0000_s41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1266825</xdr:colOff>
          <xdr:row>1</xdr:row>
          <xdr:rowOff>38100</xdr:rowOff>
        </xdr:from>
        <xdr:to>
          <xdr:col>6</xdr:col>
          <xdr:colOff>2314575</xdr:colOff>
          <xdr:row>2</xdr:row>
          <xdr:rowOff>171450</xdr:rowOff>
        </xdr:to>
        <xdr:sp macro="" textlink="">
          <xdr:nvSpPr>
            <xdr:cNvPr id="4101" name="Reset" hidden="1">
              <a:extLst>
                <a:ext uri="{63B3BB69-23CF-44E3-9099-C40C66FF867C}">
                  <a14:compatExt spid="_x0000_s41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1104900</xdr:colOff>
          <xdr:row>2</xdr:row>
          <xdr:rowOff>57150</xdr:rowOff>
        </xdr:from>
        <xdr:to>
          <xdr:col>0</xdr:col>
          <xdr:colOff>1990725</xdr:colOff>
          <xdr:row>3</xdr:row>
          <xdr:rowOff>171450</xdr:rowOff>
        </xdr:to>
        <xdr:sp macro="" textlink="">
          <xdr:nvSpPr>
            <xdr:cNvPr id="4102" name="cbt_ExportSeq" hidden="1">
              <a:extLst>
                <a:ext uri="{63B3BB69-23CF-44E3-9099-C40C66FF867C}">
                  <a14:compatExt spid="_x0000_s41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5</xdr:row>
          <xdr:rowOff>209550</xdr:rowOff>
        </xdr:from>
        <xdr:to>
          <xdr:col>3</xdr:col>
          <xdr:colOff>476250</xdr:colOff>
          <xdr:row>6</xdr:row>
          <xdr:rowOff>123825</xdr:rowOff>
        </xdr:to>
        <xdr:sp macro="" textlink="">
          <xdr:nvSpPr>
            <xdr:cNvPr id="2052" name="Tm_CBox" hidden="1">
              <a:extLst>
                <a:ext uri="{63B3BB69-23CF-44E3-9099-C40C66FF867C}">
                  <a14:compatExt spid="_x0000_s20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11</xdr:row>
          <xdr:rowOff>0</xdr:rowOff>
        </xdr:from>
        <xdr:to>
          <xdr:col>8</xdr:col>
          <xdr:colOff>904875</xdr:colOff>
          <xdr:row>12</xdr:row>
          <xdr:rowOff>0</xdr:rowOff>
        </xdr:to>
        <xdr:sp macro="" textlink="">
          <xdr:nvSpPr>
            <xdr:cNvPr id="2053" name="toList" hidden="1">
              <a:extLst>
                <a:ext uri="{63B3BB69-23CF-44E3-9099-C40C66FF867C}">
                  <a14:compatExt spid="_x0000_s20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361950</xdr:colOff>
          <xdr:row>19</xdr:row>
          <xdr:rowOff>19050</xdr:rowOff>
        </xdr:from>
        <xdr:to>
          <xdr:col>8</xdr:col>
          <xdr:colOff>342900</xdr:colOff>
          <xdr:row>20</xdr:row>
          <xdr:rowOff>38100</xdr:rowOff>
        </xdr:to>
        <xdr:sp macro="" textlink="">
          <xdr:nvSpPr>
            <xdr:cNvPr id="2504" name="Worst" hidden="1">
              <a:extLst>
                <a:ext uri="{63B3BB69-23CF-44E3-9099-C40C66FF867C}">
                  <a14:compatExt spid="_x0000_s25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409575</xdr:colOff>
          <xdr:row>19</xdr:row>
          <xdr:rowOff>57150</xdr:rowOff>
        </xdr:from>
        <xdr:to>
          <xdr:col>9</xdr:col>
          <xdr:colOff>38100</xdr:colOff>
          <xdr:row>20</xdr:row>
          <xdr:rowOff>38100</xdr:rowOff>
        </xdr:to>
        <xdr:sp macro="" textlink="">
          <xdr:nvSpPr>
            <xdr:cNvPr id="2506" name="Clear" hidden="1">
              <a:extLst>
                <a:ext uri="{63B3BB69-23CF-44E3-9099-C40C66FF867C}">
                  <a14:compatExt spid="_x0000_s25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428625</xdr:colOff>
      <xdr:row>15</xdr:row>
      <xdr:rowOff>85725</xdr:rowOff>
    </xdr:from>
    <xdr:to>
      <xdr:col>13</xdr:col>
      <xdr:colOff>352425</xdr:colOff>
      <xdr:row>36</xdr:row>
      <xdr:rowOff>9525</xdr:rowOff>
    </xdr:to>
    <xdr:graphicFrame macro="">
      <xdr:nvGraphicFramePr>
        <xdr:cNvPr id="2" name="Diagramm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180975</xdr:colOff>
      <xdr:row>0</xdr:row>
      <xdr:rowOff>66675</xdr:rowOff>
    </xdr:from>
    <xdr:to>
      <xdr:col>12</xdr:col>
      <xdr:colOff>243416</xdr:colOff>
      <xdr:row>5</xdr:row>
      <xdr:rowOff>9525</xdr:rowOff>
    </xdr:to>
    <xdr:pic>
      <xdr:nvPicPr>
        <xdr:cNvPr id="3" name="Picture 2"/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rcRect/>
        <a:stretch>
          <a:fillRect/>
        </a:stretch>
      </xdr:blipFill>
      <xdr:spPr bwMode="auto">
        <a:xfrm>
          <a:off x="561975" y="66675"/>
          <a:ext cx="7882466" cy="752475"/>
        </a:xfrm>
        <a:prstGeom prst="rect">
          <a:avLst/>
        </a:prstGeom>
        <a:solidFill>
          <a:schemeClr val="bg1"/>
        </a:solidFill>
      </xdr:spPr>
    </xdr:pic>
    <xdr:clientData/>
  </xdr:twoCellAnchor>
  <xdr:twoCellAnchor>
    <xdr:from>
      <xdr:col>9</xdr:col>
      <xdr:colOff>428625</xdr:colOff>
      <xdr:row>6</xdr:row>
      <xdr:rowOff>123825</xdr:rowOff>
    </xdr:from>
    <xdr:to>
      <xdr:col>11</xdr:col>
      <xdr:colOff>638175</xdr:colOff>
      <xdr:row>10</xdr:row>
      <xdr:rowOff>19050</xdr:rowOff>
    </xdr:to>
    <xdr:pic>
      <xdr:nvPicPr>
        <xdr:cNvPr id="4" name="Picture 6"/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rcRect/>
        <a:stretch>
          <a:fillRect/>
        </a:stretch>
      </xdr:blipFill>
      <xdr:spPr bwMode="auto">
        <a:xfrm>
          <a:off x="6343650" y="1104900"/>
          <a:ext cx="1733550" cy="542925"/>
        </a:xfrm>
        <a:prstGeom prst="rect">
          <a:avLst/>
        </a:prstGeom>
        <a:solidFill>
          <a:schemeClr val="bg1"/>
        </a:solidFill>
      </xdr:spPr>
    </xdr:pic>
    <xdr:clientData/>
  </xdr:twoCellAnchor>
  <xdr:twoCellAnchor>
    <xdr:from>
      <xdr:col>1</xdr:col>
      <xdr:colOff>0</xdr:colOff>
      <xdr:row>6</xdr:row>
      <xdr:rowOff>161924</xdr:rowOff>
    </xdr:from>
    <xdr:to>
      <xdr:col>8</xdr:col>
      <xdr:colOff>396240</xdr:colOff>
      <xdr:row>9</xdr:row>
      <xdr:rowOff>123824</xdr:rowOff>
    </xdr:to>
    <xdr:pic>
      <xdr:nvPicPr>
        <xdr:cNvPr id="5" name="Picture 8"/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rcRect/>
        <a:stretch>
          <a:fillRect/>
        </a:stretch>
      </xdr:blipFill>
      <xdr:spPr bwMode="auto">
        <a:xfrm>
          <a:off x="381000" y="1142999"/>
          <a:ext cx="5168265" cy="447675"/>
        </a:xfrm>
        <a:prstGeom prst="rect">
          <a:avLst/>
        </a:prstGeom>
        <a:solidFill>
          <a:schemeClr val="bg1"/>
        </a:solidFill>
      </xdr:spPr>
    </xdr:pic>
    <xdr:clientData/>
  </xdr:twoCellAnchor>
  <xdr:twoCellAnchor>
    <xdr:from>
      <xdr:col>9</xdr:col>
      <xdr:colOff>161925</xdr:colOff>
      <xdr:row>12</xdr:row>
      <xdr:rowOff>171450</xdr:rowOff>
    </xdr:from>
    <xdr:to>
      <xdr:col>11</xdr:col>
      <xdr:colOff>553085</xdr:colOff>
      <xdr:row>14</xdr:row>
      <xdr:rowOff>123825</xdr:rowOff>
    </xdr:to>
    <xdr:pic>
      <xdr:nvPicPr>
        <xdr:cNvPr id="6" name="Picture 9"/>
        <xdr:cNvPicPr>
          <a:picLocks noChangeAspect="1" noChangeArrowheads="1"/>
        </xdr:cNvPicPr>
      </xdr:nvPicPr>
      <xdr:blipFill>
        <a:blip xmlns:r="http://schemas.openxmlformats.org/officeDocument/2006/relationships" r:embed="rId5" cstate="print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rcRect/>
        <a:stretch>
          <a:fillRect/>
        </a:stretch>
      </xdr:blipFill>
      <xdr:spPr bwMode="auto">
        <a:xfrm>
          <a:off x="6076950" y="2143125"/>
          <a:ext cx="1915160" cy="581025"/>
        </a:xfrm>
        <a:prstGeom prst="rect">
          <a:avLst/>
        </a:prstGeom>
        <a:solidFill>
          <a:schemeClr val="bg1"/>
        </a:solidFill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mments" Target="../comments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7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6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6.xml"/><Relationship Id="rId11" Type="http://schemas.openxmlformats.org/officeDocument/2006/relationships/comments" Target="../comments2.xml"/><Relationship Id="rId5" Type="http://schemas.openxmlformats.org/officeDocument/2006/relationships/image" Target="../media/image5.emf"/><Relationship Id="rId10" Type="http://schemas.openxmlformats.org/officeDocument/2006/relationships/ctrlProp" Target="../ctrlProps/ctrlProp1.xml"/><Relationship Id="rId4" Type="http://schemas.openxmlformats.org/officeDocument/2006/relationships/control" Target="../activeX/activeX5.xml"/><Relationship Id="rId9" Type="http://schemas.openxmlformats.org/officeDocument/2006/relationships/image" Target="../media/image7.emf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etup"/>
  <dimension ref="A2:D42"/>
  <sheetViews>
    <sheetView workbookViewId="0">
      <selection activeCell="C11" sqref="C11"/>
    </sheetView>
  </sheetViews>
  <sheetFormatPr baseColWidth="10" defaultRowHeight="15"/>
  <cols>
    <col min="1" max="1" width="7.7109375" style="145" customWidth="1"/>
    <col min="2" max="2" width="18.140625" style="145" customWidth="1"/>
    <col min="3" max="3" width="108" style="146" customWidth="1"/>
    <col min="4" max="16384" width="11.42578125" style="145"/>
  </cols>
  <sheetData>
    <row r="2" spans="1:3">
      <c r="A2" s="145" t="s">
        <v>143</v>
      </c>
    </row>
    <row r="3" spans="1:3" ht="36" customHeight="1">
      <c r="B3" s="145" t="s">
        <v>146</v>
      </c>
      <c r="C3" s="146" t="s">
        <v>154</v>
      </c>
    </row>
    <row r="4" spans="1:3">
      <c r="B4" s="145" t="s">
        <v>145</v>
      </c>
    </row>
    <row r="8" spans="1:3">
      <c r="A8" s="145" t="s">
        <v>142</v>
      </c>
    </row>
    <row r="9" spans="1:3">
      <c r="B9" s="145" t="s">
        <v>144</v>
      </c>
    </row>
    <row r="20" spans="1:3">
      <c r="B20" s="145" t="s">
        <v>199</v>
      </c>
    </row>
    <row r="21" spans="1:3">
      <c r="A21" s="145" t="s">
        <v>216</v>
      </c>
      <c r="B21" s="230">
        <v>42712</v>
      </c>
      <c r="C21" s="146" t="s">
        <v>217</v>
      </c>
    </row>
    <row r="22" spans="1:3">
      <c r="A22" s="145" t="s">
        <v>215</v>
      </c>
      <c r="B22" s="230">
        <v>42710</v>
      </c>
      <c r="C22" s="146" t="s">
        <v>214</v>
      </c>
    </row>
    <row r="23" spans="1:3">
      <c r="A23" s="145" t="s">
        <v>211</v>
      </c>
      <c r="B23" s="230">
        <v>42306</v>
      </c>
      <c r="C23" s="146" t="s">
        <v>208</v>
      </c>
    </row>
    <row r="24" spans="1:3">
      <c r="A24" s="145" t="s">
        <v>210</v>
      </c>
      <c r="B24" s="230">
        <v>42306</v>
      </c>
      <c r="C24" s="145" t="s">
        <v>209</v>
      </c>
    </row>
    <row r="25" spans="1:3">
      <c r="A25" s="145" t="s">
        <v>203</v>
      </c>
      <c r="B25" s="230">
        <v>42304</v>
      </c>
      <c r="C25" s="146" t="s">
        <v>202</v>
      </c>
    </row>
    <row r="26" spans="1:3">
      <c r="A26" s="145" t="s">
        <v>201</v>
      </c>
      <c r="B26" s="230">
        <v>42302</v>
      </c>
      <c r="C26" s="146" t="s">
        <v>200</v>
      </c>
    </row>
    <row r="28" spans="1:3">
      <c r="A28" s="145" t="s">
        <v>206</v>
      </c>
      <c r="B28" s="230">
        <v>42252</v>
      </c>
      <c r="C28" s="146" t="s">
        <v>205</v>
      </c>
    </row>
    <row r="29" spans="1:3">
      <c r="A29" s="145" t="s">
        <v>207</v>
      </c>
      <c r="B29" s="230">
        <v>42247</v>
      </c>
      <c r="C29" s="146" t="s">
        <v>204</v>
      </c>
    </row>
    <row r="35" spans="2:4">
      <c r="B35" s="145" t="s">
        <v>176</v>
      </c>
    </row>
    <row r="36" spans="2:4">
      <c r="B36" s="180">
        <v>42233</v>
      </c>
      <c r="C36" s="146" t="s">
        <v>213</v>
      </c>
      <c r="D36" s="145" t="s">
        <v>30</v>
      </c>
    </row>
    <row r="37" spans="2:4">
      <c r="C37" s="146" t="s">
        <v>177</v>
      </c>
    </row>
    <row r="38" spans="2:4">
      <c r="C38" s="146" t="s">
        <v>178</v>
      </c>
      <c r="D38" s="145" t="s">
        <v>212</v>
      </c>
    </row>
    <row r="39" spans="2:4">
      <c r="C39" s="146" t="s">
        <v>179</v>
      </c>
    </row>
    <row r="40" spans="2:4">
      <c r="C40" s="146" t="s">
        <v>180</v>
      </c>
    </row>
    <row r="41" spans="2:4">
      <c r="B41" s="180">
        <v>42244</v>
      </c>
      <c r="C41" s="146" t="s">
        <v>188</v>
      </c>
    </row>
    <row r="42" spans="2:4">
      <c r="C42" s="146" t="s">
        <v>189</v>
      </c>
    </row>
  </sheetData>
  <dataConsolidate/>
  <pageMargins left="0.7" right="0.7" top="0.78740157499999996" bottom="0.78740157499999996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Import">
    <pageSetUpPr fitToPage="1"/>
  </sheetPr>
  <dimension ref="A1:I9"/>
  <sheetViews>
    <sheetView tabSelected="1" zoomScale="90" zoomScaleNormal="90" workbookViewId="0">
      <pane ySplit="5" topLeftCell="A6" activePane="bottomLeft" state="frozen"/>
      <selection pane="bottomLeft" activeCell="C6" sqref="C6:F6"/>
    </sheetView>
  </sheetViews>
  <sheetFormatPr baseColWidth="10" defaultColWidth="13.140625" defaultRowHeight="14.25" customHeight="1" outlineLevelCol="1"/>
  <cols>
    <col min="1" max="1" width="30.42578125" customWidth="1"/>
    <col min="2" max="2" width="23.140625" style="179" customWidth="1" outlineLevel="1"/>
    <col min="3" max="3" width="10.28515625" style="124" customWidth="1"/>
    <col min="4" max="4" width="11.42578125" style="124" bestFit="1" customWidth="1" collapsed="1"/>
    <col min="5" max="5" width="16.28515625" style="124" customWidth="1"/>
    <col min="6" max="6" width="11.42578125" style="125" bestFit="1" customWidth="1"/>
    <col min="7" max="7" width="89" style="148" customWidth="1"/>
    <col min="8" max="8" width="13.85546875" style="15" customWidth="1"/>
  </cols>
  <sheetData>
    <row r="1" spans="1:9" ht="14.25" customHeight="1" thickBot="1">
      <c r="B1" s="178"/>
      <c r="C1" s="155" t="s">
        <v>218</v>
      </c>
      <c r="D1" s="155"/>
      <c r="E1" s="155"/>
      <c r="F1" s="155"/>
      <c r="G1" s="205"/>
      <c r="H1" s="206"/>
      <c r="I1" s="205"/>
    </row>
    <row r="2" spans="1:9" ht="14.25" customHeight="1" thickTop="1" thickBot="1">
      <c r="B2" s="178"/>
      <c r="C2" s="147" t="s">
        <v>151</v>
      </c>
      <c r="D2" s="105">
        <v>1</v>
      </c>
      <c r="E2" s="147" t="s">
        <v>149</v>
      </c>
      <c r="F2" s="100">
        <v>3</v>
      </c>
      <c r="G2" s="89" t="s">
        <v>148</v>
      </c>
    </row>
    <row r="3" spans="1:9" ht="14.25" customHeight="1" thickTop="1" thickBot="1">
      <c r="B3" s="178"/>
      <c r="C3" s="147" t="s">
        <v>150</v>
      </c>
      <c r="D3" s="105">
        <v>0</v>
      </c>
      <c r="E3" s="147" t="s">
        <v>147</v>
      </c>
      <c r="F3" s="105">
        <v>2000</v>
      </c>
      <c r="G3"/>
    </row>
    <row r="4" spans="1:9" ht="14.25" customHeight="1" thickTop="1">
      <c r="B4" s="178"/>
      <c r="F4" s="100"/>
      <c r="G4"/>
      <c r="H4" s="15">
        <v>20</v>
      </c>
    </row>
    <row r="5" spans="1:9" ht="14.25" customHeight="1" thickBot="1">
      <c r="A5" s="15" t="s">
        <v>32</v>
      </c>
      <c r="B5" s="201" t="s">
        <v>198</v>
      </c>
      <c r="C5" s="140" t="s">
        <v>220</v>
      </c>
      <c r="D5" s="140"/>
      <c r="E5" s="140"/>
      <c r="F5" s="140"/>
      <c r="G5" t="s">
        <v>152</v>
      </c>
      <c r="H5" s="200" t="s">
        <v>153</v>
      </c>
    </row>
    <row r="6" spans="1:9" ht="14.25" customHeight="1" thickTop="1" thickBot="1">
      <c r="A6" s="204" t="s">
        <v>219</v>
      </c>
      <c r="B6" s="199" t="s">
        <v>221</v>
      </c>
      <c r="C6" s="155" t="s">
        <v>2</v>
      </c>
      <c r="D6" s="155"/>
      <c r="E6" s="155"/>
      <c r="F6" s="155"/>
      <c r="G6" s="198"/>
      <c r="H6" s="15">
        <v>20</v>
      </c>
    </row>
    <row r="7" spans="1:9" ht="14.25" customHeight="1" thickTop="1" thickBot="1">
      <c r="A7" s="204" t="s">
        <v>222</v>
      </c>
      <c r="B7" s="199" t="s">
        <v>223</v>
      </c>
      <c r="C7" s="155" t="s">
        <v>12</v>
      </c>
      <c r="D7" s="155"/>
      <c r="E7" s="155"/>
      <c r="F7" s="155"/>
      <c r="G7" s="198"/>
      <c r="H7" s="15">
        <v>20</v>
      </c>
    </row>
    <row r="8" spans="1:9" ht="14.25" customHeight="1" thickTop="1" thickBot="1">
      <c r="A8" s="204" t="s">
        <v>224</v>
      </c>
      <c r="B8" s="199" t="s">
        <v>225</v>
      </c>
      <c r="C8" s="155" t="s">
        <v>2</v>
      </c>
      <c r="D8" s="155"/>
      <c r="E8" s="155"/>
      <c r="F8" s="155"/>
      <c r="G8" s="198"/>
      <c r="H8" s="15">
        <v>20</v>
      </c>
    </row>
    <row r="9" spans="1:9" ht="14.25" customHeight="1" thickTop="1"/>
  </sheetData>
  <sortState ref="A22:S467">
    <sortCondition ref="A22:A467"/>
  </sortState>
  <dataConsolidate/>
  <pageMargins left="0.55118110236220474" right="0.35433070866141736" top="0.39370078740157483" bottom="0.47244094488188981" header="0.31496062992125984" footer="0.31496062992125984"/>
  <pageSetup paperSize="9" scale="61" fitToHeight="0" orientation="portrait" r:id="rId1"/>
  <headerFooter>
    <oddFooter>Seite &amp;P von &amp;N</oddFooter>
  </headerFooter>
  <drawing r:id="rId2"/>
  <legacyDrawing r:id="rId3"/>
  <controls>
    <mc:AlternateContent xmlns:mc="http://schemas.openxmlformats.org/markup-compatibility/2006">
      <mc:Choice Requires="x14">
        <control shapeId="4102" r:id="rId4" name="cbt_ExportSeq">
          <controlPr defaultSize="0" autoLine="0" r:id="rId5">
            <anchor moveWithCells="1">
              <from>
                <xdr:col>0</xdr:col>
                <xdr:colOff>1104900</xdr:colOff>
                <xdr:row>2</xdr:row>
                <xdr:rowOff>57150</xdr:rowOff>
              </from>
              <to>
                <xdr:col>0</xdr:col>
                <xdr:colOff>1990725</xdr:colOff>
                <xdr:row>3</xdr:row>
                <xdr:rowOff>171450</xdr:rowOff>
              </to>
            </anchor>
          </controlPr>
        </control>
      </mc:Choice>
      <mc:Fallback>
        <control shapeId="4102" r:id="rId4" name="cbt_ExportSeq"/>
      </mc:Fallback>
    </mc:AlternateContent>
    <mc:AlternateContent xmlns:mc="http://schemas.openxmlformats.org/markup-compatibility/2006">
      <mc:Choice Requires="x14">
        <control shapeId="4101" r:id="rId6" name="Reset">
          <controlPr defaultSize="0" autoLine="0" r:id="rId7">
            <anchor moveWithCells="1">
              <from>
                <xdr:col>6</xdr:col>
                <xdr:colOff>1266825</xdr:colOff>
                <xdr:row>1</xdr:row>
                <xdr:rowOff>38100</xdr:rowOff>
              </from>
              <to>
                <xdr:col>6</xdr:col>
                <xdr:colOff>2314575</xdr:colOff>
                <xdr:row>2</xdr:row>
                <xdr:rowOff>171450</xdr:rowOff>
              </to>
            </anchor>
          </controlPr>
        </control>
      </mc:Choice>
      <mc:Fallback>
        <control shapeId="4101" r:id="rId6" name="Reset"/>
      </mc:Fallback>
    </mc:AlternateContent>
    <mc:AlternateContent xmlns:mc="http://schemas.openxmlformats.org/markup-compatibility/2006">
      <mc:Choice Requires="x14">
        <control shapeId="4100" r:id="rId8" name="cbt_AddSeq">
          <controlPr defaultSize="0" autoLine="0" r:id="rId9">
            <anchor moveWithCells="1">
              <from>
                <xdr:col>0</xdr:col>
                <xdr:colOff>66675</xdr:colOff>
                <xdr:row>2</xdr:row>
                <xdr:rowOff>47625</xdr:rowOff>
              </from>
              <to>
                <xdr:col>0</xdr:col>
                <xdr:colOff>1057275</xdr:colOff>
                <xdr:row>3</xdr:row>
                <xdr:rowOff>161925</xdr:rowOff>
              </to>
            </anchor>
          </controlPr>
        </control>
      </mc:Choice>
      <mc:Fallback>
        <control shapeId="4100" r:id="rId8" name="cbt_AddSeq"/>
      </mc:Fallback>
    </mc:AlternateContent>
    <mc:AlternateContent xmlns:mc="http://schemas.openxmlformats.org/markup-compatibility/2006">
      <mc:Choice Requires="x14">
        <control shapeId="4099" r:id="rId10" name="cbt_Set_FASTAfile">
          <controlPr defaultSize="0" autoLine="0" r:id="rId11">
            <anchor moveWithCells="1">
              <from>
                <xdr:col>0</xdr:col>
                <xdr:colOff>114300</xdr:colOff>
                <xdr:row>0</xdr:row>
                <xdr:rowOff>47625</xdr:rowOff>
              </from>
              <to>
                <xdr:col>0</xdr:col>
                <xdr:colOff>1809750</xdr:colOff>
                <xdr:row>2</xdr:row>
                <xdr:rowOff>9525</xdr:rowOff>
              </to>
            </anchor>
          </controlPr>
        </control>
      </mc:Choice>
      <mc:Fallback>
        <control shapeId="4099" r:id="rId10" name="cbt_Set_FASTAfile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Align"/>
  <dimension ref="A1:AS24"/>
  <sheetViews>
    <sheetView zoomScale="70" zoomScaleNormal="70" workbookViewId="0">
      <pane xSplit="12" ySplit="21" topLeftCell="M25" activePane="bottomRight" state="frozenSplit"/>
      <selection pane="topRight" activeCell="L1" sqref="L1"/>
      <selection pane="bottomLeft" activeCell="A20" sqref="A20"/>
      <selection pane="bottomRight" activeCell="B20" sqref="B20"/>
    </sheetView>
  </sheetViews>
  <sheetFormatPr baseColWidth="10" defaultRowHeight="15" outlineLevelRow="1"/>
  <cols>
    <col min="1" max="1" width="2.42578125" customWidth="1"/>
    <col min="2" max="2" width="4.5703125" bestFit="1" customWidth="1"/>
    <col min="3" max="3" width="7.140625" customWidth="1"/>
    <col min="4" max="4" width="7.42578125" customWidth="1"/>
    <col min="5" max="5" width="4" style="15" customWidth="1"/>
    <col min="6" max="6" width="5" style="15" bestFit="1" customWidth="1"/>
    <col min="7" max="7" width="5.7109375" style="15" bestFit="1" customWidth="1"/>
    <col min="8" max="8" width="6.5703125" style="15" bestFit="1" customWidth="1"/>
    <col min="9" max="9" width="14.5703125" customWidth="1"/>
    <col min="10" max="12" width="1.5703125" customWidth="1"/>
    <col min="13" max="32" width="2.140625" customWidth="1"/>
    <col min="33" max="45" width="3" customWidth="1"/>
  </cols>
  <sheetData>
    <row r="1" spans="1:45" s="153" customFormat="1" ht="12" customHeight="1" thickTop="1" thickBot="1">
      <c r="A1" s="186" t="s">
        <v>183</v>
      </c>
      <c r="B1" s="187"/>
      <c r="C1" s="187"/>
      <c r="D1" s="187"/>
      <c r="E1" s="207" t="s">
        <v>181</v>
      </c>
      <c r="F1" s="208" t="s">
        <v>182</v>
      </c>
      <c r="G1" s="209"/>
      <c r="H1" s="191">
        <f ca="1">COUNT(Match.CountErr)</f>
        <v>3</v>
      </c>
      <c r="I1" s="182" t="s">
        <v>190</v>
      </c>
      <c r="J1" s="187"/>
      <c r="K1" s="187"/>
      <c r="L1" s="187"/>
      <c r="M1" s="152" t="str">
        <f ca="1">MID(CodDegElegir,Match!M2+1,1)</f>
        <v>A</v>
      </c>
      <c r="N1" s="152" t="str">
        <f ca="1">MID(CodDegElegir,Match!N2+1,1)</f>
        <v>T</v>
      </c>
      <c r="O1" s="152" t="str">
        <f ca="1">MID(CodDegElegir,Match!O2+1,1)</f>
        <v>C</v>
      </c>
      <c r="P1" s="152" t="str">
        <f ca="1">MID(CodDegElegir,Match!P2+1,1)</f>
        <v>G</v>
      </c>
      <c r="Q1" s="152" t="str">
        <f ca="1">MID(CodDegElegir,Match!Q2+1,1)</f>
        <v>A</v>
      </c>
      <c r="R1" s="152" t="str">
        <f ca="1">MID(CodDegElegir,Match!R2+1,1)</f>
        <v>Y</v>
      </c>
      <c r="S1" s="152" t="str">
        <f ca="1">MID(CodDegElegir,Match!S2+1,1)</f>
        <v>C</v>
      </c>
      <c r="T1" s="152" t="str">
        <f ca="1">MID(CodDegElegir,Match!T2+1,1)</f>
        <v>G</v>
      </c>
      <c r="U1" s="152" t="str">
        <f ca="1">MID(CodDegElegir,Match!U2+1,1)</f>
        <v>A</v>
      </c>
      <c r="V1" s="152" t="str">
        <f ca="1">MID(CodDegElegir,Match!V2+1,1)</f>
        <v>T</v>
      </c>
      <c r="W1" s="152" t="str">
        <f ca="1">MID(CodDegElegir,Match!W2+1,1)</f>
        <v>C</v>
      </c>
      <c r="X1" s="152" t="str">
        <f ca="1">MID(CodDegElegir,Match!X2+1,1)</f>
        <v>R</v>
      </c>
      <c r="Y1" s="152" t="str">
        <f ca="1">MID(CodDegElegir,Match!Y2+1,1)</f>
        <v>A</v>
      </c>
      <c r="Z1" s="152" t="str">
        <f ca="1">MID(CodDegElegir,Match!Z2+1,1)</f>
        <v>T</v>
      </c>
      <c r="AA1" s="152" t="str">
        <f ca="1">MID(CodDegElegir,Match!AA2+1,1)</f>
        <v>C</v>
      </c>
      <c r="AB1" s="152" t="str">
        <f ca="1">MID(CodDegElegir,Match!AB2+1,1)</f>
        <v>G</v>
      </c>
      <c r="AC1" s="152" t="str">
        <f ca="1">MID(CodDegElegir,Match!AC2+1,1)</f>
        <v>A</v>
      </c>
      <c r="AD1" s="152" t="str">
        <f ca="1">MID(CodDegElegir,Match!AD2+1,1)</f>
        <v>T</v>
      </c>
      <c r="AE1" s="152" t="str">
        <f ca="1">MID(CodDegElegir,Match!AE2+1,1)</f>
        <v>C</v>
      </c>
      <c r="AF1" s="152" t="str">
        <f ca="1">MID(CodDegElegir,Match!AF2+1,1)</f>
        <v>G</v>
      </c>
    </row>
    <row r="2" spans="1:45" s="46" customFormat="1" ht="15.75" thickBot="1">
      <c r="A2" s="46" t="s">
        <v>196</v>
      </c>
      <c r="E2" s="210">
        <v>0</v>
      </c>
      <c r="F2" s="211">
        <f ca="1">COUNTIF(OFFSET(Match!$C$26,0,0,NoSeq,1),$E2)</f>
        <v>3</v>
      </c>
      <c r="G2" s="212">
        <f ca="1">COUNTIF(OFFSET(Match!$D$26,0,0,NoSeq,1),$E2)</f>
        <v>0</v>
      </c>
      <c r="H2" s="104">
        <v>3</v>
      </c>
      <c r="I2" s="219" t="s">
        <v>186</v>
      </c>
      <c r="K2" s="46">
        <v>0</v>
      </c>
      <c r="M2" s="92">
        <f t="shared" ref="M2:AF2" ca="1" si="0">AVERAGE(OFFSET(M5,0,0,1,PrimerLen))</f>
        <v>10</v>
      </c>
      <c r="N2" s="92">
        <f t="shared" ref="N2:AF2" ca="1" si="1">AVERAGE(OFFSET(N5,0,0,1,PrimerLen))</f>
        <v>10.526315789473685</v>
      </c>
      <c r="O2" s="92">
        <f t="shared" ca="1" si="1"/>
        <v>11.111111111111111</v>
      </c>
      <c r="P2" s="92">
        <f t="shared" ca="1" si="1"/>
        <v>11.764705882352942</v>
      </c>
      <c r="Q2" s="92">
        <f t="shared" ca="1" si="1"/>
        <v>12.5</v>
      </c>
      <c r="R2" s="92">
        <f t="shared" ca="1" si="1"/>
        <v>13.333333333333334</v>
      </c>
      <c r="S2" s="92">
        <f t="shared" ca="1" si="1"/>
        <v>7.1428571428571432</v>
      </c>
      <c r="T2" s="92">
        <f t="shared" ca="1" si="1"/>
        <v>7.6923076923076925</v>
      </c>
      <c r="U2" s="92">
        <f t="shared" ca="1" si="1"/>
        <v>8.3333333333333339</v>
      </c>
      <c r="V2" s="92">
        <f t="shared" ca="1" si="1"/>
        <v>9.0909090909090917</v>
      </c>
      <c r="W2" s="92">
        <f t="shared" ca="1" si="1"/>
        <v>10</v>
      </c>
      <c r="X2" s="92">
        <f t="shared" ca="1" si="1"/>
        <v>11.111111111111111</v>
      </c>
      <c r="Y2" s="92">
        <f t="shared" ca="1" si="1"/>
        <v>0</v>
      </c>
      <c r="Z2" s="92">
        <f t="shared" ca="1" si="1"/>
        <v>0</v>
      </c>
      <c r="AA2" s="92">
        <f t="shared" ca="1" si="1"/>
        <v>0</v>
      </c>
      <c r="AB2" s="92">
        <f t="shared" ca="1" si="1"/>
        <v>0</v>
      </c>
      <c r="AC2" s="92">
        <f t="shared" ca="1" si="1"/>
        <v>0</v>
      </c>
      <c r="AD2" s="92">
        <f t="shared" ca="1" si="1"/>
        <v>0</v>
      </c>
      <c r="AE2" s="92">
        <f t="shared" ca="1" si="1"/>
        <v>0</v>
      </c>
      <c r="AF2" s="92">
        <f t="shared" ca="1" si="1"/>
        <v>0</v>
      </c>
    </row>
    <row r="3" spans="1:45" s="46" customFormat="1" ht="16.5" thickTop="1" thickBot="1">
      <c r="A3" s="188" t="s">
        <v>43</v>
      </c>
      <c r="B3" s="188"/>
      <c r="C3" s="188"/>
      <c r="D3" s="188"/>
      <c r="E3" s="210">
        <v>1</v>
      </c>
      <c r="F3" s="211">
        <f ca="1">COUNTIF(OFFSET(Match!$C$26,0,0,NoSeq,1),$E3)</f>
        <v>0</v>
      </c>
      <c r="G3" s="212">
        <f ca="1">COUNTIF(OFFSET(Match!$D$26,0,0,NoSeq,1),$E3)</f>
        <v>0</v>
      </c>
      <c r="H3" s="104">
        <v>75</v>
      </c>
      <c r="I3" s="219" t="s">
        <v>187</v>
      </c>
      <c r="J3" s="186"/>
      <c r="K3" s="186">
        <v>0</v>
      </c>
      <c r="L3" s="186"/>
      <c r="M3" s="93">
        <f t="shared" ref="M3:AF3" ca="1" si="2">AVERAGE(OFFSET(M4,0,0,1,PrimerLen))</f>
        <v>0</v>
      </c>
      <c r="N3" s="93">
        <f t="shared" ca="1" si="2"/>
        <v>0</v>
      </c>
      <c r="O3" s="93">
        <f t="shared" ca="1" si="2"/>
        <v>0</v>
      </c>
      <c r="P3" s="93">
        <f t="shared" ca="1" si="2"/>
        <v>0</v>
      </c>
      <c r="Q3" s="93">
        <f t="shared" ca="1" si="2"/>
        <v>0</v>
      </c>
      <c r="R3" s="93">
        <f t="shared" ca="1" si="2"/>
        <v>0</v>
      </c>
      <c r="S3" s="93">
        <f t="shared" ca="1" si="2"/>
        <v>0</v>
      </c>
      <c r="T3" s="93">
        <f t="shared" ca="1" si="2"/>
        <v>0</v>
      </c>
      <c r="U3" s="93">
        <f t="shared" ca="1" si="2"/>
        <v>0</v>
      </c>
      <c r="V3" s="93">
        <f t="shared" ca="1" si="2"/>
        <v>0</v>
      </c>
      <c r="W3" s="93">
        <f t="shared" ca="1" si="2"/>
        <v>0</v>
      </c>
      <c r="X3" s="93">
        <f t="shared" ca="1" si="2"/>
        <v>0</v>
      </c>
      <c r="Y3" s="93">
        <f t="shared" ca="1" si="2"/>
        <v>0</v>
      </c>
      <c r="Z3" s="93">
        <f t="shared" ca="1" si="2"/>
        <v>0</v>
      </c>
      <c r="AA3" s="93">
        <f t="shared" ca="1" si="2"/>
        <v>0</v>
      </c>
      <c r="AB3" s="93">
        <f t="shared" ca="1" si="2"/>
        <v>0</v>
      </c>
      <c r="AC3" s="93">
        <f t="shared" ca="1" si="2"/>
        <v>0</v>
      </c>
      <c r="AD3" s="93">
        <f t="shared" ca="1" si="2"/>
        <v>0</v>
      </c>
      <c r="AE3" s="93">
        <f t="shared" ca="1" si="2"/>
        <v>0</v>
      </c>
      <c r="AF3" s="93">
        <f t="shared" ca="1" si="2"/>
        <v>0</v>
      </c>
    </row>
    <row r="4" spans="1:45" s="46" customFormat="1" ht="16.5" thickTop="1" thickBot="1">
      <c r="A4" s="46" t="s">
        <v>43</v>
      </c>
      <c r="E4" s="210">
        <v>2</v>
      </c>
      <c r="F4" s="211">
        <f ca="1">COUNTIF(OFFSET(Match!$C$26,0,0,NoSeq,1),$E4)</f>
        <v>0</v>
      </c>
      <c r="G4" s="212">
        <f ca="1">COUNTIF(OFFSET(Match!$D$26,0,0,NoSeq,1),$E4)</f>
        <v>3</v>
      </c>
      <c r="H4" s="104">
        <v>20</v>
      </c>
      <c r="I4" s="220" t="s">
        <v>184</v>
      </c>
      <c r="K4" s="46">
        <v>10</v>
      </c>
      <c r="M4" s="33">
        <f ca="1">IF(M$20,COUNTIF(OFFSET(Match!M$26,0,0,NoSeq,1),2)/M$20)*100</f>
        <v>0</v>
      </c>
      <c r="N4" s="33">
        <f ca="1">IF(N$20,COUNTIF(OFFSET(Match!N$26,0,0,NoSeq,1),2)/N$20)*100</f>
        <v>0</v>
      </c>
      <c r="O4" s="33">
        <f ca="1">IF(O$20,COUNTIF(OFFSET(Match!O$26,0,0,NoSeq,1),2)/O$20)*100</f>
        <v>0</v>
      </c>
      <c r="P4" s="33">
        <f ca="1">IF(P$20,COUNTIF(OFFSET(Match!P$26,0,0,NoSeq,1),2)/P$20)*100</f>
        <v>0</v>
      </c>
      <c r="Q4" s="33">
        <f ca="1">IF(Q$20,COUNTIF(OFFSET(Match!Q$26,0,0,NoSeq,1),2)/Q$20)*100</f>
        <v>0</v>
      </c>
      <c r="R4" s="33">
        <f ca="1">IF(R$20,COUNTIF(OFFSET(Match!R$26,0,0,NoSeq,1),2)/R$20)*100</f>
        <v>0</v>
      </c>
      <c r="S4" s="33">
        <f ca="1">IF(S$20,COUNTIF(OFFSET(Match!S$26,0,0,NoSeq,1),2)/S$20)*100</f>
        <v>0</v>
      </c>
      <c r="T4" s="33">
        <f ca="1">IF(T$20,COUNTIF(OFFSET(Match!T$26,0,0,NoSeq,1),2)/T$20)*100</f>
        <v>0</v>
      </c>
      <c r="U4" s="33">
        <f ca="1">IF(U$20,COUNTIF(OFFSET(Match!U$26,0,0,NoSeq,1),2)/U$20)*100</f>
        <v>0</v>
      </c>
      <c r="V4" s="33">
        <f ca="1">IF(V$20,COUNTIF(OFFSET(Match!V$26,0,0,NoSeq,1),2)/V$20)*100</f>
        <v>0</v>
      </c>
      <c r="W4" s="33">
        <f ca="1">IF(W$20,COUNTIF(OFFSET(Match!W$26,0,0,NoSeq,1),2)/W$20)*100</f>
        <v>0</v>
      </c>
      <c r="X4" s="33">
        <f ca="1">IF(X$20,COUNTIF(OFFSET(Match!X$26,0,0,NoSeq,1),2)/X$20)*100</f>
        <v>0</v>
      </c>
      <c r="Y4" s="33">
        <f ca="1">IF(Y$20,COUNTIF(OFFSET(Match!Y$26,0,0,NoSeq,1),2)/Y$20)*100</f>
        <v>0</v>
      </c>
      <c r="Z4" s="33">
        <f ca="1">IF(Z$20,COUNTIF(OFFSET(Match!Z$26,0,0,NoSeq,1),2)/Z$20)*100</f>
        <v>0</v>
      </c>
      <c r="AA4" s="33">
        <f ca="1">IF(AA$20,COUNTIF(OFFSET(Match!AA$26,0,0,NoSeq,1),2)/AA$20)*100</f>
        <v>0</v>
      </c>
      <c r="AB4" s="33">
        <f ca="1">IF(AB$20,COUNTIF(OFFSET(Match!AB$26,0,0,NoSeq,1),2)/AB$20)*100</f>
        <v>0</v>
      </c>
      <c r="AC4" s="33">
        <f ca="1">IF(AC$20,COUNTIF(OFFSET(Match!AC$26,0,0,NoSeq,1),2)/AC$20)*100</f>
        <v>0</v>
      </c>
      <c r="AD4" s="33">
        <f ca="1">IF(AD$20,COUNTIF(OFFSET(Match!AD$26,0,0,NoSeq,1),2)/AD$20)*100</f>
        <v>0</v>
      </c>
      <c r="AE4" s="33">
        <f ca="1">IF(AE$20,COUNTIF(OFFSET(Match!AE$26,0,0,NoSeq,1),2)/AE$20)*100</f>
        <v>0</v>
      </c>
      <c r="AF4" s="33">
        <f ca="1">IF(AF$20,COUNTIF(OFFSET(Match!AF$26,0,0,NoSeq,1),2)/AF$20)*100</f>
        <v>0</v>
      </c>
    </row>
    <row r="5" spans="1:45" s="46" customFormat="1" ht="24" customHeight="1" thickTop="1" thickBot="1">
      <c r="A5" s="188" t="s">
        <v>44</v>
      </c>
      <c r="B5" s="188"/>
      <c r="C5" s="188"/>
      <c r="D5" s="188"/>
      <c r="E5" s="210">
        <v>3</v>
      </c>
      <c r="F5" s="211">
        <f ca="1">COUNTIF(OFFSET(Match!$C$26,0,0,NoSeq,1),$E5)</f>
        <v>0</v>
      </c>
      <c r="G5" s="212">
        <f ca="1">COUNTIF(OFFSET(Match!$D$26,0,0,NoSeq,1),$E5)</f>
        <v>0</v>
      </c>
      <c r="H5" s="104">
        <v>10</v>
      </c>
      <c r="I5" s="220" t="s">
        <v>135</v>
      </c>
      <c r="J5" s="186"/>
      <c r="K5" s="186">
        <v>0</v>
      </c>
      <c r="L5" s="186"/>
      <c r="M5" s="33">
        <f ca="1">IF(M$20,COUNTIF(OFFSET(Match!M$26,0,0,NoSeq,1),1)*100/M$20+M4,0)</f>
        <v>0</v>
      </c>
      <c r="N5" s="33">
        <f ca="1">IF(N$20,COUNTIF(OFFSET(Match!N$26,0,0,NoSeq,1),1)*100/N$20+N4,0)</f>
        <v>0</v>
      </c>
      <c r="O5" s="33">
        <f ca="1">IF(O$20,COUNTIF(OFFSET(Match!O$26,0,0,NoSeq,1),1)*100/O$20+O4,0)</f>
        <v>0</v>
      </c>
      <c r="P5" s="33">
        <f ca="1">IF(P$20,COUNTIF(OFFSET(Match!P$26,0,0,NoSeq,1),1)*100/P$20+P4,0)</f>
        <v>0</v>
      </c>
      <c r="Q5" s="33">
        <f ca="1">IF(Q$20,COUNTIF(OFFSET(Match!Q$26,0,0,NoSeq,1),1)*100/Q$20+Q4,0)</f>
        <v>0</v>
      </c>
      <c r="R5" s="33">
        <f ca="1">IF(R$20,COUNTIF(OFFSET(Match!R$26,0,0,NoSeq,1),1)*100/R$20+R4,0)</f>
        <v>100</v>
      </c>
      <c r="S5" s="33">
        <f ca="1">IF(S$20,COUNTIF(OFFSET(Match!S$26,0,0,NoSeq,1),1)*100/S$20+S4,0)</f>
        <v>0</v>
      </c>
      <c r="T5" s="33">
        <f ca="1">IF(T$20,COUNTIF(OFFSET(Match!T$26,0,0,NoSeq,1),1)*100/T$20+T4,0)</f>
        <v>0</v>
      </c>
      <c r="U5" s="33">
        <f ca="1">IF(U$20,COUNTIF(OFFSET(Match!U$26,0,0,NoSeq,1),1)*100/U$20+U4,0)</f>
        <v>0</v>
      </c>
      <c r="V5" s="33">
        <f ca="1">IF(V$20,COUNTIF(OFFSET(Match!V$26,0,0,NoSeq,1),1)*100/V$20+V4,0)</f>
        <v>0</v>
      </c>
      <c r="W5" s="33">
        <f ca="1">IF(W$20,COUNTIF(OFFSET(Match!W$26,0,0,NoSeq,1),1)*100/W$20+W4,0)</f>
        <v>0</v>
      </c>
      <c r="X5" s="33">
        <f ca="1">IF(X$20,COUNTIF(OFFSET(Match!X$26,0,0,NoSeq,1),1)*100/X$20+X4,0)</f>
        <v>100</v>
      </c>
      <c r="Y5" s="33">
        <f ca="1">IF(Y$20,COUNTIF(OFFSET(Match!Y$26,0,0,NoSeq,1),1)*100/Y$20+Y4,0)</f>
        <v>0</v>
      </c>
      <c r="Z5" s="33">
        <f ca="1">IF(Z$20,COUNTIF(OFFSET(Match!Z$26,0,0,NoSeq,1),1)*100/Z$20+Z4,0)</f>
        <v>0</v>
      </c>
      <c r="AA5" s="33">
        <f ca="1">IF(AA$20,COUNTIF(OFFSET(Match!AA$26,0,0,NoSeq,1),1)*100/AA$20+AA4,0)</f>
        <v>0</v>
      </c>
      <c r="AB5" s="33">
        <f ca="1">IF(AB$20,COUNTIF(OFFSET(Match!AB$26,0,0,NoSeq,1),1)*100/AB$20+AB4,0)</f>
        <v>0</v>
      </c>
      <c r="AC5" s="33">
        <f ca="1">IF(AC$20,COUNTIF(OFFSET(Match!AC$26,0,0,NoSeq,1),1)*100/AC$20+AC4,0)</f>
        <v>0</v>
      </c>
      <c r="AD5" s="33">
        <f ca="1">IF(AD$20,COUNTIF(OFFSET(Match!AD$26,0,0,NoSeq,1),1)*100/AD$20+AD4,0)</f>
        <v>0</v>
      </c>
      <c r="AE5" s="33">
        <f ca="1">IF(AE$20,COUNTIF(OFFSET(Match!AE$26,0,0,NoSeq,1),1)*100/AE$20+AE4,0)</f>
        <v>0</v>
      </c>
      <c r="AF5" s="33">
        <f ca="1">IF(AF$20,COUNTIF(OFFSET(Match!AF$26,0,0,NoSeq,1),1)*100/AF$20+AF4,0)</f>
        <v>0</v>
      </c>
    </row>
    <row r="6" spans="1:45" ht="26.25" customHeight="1" thickTop="1" thickBot="1">
      <c r="A6" s="196"/>
      <c r="B6" s="196"/>
      <c r="C6" s="196"/>
      <c r="D6" s="196"/>
      <c r="E6" s="213">
        <v>4</v>
      </c>
      <c r="F6" s="211">
        <f ca="1">COUNTIF(OFFSET(Match!$C$26,0,0,NoSeq,1),$E6)</f>
        <v>0</v>
      </c>
      <c r="G6" s="212">
        <f ca="1">COUNTIF(OFFSET(Match!$D$26,0,0,NoSeq,1),$E6)</f>
        <v>0</v>
      </c>
      <c r="H6" s="105">
        <v>50</v>
      </c>
      <c r="I6" s="221" t="s">
        <v>94</v>
      </c>
      <c r="J6" s="197"/>
      <c r="K6" s="197">
        <v>3</v>
      </c>
      <c r="L6" s="197"/>
      <c r="M6" s="118">
        <f ca="1">1000*(Match!M$20-3.4)/(Match!M$22+RlnPC)+Kelv_Salt</f>
        <v>45.783543811061918</v>
      </c>
      <c r="N6" s="118">
        <f ca="1">1000*(Match!N$20-3.4)/(Match!N$22+RlnPC)+Kelv_Salt</f>
        <v>45.53180841899723</v>
      </c>
      <c r="O6" s="118">
        <f ca="1">1000*(Match!O$20-3.4)/(Match!O$22+RlnPC)+Kelv_Salt</f>
        <v>43.474631375451281</v>
      </c>
      <c r="P6" s="118">
        <f ca="1">1000*(Match!P$20-3.4)/(Match!P$22+RlnPC)+Kelv_Salt</f>
        <v>39.382804744699456</v>
      </c>
      <c r="Q6" s="118">
        <f ca="1">1000*(Match!Q$20-3.4)/(Match!Q$22+RlnPC)+Kelv_Salt</f>
        <v>36.684782298672076</v>
      </c>
      <c r="R6" s="118">
        <f ca="1">1000*(Match!R$20-3.4)/(Match!R$22+RlnPC)+Kelv_Salt</f>
        <v>35.837298596189214</v>
      </c>
      <c r="S6" s="118">
        <f ca="1">1000*(Match!S$20-3.4)/(Match!S$22+RlnPC)+Kelv_Salt</f>
        <v>30.805644931686231</v>
      </c>
      <c r="T6" s="118">
        <f ca="1">1000*(Match!T$20-3.4)/(Match!T$22+RlnPC)+Kelv_Salt</f>
        <v>24.403727667781141</v>
      </c>
      <c r="U6" s="118">
        <f ca="1">1000*(Match!U$20-3.4)/(Match!U$22+RlnPC)+Kelv_Salt</f>
        <v>19.716221937154899</v>
      </c>
      <c r="V6" s="118">
        <f ca="1">1000*(Match!V$20-3.4)/(Match!V$22+RlnPC)+Kelv_Salt</f>
        <v>17.274953848295866</v>
      </c>
      <c r="W6" s="118">
        <f ca="1">1000*(Match!W$20-3.4)/(Match!W$22+RlnPC)+Kelv_Salt</f>
        <v>11.113336767861995</v>
      </c>
      <c r="X6" s="118">
        <f ca="1">1000*(Match!X$20-3.4)/(Match!X$22+RlnPC)+Kelv_Salt</f>
        <v>3.7233350239617948</v>
      </c>
      <c r="Y6" s="118">
        <f ca="1">1000*(Match!Y$20-3.4)/(Match!Y$22+RlnPC)+Kelv_Salt</f>
        <v>-5.2763723672687775</v>
      </c>
      <c r="Z6" s="118">
        <f ca="1">1000*(Match!Z$20-3.4)/(Match!Z$22+RlnPC)+Kelv_Salt</f>
        <v>-11.751599503718069</v>
      </c>
      <c r="AA6" s="118">
        <f ca="1">1000*(Match!AA$20-3.4)/(Match!AA$22+RlnPC)+Kelv_Salt</f>
        <v>-25.382819301326094</v>
      </c>
      <c r="AB6" s="118">
        <f ca="1">1000*(Match!AB$20-3.4)/(Match!AB$22+RlnPC)+Kelv_Salt</f>
        <v>-52.749038452964299</v>
      </c>
      <c r="AC6" s="118">
        <f ca="1">1000*(Match!AC$20-3.4)/(Match!AC$22+RlnPC)+Kelv_Salt</f>
        <v>-81.242496286499318</v>
      </c>
      <c r="AD6" s="118">
        <f ca="1">1000*(Match!AD$20-3.4)/(Match!AD$22+RlnPC)+Kelv_Salt</f>
        <v>-112.69009128617324</v>
      </c>
      <c r="AE6" s="118">
        <f ca="1">1000*(Match!AE$20-3.4)/(Match!AE$22+RlnPC)+Kelv_Salt</f>
        <v>-180.75471521393803</v>
      </c>
      <c r="AF6" s="118">
        <f ca="1">1000*(Match!AF$20-3.4)/(Match!AF$22+RlnPC)+Kelv_Salt</f>
        <v>-396.28363148020946</v>
      </c>
    </row>
    <row r="7" spans="1:45" ht="25.5" customHeight="1" thickTop="1" thickBot="1">
      <c r="A7" s="197"/>
      <c r="B7" s="196"/>
      <c r="C7" s="196"/>
      <c r="D7" s="196"/>
      <c r="E7" s="213">
        <v>5</v>
      </c>
      <c r="F7" s="211">
        <f ca="1">COUNTIF(OFFSET(Match!$C$26,0,0,NoSeq,1),$E7)</f>
        <v>0</v>
      </c>
      <c r="G7" s="212">
        <f ca="1">COUNTIF(OFFSET(Match!$D$26,0,0,NoSeq,1),$E7)</f>
        <v>0</v>
      </c>
      <c r="H7" s="105">
        <v>50</v>
      </c>
      <c r="I7" s="221" t="s">
        <v>98</v>
      </c>
      <c r="J7" s="197"/>
      <c r="K7" s="197">
        <v>0</v>
      </c>
      <c r="L7" s="197"/>
      <c r="M7" s="118">
        <f ca="1">1000*(Match!M$21-3.4)/(Match!M$23+RlnPC)+Kelv_Salt</f>
        <v>46.320040899365779</v>
      </c>
      <c r="N7" s="118">
        <f ca="1">1000*(Match!N$21-3.4)/(Match!N$23+RlnPC)+Kelv_Salt</f>
        <v>46.102830350048691</v>
      </c>
      <c r="O7" s="118">
        <f ca="1">1000*(Match!O$21-3.4)/(Match!O$23+RlnPC)+Kelv_Salt</f>
        <v>44.167434890350705</v>
      </c>
      <c r="P7" s="118">
        <f ca="1">1000*(Match!P$21-3.4)/(Match!P$23+RlnPC)+Kelv_Salt</f>
        <v>40.319905597903471</v>
      </c>
      <c r="Q7" s="118">
        <f ca="1">1000*(Match!Q$21-3.4)/(Match!Q$23+RlnPC)+Kelv_Salt</f>
        <v>37.812516159446943</v>
      </c>
      <c r="R7" s="118">
        <f ca="1">1000*(Match!R$21-3.4)/(Match!R$23+RlnPC)+Kelv_Salt</f>
        <v>34.974975628899244</v>
      </c>
      <c r="S7" s="118">
        <f ca="1">1000*(Match!S$21-3.4)/(Match!S$23+RlnPC)+Kelv_Salt</f>
        <v>31.782608776169354</v>
      </c>
      <c r="T7" s="118">
        <f ca="1">1000*(Match!T$21-3.4)/(Match!T$23+RlnPC)+Kelv_Salt</f>
        <v>25.674890664776626</v>
      </c>
      <c r="U7" s="118">
        <f ca="1">1000*(Match!U$21-3.4)/(Match!U$23+RlnPC)+Kelv_Salt</f>
        <v>21.246827542797178</v>
      </c>
      <c r="V7" s="118">
        <f ca="1">1000*(Match!V$21-3.4)/(Match!V$23+RlnPC)+Kelv_Salt</f>
        <v>19.011530998940486</v>
      </c>
      <c r="W7" s="118">
        <f ca="1">1000*(Match!W$21-3.4)/(Match!W$23+RlnPC)+Kelv_Salt</f>
        <v>13.254165150713163</v>
      </c>
      <c r="X7" s="118">
        <f ca="1">1000*(Match!X$21-3.4)/(Match!X$23+RlnPC)+Kelv_Salt</f>
        <v>2.3474074545259214</v>
      </c>
      <c r="Y7" s="118">
        <f ca="1">1000*(Match!Y$21-3.4)/(Match!Y$23+RlnPC)+Kelv_Salt</f>
        <v>-5.2763723672687775</v>
      </c>
      <c r="Z7" s="118">
        <f ca="1">1000*(Match!Z$21-3.4)/(Match!Z$23+RlnPC)+Kelv_Salt</f>
        <v>-11.751599503718069</v>
      </c>
      <c r="AA7" s="118">
        <f ca="1">1000*(Match!AA$21-3.4)/(Match!AA$23+RlnPC)+Kelv_Salt</f>
        <v>-25.382819301326094</v>
      </c>
      <c r="AB7" s="118">
        <f ca="1">1000*(Match!AB$21-3.4)/(Match!AB$23+RlnPC)+Kelv_Salt</f>
        <v>-52.749038452964299</v>
      </c>
      <c r="AC7" s="118">
        <f ca="1">1000*(Match!AC$21-3.4)/(Match!AC$23+RlnPC)+Kelv_Salt</f>
        <v>-81.242496286499318</v>
      </c>
      <c r="AD7" s="118">
        <f ca="1">1000*(Match!AD$21-3.4)/(Match!AD$23+RlnPC)+Kelv_Salt</f>
        <v>-112.69009128617324</v>
      </c>
      <c r="AE7" s="118">
        <f ca="1">1000*(Match!AE$21-3.4)/(Match!AE$23+RlnPC)+Kelv_Salt</f>
        <v>-180.75471521393803</v>
      </c>
      <c r="AF7" s="118">
        <f ca="1">1000*(Match!AF$21-3.4)/(Match!AF$23+RlnPC)+Kelv_Salt</f>
        <v>-396.28363148020946</v>
      </c>
    </row>
    <row r="8" spans="1:45" ht="12" customHeight="1" thickTop="1" thickBot="1">
      <c r="A8" s="189" t="s">
        <v>169</v>
      </c>
      <c r="B8" s="190"/>
      <c r="C8" s="190"/>
      <c r="D8" s="190"/>
      <c r="E8" s="213">
        <v>6</v>
      </c>
      <c r="F8" s="211">
        <f ca="1">COUNTIF(OFFSET(Match!$C$26,0,0,NoSeq,1),$E8)</f>
        <v>0</v>
      </c>
      <c r="G8" s="212">
        <f ca="1">COUNTIF(OFFSET(Match!$D$26,0,0,NoSeq,1),$E8)</f>
        <v>0</v>
      </c>
      <c r="H8" s="105">
        <v>1</v>
      </c>
      <c r="I8" s="221" t="s">
        <v>38</v>
      </c>
      <c r="J8" s="190"/>
      <c r="K8" s="190">
        <v>0</v>
      </c>
      <c r="L8" s="190"/>
      <c r="M8" s="34" t="str">
        <f ca="1">MID(CodDegElegir,Match!M$3+1,1)</f>
        <v>A</v>
      </c>
      <c r="N8" s="34" t="str">
        <f ca="1">MID(CodDegElegir,Match!N$3+1,1)</f>
        <v>T</v>
      </c>
      <c r="O8" s="34" t="str">
        <f ca="1">MID(CodDegElegir,Match!O$3+1,1)</f>
        <v>C</v>
      </c>
      <c r="P8" s="34" t="str">
        <f ca="1">MID(CodDegElegir,Match!P$3+1,1)</f>
        <v>G</v>
      </c>
      <c r="Q8" s="34" t="str">
        <f ca="1">MID(CodDegElegir,Match!Q$3+1,1)</f>
        <v>A</v>
      </c>
      <c r="R8" s="34" t="str">
        <f ca="1">MID(CodDegElegir,Match!R$3+1,1)</f>
        <v>Y</v>
      </c>
      <c r="S8" s="34" t="str">
        <f ca="1">MID(CodDegElegir,Match!S$3+1,1)</f>
        <v>C</v>
      </c>
      <c r="T8" s="34" t="str">
        <f ca="1">MID(CodDegElegir,Match!T$3+1,1)</f>
        <v>G</v>
      </c>
      <c r="U8" s="34" t="str">
        <f ca="1">MID(CodDegElegir,Match!U$3+1,1)</f>
        <v>A</v>
      </c>
      <c r="V8" s="34" t="str">
        <f ca="1">MID(CodDegElegir,Match!V$3+1,1)</f>
        <v>T</v>
      </c>
      <c r="W8" s="34" t="str">
        <f ca="1">MID(CodDegElegir,Match!W$3+1,1)</f>
        <v>C</v>
      </c>
      <c r="X8" s="34" t="str">
        <f ca="1">MID(CodDegElegir,Match!X$3+1,1)</f>
        <v>R</v>
      </c>
      <c r="Y8" s="34" t="str">
        <f ca="1">MID(CodDegElegir,Match!Y$3+1,1)</f>
        <v>A</v>
      </c>
      <c r="Z8" s="34" t="str">
        <f ca="1">MID(CodDegElegir,Match!Z$3+1,1)</f>
        <v>T</v>
      </c>
      <c r="AA8" s="34" t="str">
        <f ca="1">MID(CodDegElegir,Match!AA$3+1,1)</f>
        <v>C</v>
      </c>
      <c r="AB8" s="34" t="str">
        <f ca="1">MID(CodDegElegir,Match!AB$3+1,1)</f>
        <v>G</v>
      </c>
      <c r="AC8" s="34" t="str">
        <f ca="1">MID(CodDegElegir,Match!AC$3+1,1)</f>
        <v>A</v>
      </c>
      <c r="AD8" s="34" t="str">
        <f ca="1">MID(CodDegElegir,Match!AD$3+1,1)</f>
        <v>T</v>
      </c>
      <c r="AE8" s="34" t="str">
        <f ca="1">MID(CodDegElegir,Match!AE$3+1,1)</f>
        <v>C</v>
      </c>
      <c r="AF8" s="34" t="str">
        <f ca="1">MID(CodDegElegir,Match!AF$3+1,1)</f>
        <v>G</v>
      </c>
    </row>
    <row r="9" spans="1:45" ht="12" customHeight="1" thickTop="1" thickBot="1">
      <c r="A9" s="46" t="s">
        <v>185</v>
      </c>
      <c r="E9" s="213">
        <v>7</v>
      </c>
      <c r="F9" s="211">
        <f ca="1">COUNTIF(OFFSET(Match!$C$26,0,0,NoSeq,1),$E9)</f>
        <v>0</v>
      </c>
      <c r="G9" s="212">
        <f ca="1">COUNTIF(OFFSET(Match!$D$26,0,0,NoSeq,1),$E9)</f>
        <v>0</v>
      </c>
      <c r="H9" s="192">
        <f>IF(ActivPrim="",H13,ActPrimLen)</f>
        <v>27</v>
      </c>
      <c r="I9" s="183" t="s">
        <v>120</v>
      </c>
      <c r="K9">
        <v>0</v>
      </c>
      <c r="M9" s="152" t="str">
        <f t="shared" ref="M9:AF9" ca="1" si="3">M$1</f>
        <v>A</v>
      </c>
      <c r="N9" s="152" t="str">
        <f t="shared" ca="1" si="3"/>
        <v>T</v>
      </c>
      <c r="O9" s="152" t="str">
        <f t="shared" ca="1" si="3"/>
        <v>C</v>
      </c>
      <c r="P9" s="152" t="str">
        <f t="shared" ca="1" si="3"/>
        <v>G</v>
      </c>
      <c r="Q9" s="152" t="str">
        <f t="shared" ca="1" si="3"/>
        <v>A</v>
      </c>
      <c r="R9" s="152" t="str">
        <f t="shared" ca="1" si="3"/>
        <v>Y</v>
      </c>
      <c r="S9" s="152" t="str">
        <f t="shared" ca="1" si="3"/>
        <v>C</v>
      </c>
      <c r="T9" s="152" t="str">
        <f t="shared" ca="1" si="3"/>
        <v>G</v>
      </c>
      <c r="U9" s="152" t="str">
        <f t="shared" ca="1" si="3"/>
        <v>A</v>
      </c>
      <c r="V9" s="152" t="str">
        <f t="shared" ca="1" si="3"/>
        <v>T</v>
      </c>
      <c r="W9" s="152" t="str">
        <f t="shared" ca="1" si="3"/>
        <v>C</v>
      </c>
      <c r="X9" s="152" t="str">
        <f t="shared" ca="1" si="3"/>
        <v>R</v>
      </c>
      <c r="Y9" s="152" t="str">
        <f t="shared" ca="1" si="3"/>
        <v>A</v>
      </c>
      <c r="Z9" s="152" t="str">
        <f t="shared" ca="1" si="3"/>
        <v>T</v>
      </c>
      <c r="AA9" s="152" t="str">
        <f t="shared" ca="1" si="3"/>
        <v>C</v>
      </c>
      <c r="AB9" s="152" t="str">
        <f t="shared" ca="1" si="3"/>
        <v>G</v>
      </c>
      <c r="AC9" s="152" t="str">
        <f t="shared" ca="1" si="3"/>
        <v>A</v>
      </c>
      <c r="AD9" s="152" t="str">
        <f t="shared" ca="1" si="3"/>
        <v>T</v>
      </c>
      <c r="AE9" s="152" t="str">
        <f t="shared" ca="1" si="3"/>
        <v>C</v>
      </c>
      <c r="AF9" s="152" t="str">
        <f t="shared" ca="1" si="3"/>
        <v>G</v>
      </c>
      <c r="AG9" s="152" t="s">
        <v>3</v>
      </c>
      <c r="AH9" s="152" t="s">
        <v>1</v>
      </c>
      <c r="AI9" s="152" t="s">
        <v>3</v>
      </c>
      <c r="AJ9" s="152" t="s">
        <v>2</v>
      </c>
      <c r="AK9" s="152" t="s">
        <v>3</v>
      </c>
      <c r="AL9" s="152" t="s">
        <v>1</v>
      </c>
      <c r="AM9" s="152" t="s">
        <v>4</v>
      </c>
      <c r="AN9" s="152" t="s">
        <v>3</v>
      </c>
      <c r="AO9" s="152" t="s">
        <v>1</v>
      </c>
      <c r="AP9" s="152" t="s">
        <v>2</v>
      </c>
      <c r="AQ9" s="152" t="s">
        <v>1</v>
      </c>
      <c r="AR9" s="152" t="s">
        <v>1</v>
      </c>
      <c r="AS9" s="152" t="s">
        <v>2</v>
      </c>
    </row>
    <row r="10" spans="1:45" ht="7.5" customHeight="1" thickBot="1">
      <c r="A10" s="190"/>
      <c r="B10" s="190"/>
      <c r="C10" s="190"/>
      <c r="D10" s="190"/>
      <c r="E10" s="213"/>
      <c r="F10" s="214">
        <f ca="1">COUNTIF(OFFSET(Match!$C$26,0,0,NoSeq,1),$E10)</f>
        <v>3</v>
      </c>
      <c r="G10" s="215">
        <f ca="1">COUNTIF(OFFSET(Match!$D$26,0,0,NoSeq,1),$E10)</f>
        <v>0</v>
      </c>
      <c r="H10" s="193"/>
      <c r="I10" s="184" t="s">
        <v>37</v>
      </c>
      <c r="J10" s="190"/>
      <c r="K10" s="190"/>
      <c r="L10" s="190"/>
      <c r="M10" s="26" t="b">
        <f t="shared" ref="M10:AF10" si="4">OR(ActivPrim="",(ActivPrim=Align.primer_mark))</f>
        <v>1</v>
      </c>
      <c r="N10" s="26" t="b">
        <f t="shared" si="4"/>
        <v>1</v>
      </c>
      <c r="O10" s="26" t="b">
        <f t="shared" si="4"/>
        <v>1</v>
      </c>
      <c r="P10" s="26" t="b">
        <f t="shared" si="4"/>
        <v>1</v>
      </c>
      <c r="Q10" s="26" t="b">
        <f t="shared" si="4"/>
        <v>1</v>
      </c>
      <c r="R10" s="26" t="b">
        <f t="shared" si="4"/>
        <v>1</v>
      </c>
      <c r="S10" s="26" t="b">
        <f t="shared" si="4"/>
        <v>1</v>
      </c>
      <c r="T10" s="26" t="b">
        <f t="shared" si="4"/>
        <v>1</v>
      </c>
      <c r="U10" s="26" t="b">
        <f t="shared" si="4"/>
        <v>1</v>
      </c>
      <c r="V10" s="26" t="b">
        <f t="shared" si="4"/>
        <v>1</v>
      </c>
      <c r="W10" s="26" t="b">
        <f t="shared" si="4"/>
        <v>1</v>
      </c>
      <c r="X10" s="26" t="b">
        <f t="shared" si="4"/>
        <v>1</v>
      </c>
      <c r="Y10" s="26" t="b">
        <f t="shared" si="4"/>
        <v>1</v>
      </c>
      <c r="Z10" s="26" t="b">
        <f t="shared" si="4"/>
        <v>1</v>
      </c>
      <c r="AA10" s="26" t="b">
        <f t="shared" si="4"/>
        <v>1</v>
      </c>
      <c r="AB10" s="26" t="b">
        <f t="shared" si="4"/>
        <v>1</v>
      </c>
      <c r="AC10" s="26" t="b">
        <f t="shared" si="4"/>
        <v>1</v>
      </c>
      <c r="AD10" s="26" t="b">
        <f t="shared" si="4"/>
        <v>1</v>
      </c>
      <c r="AE10" s="26" t="b">
        <f t="shared" si="4"/>
        <v>1</v>
      </c>
      <c r="AF10" s="26" t="b">
        <f t="shared" si="4"/>
        <v>1</v>
      </c>
    </row>
    <row r="11" spans="1:45" s="24" customFormat="1" ht="12" customHeight="1" thickBot="1">
      <c r="E11" s="213">
        <v>8</v>
      </c>
      <c r="F11" s="211">
        <f ca="1">COUNTIF(OFFSET(Match!$C$26,0,0,NoSeq,1),$E11)</f>
        <v>0</v>
      </c>
      <c r="G11" s="212">
        <f ca="1">COUNTIF(OFFSET(Match!$D$26,0,0,NoSeq,1),$E11)</f>
        <v>0</v>
      </c>
      <c r="H11" s="22"/>
      <c r="I11" s="223" t="s">
        <v>36</v>
      </c>
      <c r="K11" s="24">
        <v>0</v>
      </c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</row>
    <row r="12" spans="1:45" ht="21.75" customHeight="1" thickTop="1" thickBot="1">
      <c r="A12" s="88"/>
      <c r="E12" s="213">
        <v>9</v>
      </c>
      <c r="F12" s="211">
        <f ca="1">COUNTIF(OFFSET(Match!$C$26,0,0,NoSeq,1),$E12)</f>
        <v>0</v>
      </c>
      <c r="G12" s="212">
        <f ca="1">COUNTIF(OFFSET(Match!$D$26,0,0,NoSeq,1),$E12)</f>
        <v>0</v>
      </c>
      <c r="H12" s="194">
        <v>3</v>
      </c>
      <c r="I12" s="224"/>
      <c r="K12">
        <v>0</v>
      </c>
      <c r="L12" s="20" t="s">
        <v>2</v>
      </c>
      <c r="M12" s="149">
        <f t="shared" ref="M12:AF12" ca="1" si="5">IF(M$20=0,0,M16/M$20)*100</f>
        <v>100</v>
      </c>
      <c r="N12" s="149">
        <f t="shared" ref="N12:AF12" ca="1" si="6">IF(N$20=0,0,N16/N$20)*100</f>
        <v>0</v>
      </c>
      <c r="O12" s="149">
        <f t="shared" ca="1" si="6"/>
        <v>0</v>
      </c>
      <c r="P12" s="149">
        <f t="shared" ca="1" si="6"/>
        <v>0</v>
      </c>
      <c r="Q12" s="149">
        <f t="shared" ca="1" si="6"/>
        <v>100</v>
      </c>
      <c r="R12" s="149">
        <f t="shared" ca="1" si="6"/>
        <v>0</v>
      </c>
      <c r="S12" s="149">
        <f t="shared" ca="1" si="6"/>
        <v>0</v>
      </c>
      <c r="T12" s="149">
        <f t="shared" ca="1" si="6"/>
        <v>0</v>
      </c>
      <c r="U12" s="149">
        <f t="shared" ca="1" si="6"/>
        <v>100</v>
      </c>
      <c r="V12" s="149">
        <f t="shared" ca="1" si="6"/>
        <v>0</v>
      </c>
      <c r="W12" s="149">
        <f t="shared" ca="1" si="6"/>
        <v>0</v>
      </c>
      <c r="X12" s="149">
        <f t="shared" ca="1" si="6"/>
        <v>33.333333333333329</v>
      </c>
      <c r="Y12" s="149">
        <f t="shared" ca="1" si="6"/>
        <v>100</v>
      </c>
      <c r="Z12" s="149">
        <f t="shared" ca="1" si="6"/>
        <v>0</v>
      </c>
      <c r="AA12" s="149">
        <f t="shared" ca="1" si="6"/>
        <v>0</v>
      </c>
      <c r="AB12" s="149">
        <f t="shared" ca="1" si="6"/>
        <v>0</v>
      </c>
      <c r="AC12" s="149">
        <f t="shared" ca="1" si="6"/>
        <v>100</v>
      </c>
      <c r="AD12" s="149">
        <f t="shared" ca="1" si="6"/>
        <v>0</v>
      </c>
      <c r="AE12" s="149">
        <f t="shared" ca="1" si="6"/>
        <v>0</v>
      </c>
      <c r="AF12" s="149">
        <f t="shared" ca="1" si="6"/>
        <v>0</v>
      </c>
    </row>
    <row r="13" spans="1:45" ht="21.75" customHeight="1" thickBot="1">
      <c r="A13" s="88"/>
      <c r="E13" s="213">
        <v>10</v>
      </c>
      <c r="F13" s="211">
        <f ca="1">COUNTIF(OFFSET(Match!$C$26,0,0,NoSeq,1),$E13)</f>
        <v>0</v>
      </c>
      <c r="G13" s="212">
        <f ca="1">COUNTIF(OFFSET(Match!$D$26,0,0,NoSeq,1),$E13)</f>
        <v>0</v>
      </c>
      <c r="H13" s="106">
        <v>27</v>
      </c>
      <c r="I13" s="222" t="s">
        <v>133</v>
      </c>
      <c r="K13">
        <v>0</v>
      </c>
      <c r="L13" s="20" t="s">
        <v>1</v>
      </c>
      <c r="M13" s="150">
        <f t="shared" ref="M13:AF13" ca="1" si="7">IF(M$20=0,0,M17/M$20)*100</f>
        <v>0</v>
      </c>
      <c r="N13" s="150">
        <f t="shared" ref="N13:AF13" ca="1" si="8">IF(N$20=0,0,N17/N$20)*100</f>
        <v>100</v>
      </c>
      <c r="O13" s="150">
        <f t="shared" ca="1" si="8"/>
        <v>0</v>
      </c>
      <c r="P13" s="150">
        <f t="shared" ca="1" si="8"/>
        <v>0</v>
      </c>
      <c r="Q13" s="150">
        <f t="shared" ca="1" si="8"/>
        <v>0</v>
      </c>
      <c r="R13" s="150">
        <f t="shared" ca="1" si="8"/>
        <v>66.666666666666657</v>
      </c>
      <c r="S13" s="150">
        <f t="shared" ca="1" si="8"/>
        <v>0</v>
      </c>
      <c r="T13" s="150">
        <f t="shared" ca="1" si="8"/>
        <v>0</v>
      </c>
      <c r="U13" s="150">
        <f t="shared" ca="1" si="8"/>
        <v>0</v>
      </c>
      <c r="V13" s="150">
        <f t="shared" ca="1" si="8"/>
        <v>100</v>
      </c>
      <c r="W13" s="150">
        <f t="shared" ca="1" si="8"/>
        <v>0</v>
      </c>
      <c r="X13" s="150">
        <f t="shared" ca="1" si="8"/>
        <v>0</v>
      </c>
      <c r="Y13" s="150">
        <f t="shared" ca="1" si="8"/>
        <v>0</v>
      </c>
      <c r="Z13" s="150">
        <f t="shared" ca="1" si="8"/>
        <v>100</v>
      </c>
      <c r="AA13" s="150">
        <f t="shared" ca="1" si="8"/>
        <v>0</v>
      </c>
      <c r="AB13" s="150">
        <f t="shared" ca="1" si="8"/>
        <v>0</v>
      </c>
      <c r="AC13" s="150">
        <f t="shared" ca="1" si="8"/>
        <v>0</v>
      </c>
      <c r="AD13" s="150">
        <f t="shared" ca="1" si="8"/>
        <v>100</v>
      </c>
      <c r="AE13" s="150">
        <f t="shared" ca="1" si="8"/>
        <v>0</v>
      </c>
      <c r="AF13" s="150">
        <f t="shared" ca="1" si="8"/>
        <v>0</v>
      </c>
    </row>
    <row r="14" spans="1:45" ht="21.75" customHeight="1" thickTop="1" thickBot="1">
      <c r="A14" s="88"/>
      <c r="E14" s="213">
        <v>11</v>
      </c>
      <c r="F14" s="211">
        <f ca="1">COUNTIF(OFFSET(Match!$C$26,0,0,NoSeq,1),$E14)</f>
        <v>0</v>
      </c>
      <c r="G14" s="212">
        <f ca="1">COUNTIF(OFFSET(Match!$D$26,0,0,NoSeq,1),$E14)</f>
        <v>0</v>
      </c>
      <c r="H14" s="106">
        <v>10</v>
      </c>
      <c r="I14" s="222" t="s">
        <v>134</v>
      </c>
      <c r="K14">
        <v>0</v>
      </c>
      <c r="L14" s="20" t="s">
        <v>4</v>
      </c>
      <c r="M14" s="150">
        <f t="shared" ref="M14:AF14" ca="1" si="9">IF(M$20=0,0,M18/M$20)*100</f>
        <v>0</v>
      </c>
      <c r="N14" s="150">
        <f t="shared" ref="N14:AF14" ca="1" si="10">IF(N$20=0,0,N18/N$20)*100</f>
        <v>0</v>
      </c>
      <c r="O14" s="150">
        <f t="shared" ca="1" si="10"/>
        <v>100</v>
      </c>
      <c r="P14" s="150">
        <f t="shared" ca="1" si="10"/>
        <v>0</v>
      </c>
      <c r="Q14" s="150">
        <f t="shared" ca="1" si="10"/>
        <v>0</v>
      </c>
      <c r="R14" s="150">
        <f t="shared" ca="1" si="10"/>
        <v>33.333333333333329</v>
      </c>
      <c r="S14" s="150">
        <f t="shared" ca="1" si="10"/>
        <v>100</v>
      </c>
      <c r="T14" s="150">
        <f t="shared" ca="1" si="10"/>
        <v>0</v>
      </c>
      <c r="U14" s="150">
        <f t="shared" ca="1" si="10"/>
        <v>0</v>
      </c>
      <c r="V14" s="150">
        <f t="shared" ca="1" si="10"/>
        <v>0</v>
      </c>
      <c r="W14" s="150">
        <f t="shared" ca="1" si="10"/>
        <v>100</v>
      </c>
      <c r="X14" s="150">
        <f t="shared" ca="1" si="10"/>
        <v>0</v>
      </c>
      <c r="Y14" s="150">
        <f t="shared" ca="1" si="10"/>
        <v>0</v>
      </c>
      <c r="Z14" s="150">
        <f t="shared" ca="1" si="10"/>
        <v>0</v>
      </c>
      <c r="AA14" s="150">
        <f t="shared" ca="1" si="10"/>
        <v>100</v>
      </c>
      <c r="AB14" s="150">
        <f t="shared" ca="1" si="10"/>
        <v>0</v>
      </c>
      <c r="AC14" s="150">
        <f t="shared" ca="1" si="10"/>
        <v>0</v>
      </c>
      <c r="AD14" s="150">
        <f t="shared" ca="1" si="10"/>
        <v>0</v>
      </c>
      <c r="AE14" s="150">
        <f t="shared" ca="1" si="10"/>
        <v>100</v>
      </c>
      <c r="AF14" s="150">
        <f t="shared" ca="1" si="10"/>
        <v>0</v>
      </c>
    </row>
    <row r="15" spans="1:45" ht="21.75" customHeight="1" thickTop="1" thickBot="1">
      <c r="A15" s="88"/>
      <c r="E15" s="216">
        <v>12</v>
      </c>
      <c r="F15" s="217">
        <f ca="1">COUNTIF(OFFSET(Match!$C$26,0,0,NoSeq,1),$E15)</f>
        <v>0</v>
      </c>
      <c r="G15" s="218">
        <f ca="1">COUNTIF(OFFSET(Match!$D$26,0,0,NoSeq,1),$E15)</f>
        <v>0</v>
      </c>
      <c r="H15" s="185">
        <v>55</v>
      </c>
      <c r="I15" s="225" t="s">
        <v>139</v>
      </c>
      <c r="K15">
        <v>0</v>
      </c>
      <c r="L15" s="20" t="s">
        <v>3</v>
      </c>
      <c r="M15" s="151">
        <f t="shared" ref="M15:AF15" ca="1" si="11">IF(M$20=0,0,M19/M$20)*100</f>
        <v>0</v>
      </c>
      <c r="N15" s="151">
        <f t="shared" ref="N15:AF15" ca="1" si="12">IF(N$20=0,0,N19/N$20)*100</f>
        <v>0</v>
      </c>
      <c r="O15" s="151">
        <f t="shared" ca="1" si="12"/>
        <v>0</v>
      </c>
      <c r="P15" s="151">
        <f t="shared" ca="1" si="12"/>
        <v>100</v>
      </c>
      <c r="Q15" s="151">
        <f t="shared" ca="1" si="12"/>
        <v>0</v>
      </c>
      <c r="R15" s="151">
        <f t="shared" ca="1" si="12"/>
        <v>0</v>
      </c>
      <c r="S15" s="151">
        <f t="shared" ca="1" si="12"/>
        <v>0</v>
      </c>
      <c r="T15" s="151">
        <f t="shared" ca="1" si="12"/>
        <v>100</v>
      </c>
      <c r="U15" s="151">
        <f t="shared" ca="1" si="12"/>
        <v>0</v>
      </c>
      <c r="V15" s="151">
        <f t="shared" ca="1" si="12"/>
        <v>0</v>
      </c>
      <c r="W15" s="151">
        <f t="shared" ca="1" si="12"/>
        <v>0</v>
      </c>
      <c r="X15" s="151">
        <f t="shared" ca="1" si="12"/>
        <v>66.666666666666657</v>
      </c>
      <c r="Y15" s="151">
        <f t="shared" ca="1" si="12"/>
        <v>0</v>
      </c>
      <c r="Z15" s="151">
        <f t="shared" ca="1" si="12"/>
        <v>0</v>
      </c>
      <c r="AA15" s="151">
        <f t="shared" ca="1" si="12"/>
        <v>0</v>
      </c>
      <c r="AB15" s="151">
        <f t="shared" ca="1" si="12"/>
        <v>100</v>
      </c>
      <c r="AC15" s="151">
        <f t="shared" ca="1" si="12"/>
        <v>0</v>
      </c>
      <c r="AD15" s="151">
        <f t="shared" ca="1" si="12"/>
        <v>0</v>
      </c>
      <c r="AE15" s="151">
        <f t="shared" ca="1" si="12"/>
        <v>0</v>
      </c>
      <c r="AF15" s="151">
        <f t="shared" ca="1" si="12"/>
        <v>100</v>
      </c>
    </row>
    <row r="16" spans="1:45" ht="23.25" hidden="1" customHeight="1" outlineLevel="1" thickTop="1">
      <c r="E16" s="42">
        <v>13</v>
      </c>
      <c r="F16" s="181">
        <f ca="1">COUNTIF(Match!$C$26:$C$28,$E16)</f>
        <v>0</v>
      </c>
      <c r="G16" s="181">
        <f ca="1">COUNTIF(Match!$D$26:$D$28,$E16)</f>
        <v>0</v>
      </c>
      <c r="K16">
        <v>0</v>
      </c>
      <c r="L16" s="20" t="s">
        <v>2</v>
      </c>
      <c r="M16" s="17">
        <f t="shared" ref="M16:AF16" ca="1" si="13">COUNTIF(OFFSET(col,0,0,NoSeq,1),"A")</f>
        <v>3</v>
      </c>
      <c r="N16" s="17">
        <f t="shared" ca="1" si="13"/>
        <v>0</v>
      </c>
      <c r="O16" s="17">
        <f t="shared" ca="1" si="13"/>
        <v>0</v>
      </c>
      <c r="P16" s="17">
        <f t="shared" ca="1" si="13"/>
        <v>0</v>
      </c>
      <c r="Q16" s="17">
        <f t="shared" ca="1" si="13"/>
        <v>3</v>
      </c>
      <c r="R16" s="17">
        <f t="shared" ca="1" si="13"/>
        <v>0</v>
      </c>
      <c r="S16" s="17">
        <f t="shared" ca="1" si="13"/>
        <v>0</v>
      </c>
      <c r="T16" s="17">
        <f t="shared" ca="1" si="13"/>
        <v>0</v>
      </c>
      <c r="U16" s="17">
        <f t="shared" ca="1" si="13"/>
        <v>3</v>
      </c>
      <c r="V16" s="17">
        <f t="shared" ca="1" si="13"/>
        <v>0</v>
      </c>
      <c r="W16" s="17">
        <f t="shared" ca="1" si="13"/>
        <v>0</v>
      </c>
      <c r="X16" s="17">
        <f t="shared" ca="1" si="13"/>
        <v>1</v>
      </c>
      <c r="Y16" s="17">
        <f t="shared" ca="1" si="13"/>
        <v>3</v>
      </c>
      <c r="Z16" s="17">
        <f t="shared" ca="1" si="13"/>
        <v>0</v>
      </c>
      <c r="AA16" s="17">
        <f t="shared" ca="1" si="13"/>
        <v>0</v>
      </c>
      <c r="AB16" s="17">
        <f t="shared" ca="1" si="13"/>
        <v>0</v>
      </c>
      <c r="AC16" s="17">
        <f t="shared" ca="1" si="13"/>
        <v>3</v>
      </c>
      <c r="AD16" s="17">
        <f t="shared" ca="1" si="13"/>
        <v>0</v>
      </c>
      <c r="AE16" s="17">
        <f t="shared" ca="1" si="13"/>
        <v>0</v>
      </c>
      <c r="AF16" s="17">
        <f t="shared" ca="1" si="13"/>
        <v>0</v>
      </c>
    </row>
    <row r="17" spans="1:32" ht="23.25" hidden="1" customHeight="1" outlineLevel="1">
      <c r="E17" s="42">
        <v>14</v>
      </c>
      <c r="F17" s="91">
        <f ca="1">COUNTIF(Match!$C$26:$C$28,$E17)</f>
        <v>0</v>
      </c>
      <c r="G17" s="91">
        <f ca="1">COUNTIF(Match!$D$26:$D$28,$E17)</f>
        <v>0</v>
      </c>
      <c r="K17">
        <v>0</v>
      </c>
      <c r="L17" s="20" t="s">
        <v>1</v>
      </c>
      <c r="M17" s="18">
        <f t="shared" ref="M17:AF17" ca="1" si="14">COUNTIF(OFFSET(col,0,0,NoSeq,1),"T")+COUNTIF(OFFSET(col,0,0,NoSeq,1),"U")</f>
        <v>0</v>
      </c>
      <c r="N17" s="18">
        <f t="shared" ca="1" si="14"/>
        <v>3</v>
      </c>
      <c r="O17" s="18">
        <f t="shared" ca="1" si="14"/>
        <v>0</v>
      </c>
      <c r="P17" s="18">
        <f t="shared" ca="1" si="14"/>
        <v>0</v>
      </c>
      <c r="Q17" s="18">
        <f t="shared" ca="1" si="14"/>
        <v>0</v>
      </c>
      <c r="R17" s="18">
        <f t="shared" ca="1" si="14"/>
        <v>2</v>
      </c>
      <c r="S17" s="18">
        <f t="shared" ca="1" si="14"/>
        <v>0</v>
      </c>
      <c r="T17" s="18">
        <f t="shared" ca="1" si="14"/>
        <v>0</v>
      </c>
      <c r="U17" s="18">
        <f t="shared" ca="1" si="14"/>
        <v>0</v>
      </c>
      <c r="V17" s="18">
        <f t="shared" ca="1" si="14"/>
        <v>3</v>
      </c>
      <c r="W17" s="18">
        <f t="shared" ca="1" si="14"/>
        <v>0</v>
      </c>
      <c r="X17" s="18">
        <f t="shared" ca="1" si="14"/>
        <v>0</v>
      </c>
      <c r="Y17" s="18">
        <f t="shared" ca="1" si="14"/>
        <v>0</v>
      </c>
      <c r="Z17" s="18">
        <f t="shared" ca="1" si="14"/>
        <v>3</v>
      </c>
      <c r="AA17" s="18">
        <f t="shared" ca="1" si="14"/>
        <v>0</v>
      </c>
      <c r="AB17" s="18">
        <f t="shared" ca="1" si="14"/>
        <v>0</v>
      </c>
      <c r="AC17" s="18">
        <f t="shared" ca="1" si="14"/>
        <v>0</v>
      </c>
      <c r="AD17" s="18">
        <f t="shared" ca="1" si="14"/>
        <v>3</v>
      </c>
      <c r="AE17" s="18">
        <f t="shared" ca="1" si="14"/>
        <v>0</v>
      </c>
      <c r="AF17" s="18">
        <f t="shared" ca="1" si="14"/>
        <v>0</v>
      </c>
    </row>
    <row r="18" spans="1:32" ht="21" hidden="1" customHeight="1" outlineLevel="1">
      <c r="L18" s="20" t="s">
        <v>4</v>
      </c>
      <c r="M18" s="18">
        <f t="shared" ref="M18:AF18" ca="1" si="15">COUNTIF(OFFSET(col,0,0,NoSeq,1),"C")</f>
        <v>0</v>
      </c>
      <c r="N18" s="18">
        <f t="shared" ca="1" si="15"/>
        <v>0</v>
      </c>
      <c r="O18" s="18">
        <f t="shared" ca="1" si="15"/>
        <v>3</v>
      </c>
      <c r="P18" s="18">
        <f t="shared" ca="1" si="15"/>
        <v>0</v>
      </c>
      <c r="Q18" s="18">
        <f t="shared" ca="1" si="15"/>
        <v>0</v>
      </c>
      <c r="R18" s="18">
        <f t="shared" ca="1" si="15"/>
        <v>1</v>
      </c>
      <c r="S18" s="18">
        <f t="shared" ca="1" si="15"/>
        <v>3</v>
      </c>
      <c r="T18" s="18">
        <f t="shared" ca="1" si="15"/>
        <v>0</v>
      </c>
      <c r="U18" s="18">
        <f t="shared" ca="1" si="15"/>
        <v>0</v>
      </c>
      <c r="V18" s="18">
        <f t="shared" ca="1" si="15"/>
        <v>0</v>
      </c>
      <c r="W18" s="18">
        <f t="shared" ca="1" si="15"/>
        <v>3</v>
      </c>
      <c r="X18" s="18">
        <f t="shared" ca="1" si="15"/>
        <v>0</v>
      </c>
      <c r="Y18" s="18">
        <f t="shared" ca="1" si="15"/>
        <v>0</v>
      </c>
      <c r="Z18" s="18">
        <f t="shared" ca="1" si="15"/>
        <v>0</v>
      </c>
      <c r="AA18" s="18">
        <f t="shared" ca="1" si="15"/>
        <v>3</v>
      </c>
      <c r="AB18" s="18">
        <f t="shared" ca="1" si="15"/>
        <v>0</v>
      </c>
      <c r="AC18" s="18">
        <f t="shared" ca="1" si="15"/>
        <v>0</v>
      </c>
      <c r="AD18" s="18">
        <f t="shared" ca="1" si="15"/>
        <v>0</v>
      </c>
      <c r="AE18" s="18">
        <f t="shared" ca="1" si="15"/>
        <v>3</v>
      </c>
      <c r="AF18" s="18">
        <f t="shared" ca="1" si="15"/>
        <v>0</v>
      </c>
    </row>
    <row r="19" spans="1:32" ht="24.75" hidden="1" customHeight="1" outlineLevel="1">
      <c r="J19" t="b">
        <v>0</v>
      </c>
      <c r="L19" s="20" t="s">
        <v>3</v>
      </c>
      <c r="M19" s="19">
        <f t="shared" ref="M19:AF19" ca="1" si="16">COUNTIF(OFFSET(col,0,0,NoSeq,1),"G")</f>
        <v>0</v>
      </c>
      <c r="N19" s="19">
        <f t="shared" ca="1" si="16"/>
        <v>0</v>
      </c>
      <c r="O19" s="19">
        <f t="shared" ca="1" si="16"/>
        <v>0</v>
      </c>
      <c r="P19" s="19">
        <f t="shared" ca="1" si="16"/>
        <v>3</v>
      </c>
      <c r="Q19" s="19">
        <f t="shared" ca="1" si="16"/>
        <v>0</v>
      </c>
      <c r="R19" s="19">
        <f t="shared" ca="1" si="16"/>
        <v>0</v>
      </c>
      <c r="S19" s="19">
        <f t="shared" ca="1" si="16"/>
        <v>0</v>
      </c>
      <c r="T19" s="19">
        <f t="shared" ca="1" si="16"/>
        <v>3</v>
      </c>
      <c r="U19" s="19">
        <f t="shared" ca="1" si="16"/>
        <v>0</v>
      </c>
      <c r="V19" s="19">
        <f t="shared" ca="1" si="16"/>
        <v>0</v>
      </c>
      <c r="W19" s="19">
        <f t="shared" ca="1" si="16"/>
        <v>0</v>
      </c>
      <c r="X19" s="19">
        <f t="shared" ca="1" si="16"/>
        <v>2</v>
      </c>
      <c r="Y19" s="19">
        <f t="shared" ca="1" si="16"/>
        <v>0</v>
      </c>
      <c r="Z19" s="19">
        <f t="shared" ca="1" si="16"/>
        <v>0</v>
      </c>
      <c r="AA19" s="19">
        <f t="shared" ca="1" si="16"/>
        <v>0</v>
      </c>
      <c r="AB19" s="19">
        <f t="shared" ca="1" si="16"/>
        <v>3</v>
      </c>
      <c r="AC19" s="19">
        <f t="shared" ca="1" si="16"/>
        <v>0</v>
      </c>
      <c r="AD19" s="19">
        <f t="shared" ca="1" si="16"/>
        <v>0</v>
      </c>
      <c r="AE19" s="19">
        <f t="shared" ca="1" si="16"/>
        <v>0</v>
      </c>
      <c r="AF19" s="19">
        <f t="shared" ca="1" si="16"/>
        <v>3</v>
      </c>
    </row>
    <row r="20" spans="1:32" ht="22.5" customHeight="1" collapsed="1" thickTop="1" thickBot="1">
      <c r="B20" s="21"/>
      <c r="C20" s="94"/>
      <c r="D20" s="106"/>
      <c r="E20" s="22"/>
      <c r="F20" s="25"/>
      <c r="K20">
        <v>2</v>
      </c>
      <c r="L20" t="s">
        <v>0</v>
      </c>
      <c r="M20" s="41">
        <f t="shared" ref="M20:AF20" ca="1" si="17">SUM(M16:M19)</f>
        <v>3</v>
      </c>
      <c r="N20" s="41">
        <f t="shared" ref="N20:AF20" ca="1" si="18">SUM(N16:N19)</f>
        <v>3</v>
      </c>
      <c r="O20" s="41">
        <f t="shared" ca="1" si="18"/>
        <v>3</v>
      </c>
      <c r="P20" s="41">
        <f t="shared" ca="1" si="18"/>
        <v>3</v>
      </c>
      <c r="Q20" s="41">
        <f t="shared" ca="1" si="18"/>
        <v>3</v>
      </c>
      <c r="R20" s="41">
        <f t="shared" ca="1" si="18"/>
        <v>3</v>
      </c>
      <c r="S20" s="41">
        <f t="shared" ca="1" si="18"/>
        <v>3</v>
      </c>
      <c r="T20" s="41">
        <f t="shared" ca="1" si="18"/>
        <v>3</v>
      </c>
      <c r="U20" s="41">
        <f t="shared" ca="1" si="18"/>
        <v>3</v>
      </c>
      <c r="V20" s="41">
        <f t="shared" ca="1" si="18"/>
        <v>3</v>
      </c>
      <c r="W20" s="41">
        <f t="shared" ca="1" si="18"/>
        <v>3</v>
      </c>
      <c r="X20" s="41">
        <f t="shared" ca="1" si="18"/>
        <v>3</v>
      </c>
      <c r="Y20" s="41">
        <f t="shared" ca="1" si="18"/>
        <v>3</v>
      </c>
      <c r="Z20" s="41">
        <f t="shared" ca="1" si="18"/>
        <v>3</v>
      </c>
      <c r="AA20" s="41">
        <f t="shared" ca="1" si="18"/>
        <v>3</v>
      </c>
      <c r="AB20" s="41">
        <f t="shared" ca="1" si="18"/>
        <v>3</v>
      </c>
      <c r="AC20" s="41">
        <f t="shared" ca="1" si="18"/>
        <v>3</v>
      </c>
      <c r="AD20" s="41">
        <f t="shared" ca="1" si="18"/>
        <v>3</v>
      </c>
      <c r="AE20" s="41">
        <f t="shared" ca="1" si="18"/>
        <v>3</v>
      </c>
      <c r="AF20" s="41">
        <f t="shared" ca="1" si="18"/>
        <v>3</v>
      </c>
    </row>
    <row r="21" spans="1:32" s="15" customFormat="1" ht="20.25" customHeight="1" thickTop="1">
      <c r="A21" s="15" t="s">
        <v>30</v>
      </c>
      <c r="B21" s="96" t="str">
        <f>MID(Import!C5,1,3)</f>
        <v>gr</v>
      </c>
      <c r="C21" s="96" t="str">
        <f>MID(Import!D5,1,3)</f>
        <v/>
      </c>
      <c r="D21" s="96" t="str">
        <f>MID(Import!E5,1,3)</f>
        <v/>
      </c>
      <c r="E21" s="96" t="str">
        <f>MID(Import!F5,1,3)</f>
        <v/>
      </c>
      <c r="F21" s="15" t="s">
        <v>31</v>
      </c>
      <c r="G21" s="15" t="s">
        <v>34</v>
      </c>
      <c r="H21" s="15" t="s">
        <v>35</v>
      </c>
      <c r="I21" s="15" t="s">
        <v>32</v>
      </c>
      <c r="K21" s="15" t="s">
        <v>31</v>
      </c>
      <c r="L21" s="27">
        <f>SeqStart-1</f>
        <v>0</v>
      </c>
      <c r="M21" s="27">
        <f t="shared" ref="M21:AF21" si="19">L21+1</f>
        <v>1</v>
      </c>
      <c r="N21" s="27">
        <f t="shared" ref="N21" si="20">M21+1</f>
        <v>2</v>
      </c>
      <c r="O21" s="27">
        <f t="shared" ref="O21" si="21">N21+1</f>
        <v>3</v>
      </c>
      <c r="P21" s="27">
        <f t="shared" ref="P21" si="22">O21+1</f>
        <v>4</v>
      </c>
      <c r="Q21" s="27">
        <f t="shared" ref="Q21" si="23">P21+1</f>
        <v>5</v>
      </c>
      <c r="R21" s="27">
        <f t="shared" ref="R21" si="24">Q21+1</f>
        <v>6</v>
      </c>
      <c r="S21" s="27">
        <f t="shared" ref="S21" si="25">R21+1</f>
        <v>7</v>
      </c>
      <c r="T21" s="27">
        <f t="shared" ref="T21" si="26">S21+1</f>
        <v>8</v>
      </c>
      <c r="U21" s="27">
        <f t="shared" ref="U21" si="27">T21+1</f>
        <v>9</v>
      </c>
      <c r="V21" s="27">
        <f t="shared" ref="V21" si="28">U21+1</f>
        <v>10</v>
      </c>
      <c r="W21" s="27">
        <f t="shared" ref="W21" si="29">V21+1</f>
        <v>11</v>
      </c>
      <c r="X21" s="27">
        <f t="shared" ref="X21" si="30">W21+1</f>
        <v>12</v>
      </c>
      <c r="Y21" s="27">
        <f t="shared" ref="Y21" si="31">X21+1</f>
        <v>13</v>
      </c>
      <c r="Z21" s="27">
        <f t="shared" ref="Z21" si="32">Y21+1</f>
        <v>14</v>
      </c>
      <c r="AA21" s="27">
        <f t="shared" ref="AA21" si="33">Z21+1</f>
        <v>15</v>
      </c>
      <c r="AB21" s="27">
        <f t="shared" ref="AB21" si="34">AA21+1</f>
        <v>16</v>
      </c>
      <c r="AC21" s="27">
        <f t="shared" ref="AC21" si="35">AB21+1</f>
        <v>17</v>
      </c>
      <c r="AD21" s="27">
        <f t="shared" ref="AD21" si="36">AC21+1</f>
        <v>18</v>
      </c>
      <c r="AE21" s="27">
        <f t="shared" ref="AE21" si="37">AD21+1</f>
        <v>19</v>
      </c>
      <c r="AF21" s="27">
        <f t="shared" ref="AF21" si="38">AE21+1</f>
        <v>20</v>
      </c>
    </row>
    <row r="22" spans="1:32" ht="15" customHeight="1">
      <c r="A22" s="156" t="b">
        <f t="shared" ref="A22:A24" si="39">IF(OnlyWorst,$J22&gt;=ErrorFiltre,AND(OR(Gr="",Gr=$B22),OR(Cla="",Cla=$C22),OR(Esp="",Esp=$D22),OR(Lin="",Lin=$E22),$I22&lt;&gt;0))</f>
        <v>1</v>
      </c>
      <c r="B22" s="157" t="str">
        <f>Import!C6</f>
        <v>A</v>
      </c>
      <c r="C22" s="157">
        <f>Import!D6</f>
        <v>0</v>
      </c>
      <c r="D22" s="158">
        <f>Import!E6</f>
        <v>0</v>
      </c>
      <c r="E22" s="96">
        <f>Import!F6</f>
        <v>0</v>
      </c>
      <c r="F22" s="195">
        <f ca="1">COUNTIF(OFFSET(Match!$M26,0,0,1,NoNt),2)</f>
        <v>0</v>
      </c>
      <c r="G22" s="15">
        <f ca="1">COUNTIF(OFFSET(Match!$M26,0,0,1,NoNt),1)+F22</f>
        <v>2</v>
      </c>
      <c r="H22" s="15">
        <f ca="1">IF(ActivPrim="",COUNTIF(OFFSET($M22,0,0,1,NoNt),"&gt;&lt;" &amp; "-"),PrimerLen-COUNTIF(OFFSET(Match!$M26,0,0,1,NoNt),3))</f>
        <v>20</v>
      </c>
      <c r="I22" s="23" t="str">
        <f>Import!A6</f>
        <v>seq1</v>
      </c>
      <c r="K22">
        <v>0</v>
      </c>
      <c r="M22" t="str">
        <f t="shared" ref="M22:AF24" si="40" xml:space="preserve"> IF(selected,MID(seq,pos,1),"")</f>
        <v>A</v>
      </c>
      <c r="N22" t="str">
        <f t="shared" si="40"/>
        <v>T</v>
      </c>
      <c r="O22" t="str">
        <f t="shared" si="40"/>
        <v>C</v>
      </c>
      <c r="P22" t="str">
        <f t="shared" si="40"/>
        <v>G</v>
      </c>
      <c r="Q22" t="str">
        <f t="shared" si="40"/>
        <v>A</v>
      </c>
      <c r="R22" t="str">
        <f t="shared" si="40"/>
        <v>T</v>
      </c>
      <c r="S22" t="str">
        <f t="shared" si="40"/>
        <v>C</v>
      </c>
      <c r="T22" t="str">
        <f t="shared" si="40"/>
        <v>G</v>
      </c>
      <c r="U22" t="str">
        <f t="shared" si="40"/>
        <v>A</v>
      </c>
      <c r="V22" t="str">
        <f t="shared" si="40"/>
        <v>T</v>
      </c>
      <c r="W22" t="str">
        <f t="shared" si="40"/>
        <v>C</v>
      </c>
      <c r="X22" t="str">
        <f t="shared" si="40"/>
        <v>G</v>
      </c>
      <c r="Y22" t="str">
        <f t="shared" si="40"/>
        <v>A</v>
      </c>
      <c r="Z22" t="str">
        <f t="shared" si="40"/>
        <v>T</v>
      </c>
      <c r="AA22" t="str">
        <f t="shared" si="40"/>
        <v>C</v>
      </c>
      <c r="AB22" t="str">
        <f t="shared" si="40"/>
        <v>G</v>
      </c>
      <c r="AC22" t="str">
        <f t="shared" si="40"/>
        <v>A</v>
      </c>
      <c r="AD22" t="str">
        <f t="shared" si="40"/>
        <v>T</v>
      </c>
      <c r="AE22" t="str">
        <f t="shared" si="40"/>
        <v>C</v>
      </c>
      <c r="AF22" t="str">
        <f t="shared" si="40"/>
        <v>G</v>
      </c>
    </row>
    <row r="23" spans="1:32" ht="15" customHeight="1">
      <c r="A23" s="156" t="b">
        <f t="shared" si="39"/>
        <v>1</v>
      </c>
      <c r="B23" s="157" t="str">
        <f>Import!C7</f>
        <v>B</v>
      </c>
      <c r="C23" s="157">
        <f>Import!D7</f>
        <v>0</v>
      </c>
      <c r="D23" s="158">
        <f>Import!E7</f>
        <v>0</v>
      </c>
      <c r="E23" s="96">
        <f>Import!F7</f>
        <v>0</v>
      </c>
      <c r="F23" s="195">
        <f ca="1">COUNTIF(OFFSET(Match!$M27,0,0,1,NoNt),2)</f>
        <v>0</v>
      </c>
      <c r="G23" s="15">
        <f ca="1">COUNTIF(OFFSET(Match!$M27,0,0,1,NoNt),1)+F23</f>
        <v>2</v>
      </c>
      <c r="H23" s="15">
        <f ca="1">IF(ActivPrim="",COUNTIF(OFFSET($M23,0,0,1,NoNt),"&gt;&lt;" &amp; "-"),PrimerLen-COUNTIF(OFFSET(Match!$M27,0,0,1,NoNt),3))</f>
        <v>20</v>
      </c>
      <c r="I23" s="23" t="str">
        <f>Import!A7</f>
        <v>seq2</v>
      </c>
      <c r="K23">
        <v>0</v>
      </c>
      <c r="M23" t="str">
        <f t="shared" si="40"/>
        <v>A</v>
      </c>
      <c r="N23" t="str">
        <f t="shared" si="40"/>
        <v>T</v>
      </c>
      <c r="O23" t="str">
        <f t="shared" si="40"/>
        <v>C</v>
      </c>
      <c r="P23" t="str">
        <f t="shared" si="40"/>
        <v>G</v>
      </c>
      <c r="Q23" t="str">
        <f t="shared" si="40"/>
        <v>A</v>
      </c>
      <c r="R23" t="str">
        <f t="shared" si="40"/>
        <v>C</v>
      </c>
      <c r="S23" t="str">
        <f t="shared" si="40"/>
        <v>C</v>
      </c>
      <c r="T23" t="str">
        <f t="shared" si="40"/>
        <v>G</v>
      </c>
      <c r="U23" t="str">
        <f t="shared" si="40"/>
        <v>A</v>
      </c>
      <c r="V23" t="str">
        <f t="shared" si="40"/>
        <v>T</v>
      </c>
      <c r="W23" t="str">
        <f t="shared" si="40"/>
        <v>C</v>
      </c>
      <c r="X23" t="str">
        <f t="shared" si="40"/>
        <v>G</v>
      </c>
      <c r="Y23" t="str">
        <f t="shared" si="40"/>
        <v>A</v>
      </c>
      <c r="Z23" t="str">
        <f t="shared" si="40"/>
        <v>T</v>
      </c>
      <c r="AA23" t="str">
        <f t="shared" si="40"/>
        <v>C</v>
      </c>
      <c r="AB23" t="str">
        <f t="shared" si="40"/>
        <v>G</v>
      </c>
      <c r="AC23" t="str">
        <f t="shared" si="40"/>
        <v>A</v>
      </c>
      <c r="AD23" t="str">
        <f t="shared" si="40"/>
        <v>T</v>
      </c>
      <c r="AE23" t="str">
        <f t="shared" si="40"/>
        <v>C</v>
      </c>
      <c r="AF23" t="str">
        <f t="shared" si="40"/>
        <v>G</v>
      </c>
    </row>
    <row r="24" spans="1:32" ht="15" customHeight="1">
      <c r="A24" s="156" t="b">
        <f t="shared" si="39"/>
        <v>1</v>
      </c>
      <c r="B24" s="157" t="str">
        <f>Import!C8</f>
        <v>A</v>
      </c>
      <c r="C24" s="157">
        <f>Import!D8</f>
        <v>0</v>
      </c>
      <c r="D24" s="158">
        <f>Import!E8</f>
        <v>0</v>
      </c>
      <c r="E24" s="96">
        <f>Import!F8</f>
        <v>0</v>
      </c>
      <c r="F24" s="195">
        <f ca="1">COUNTIF(OFFSET(Match!$M28,0,0,1,NoNt),2)</f>
        <v>0</v>
      </c>
      <c r="G24" s="15">
        <f ca="1">COUNTIF(OFFSET(Match!$M28,0,0,1,NoNt),1)+F24</f>
        <v>2</v>
      </c>
      <c r="H24" s="15">
        <f ca="1">IF(ActivPrim="",COUNTIF(OFFSET($M24,0,0,1,NoNt),"&gt;&lt;" &amp; "-"),PrimerLen-COUNTIF(OFFSET(Match!$M28,0,0,1,NoNt),3))</f>
        <v>20</v>
      </c>
      <c r="I24" s="23" t="str">
        <f>Import!A8</f>
        <v>seq3</v>
      </c>
      <c r="K24">
        <v>0</v>
      </c>
      <c r="M24" t="str">
        <f t="shared" si="40"/>
        <v>A</v>
      </c>
      <c r="N24" t="str">
        <f t="shared" si="40"/>
        <v>T</v>
      </c>
      <c r="O24" t="str">
        <f t="shared" si="40"/>
        <v>C</v>
      </c>
      <c r="P24" t="str">
        <f t="shared" si="40"/>
        <v>G</v>
      </c>
      <c r="Q24" t="str">
        <f t="shared" si="40"/>
        <v>A</v>
      </c>
      <c r="R24" t="str">
        <f t="shared" si="40"/>
        <v>T</v>
      </c>
      <c r="S24" t="str">
        <f t="shared" si="40"/>
        <v>C</v>
      </c>
      <c r="T24" t="str">
        <f t="shared" si="40"/>
        <v>G</v>
      </c>
      <c r="U24" t="str">
        <f t="shared" si="40"/>
        <v>A</v>
      </c>
      <c r="V24" t="str">
        <f t="shared" si="40"/>
        <v>T</v>
      </c>
      <c r="W24" t="str">
        <f t="shared" si="40"/>
        <v>C</v>
      </c>
      <c r="X24" t="str">
        <f t="shared" si="40"/>
        <v>A</v>
      </c>
      <c r="Y24" t="str">
        <f t="shared" si="40"/>
        <v>A</v>
      </c>
      <c r="Z24" t="str">
        <f t="shared" si="40"/>
        <v>T</v>
      </c>
      <c r="AA24" t="str">
        <f t="shared" si="40"/>
        <v>C</v>
      </c>
      <c r="AB24" t="str">
        <f t="shared" si="40"/>
        <v>G</v>
      </c>
      <c r="AC24" t="str">
        <f t="shared" si="40"/>
        <v>A</v>
      </c>
      <c r="AD24" t="str">
        <f t="shared" si="40"/>
        <v>T</v>
      </c>
      <c r="AE24" t="str">
        <f t="shared" si="40"/>
        <v>C</v>
      </c>
      <c r="AF24" t="str">
        <f t="shared" si="40"/>
        <v>G</v>
      </c>
    </row>
  </sheetData>
  <conditionalFormatting sqref="B22:E24">
    <cfRule type="cellIs" dxfId="32" priority="507" operator="equal">
      <formula>B$20</formula>
    </cfRule>
  </conditionalFormatting>
  <conditionalFormatting sqref="J1:J1048576">
    <cfRule type="cellIs" dxfId="31" priority="447" operator="notEqual">
      <formula>""</formula>
    </cfRule>
  </conditionalFormatting>
  <conditionalFormatting sqref="M6:AF7">
    <cfRule type="colorScale" priority="228">
      <colorScale>
        <cfvo type="num" val="$H$15-15"/>
        <cfvo type="num" val="$H$15"/>
        <cfvo type="num" val="$H$15+15"/>
        <color rgb="FF0000DE"/>
        <color rgb="FFAFFFAF"/>
        <color rgb="FFBE0000"/>
      </colorScale>
    </cfRule>
    <cfRule type="colorScale" priority="306">
      <colorScale>
        <cfvo type="num" val="f_min"/>
        <cfvo type="num" val="f_med"/>
        <cfvo type="num" val="f_max"/>
        <color rgb="FF0000DE"/>
        <color rgb="FFAFFFAF"/>
        <color rgb="FFBE0000"/>
      </colorScale>
    </cfRule>
  </conditionalFormatting>
  <conditionalFormatting sqref="L12:L20">
    <cfRule type="cellIs" dxfId="30" priority="498" operator="equal">
      <formula>"T"</formula>
    </cfRule>
    <cfRule type="cellIs" dxfId="29" priority="503" operator="equal">
      <formula>"G"</formula>
    </cfRule>
    <cfRule type="cellIs" dxfId="28" priority="504" operator="equal">
      <formula>"C"</formula>
    </cfRule>
    <cfRule type="cellIs" dxfId="27" priority="505" operator="equal">
      <formula>"A"</formula>
    </cfRule>
  </conditionalFormatting>
  <conditionalFormatting sqref="A22:A24">
    <cfRule type="cellIs" dxfId="26" priority="245" operator="equal">
      <formula>TRUE</formula>
    </cfRule>
  </conditionalFormatting>
  <conditionalFormatting sqref="M2:AF7 M12:AF20">
    <cfRule type="cellIs" dxfId="25" priority="230" operator="equal">
      <formula>0</formula>
    </cfRule>
  </conditionalFormatting>
  <conditionalFormatting sqref="M10:AF10">
    <cfRule type="cellIs" dxfId="24" priority="229" operator="equal">
      <formula>TRUE</formula>
    </cfRule>
  </conditionalFormatting>
  <conditionalFormatting sqref="M16:AF20">
    <cfRule type="cellIs" dxfId="23" priority="206" operator="greaterThanOrEqual">
      <formula>Amarillo</formula>
    </cfRule>
    <cfRule type="cellIs" dxfId="22" priority="207" operator="lessThanOrEqual">
      <formula>Gris</formula>
    </cfRule>
  </conditionalFormatting>
  <conditionalFormatting sqref="M8:AF9">
    <cfRule type="cellIs" dxfId="21" priority="214" operator="notEqual">
      <formula>M$1</formula>
    </cfRule>
    <cfRule type="cellIs" dxfId="20" priority="215" operator="equal">
      <formula>"G"</formula>
    </cfRule>
    <cfRule type="cellIs" dxfId="19" priority="216" operator="equal">
      <formula>"C"</formula>
    </cfRule>
    <cfRule type="cellIs" dxfId="18" priority="217" operator="equal">
      <formula>"T"</formula>
    </cfRule>
    <cfRule type="cellIs" dxfId="17" priority="218" operator="equal">
      <formula>"A"</formula>
    </cfRule>
  </conditionalFormatting>
  <conditionalFormatting sqref="M22:AF24">
    <cfRule type="cellIs" dxfId="16" priority="202" operator="equal">
      <formula>"A"</formula>
    </cfRule>
    <cfRule type="cellIs" dxfId="15" priority="203" operator="equal">
      <formula>"T"</formula>
    </cfRule>
    <cfRule type="cellIs" dxfId="14" priority="204" operator="equal">
      <formula>"G"</formula>
    </cfRule>
    <cfRule type="cellIs" dxfId="13" priority="205" operator="equal">
      <formula>"C"</formula>
    </cfRule>
  </conditionalFormatting>
  <conditionalFormatting sqref="M11:AF11">
    <cfRule type="cellIs" dxfId="12" priority="208" operator="equal">
      <formula>ActivPrim</formula>
    </cfRule>
    <cfRule type="cellIs" dxfId="11" priority="209" operator="notEqual">
      <formula>""</formula>
    </cfRule>
  </conditionalFormatting>
  <conditionalFormatting sqref="M1:AF1">
    <cfRule type="cellIs" dxfId="10" priority="7" operator="equal">
      <formula>"G"</formula>
    </cfRule>
    <cfRule type="cellIs" dxfId="9" priority="8" operator="equal">
      <formula>"C"</formula>
    </cfRule>
    <cfRule type="cellIs" dxfId="8" priority="9" operator="equal">
      <formula>"T"</formula>
    </cfRule>
    <cfRule type="cellIs" dxfId="7" priority="10" operator="equal">
      <formula>"A"</formula>
    </cfRule>
  </conditionalFormatting>
  <conditionalFormatting sqref="AG9:AS9">
    <cfRule type="cellIs" dxfId="6" priority="1" operator="notEqual">
      <formula>AG$1</formula>
    </cfRule>
    <cfRule type="cellIs" dxfId="5" priority="2" operator="equal">
      <formula>"G"</formula>
    </cfRule>
    <cfRule type="cellIs" dxfId="4" priority="3" operator="equal">
      <formula>"C"</formula>
    </cfRule>
    <cfRule type="cellIs" dxfId="3" priority="4" operator="equal">
      <formula>"T"</formula>
    </cfRule>
    <cfRule type="cellIs" dxfId="2" priority="5" operator="equal">
      <formula>"A"</formula>
    </cfRule>
  </conditionalFormatting>
  <conditionalFormatting sqref="F22:F24">
    <cfRule type="colorScale" priority="1288">
      <colorScale>
        <cfvo type="min"/>
        <cfvo type="max"/>
        <color rgb="FFFFFFFF"/>
        <color rgb="FFFF0000"/>
      </colorScale>
    </cfRule>
  </conditionalFormatting>
  <conditionalFormatting sqref="G22:G24">
    <cfRule type="colorScale" priority="1289">
      <colorScale>
        <cfvo type="min"/>
        <cfvo type="max"/>
        <color rgb="FFFFFFFF"/>
        <color rgb="FFFFFF01"/>
      </colorScale>
    </cfRule>
  </conditionalFormatting>
  <conditionalFormatting sqref="M20:AF20">
    <cfRule type="colorScale" priority="1295">
      <colorScale>
        <cfvo type="min"/>
        <cfvo type="max"/>
        <color rgb="FFFFEF9C"/>
        <color rgb="FFFF7128"/>
      </colorScale>
    </cfRule>
  </conditionalFormatting>
  <conditionalFormatting sqref="M16:AF19">
    <cfRule type="colorScale" priority="1296">
      <colorScale>
        <cfvo type="min"/>
        <cfvo type="max"/>
        <color theme="0"/>
        <color rgb="FFFF7128"/>
      </colorScale>
    </cfRule>
  </conditionalFormatting>
  <conditionalFormatting sqref="M4:AF4">
    <cfRule type="colorScale" priority="1297">
      <colorScale>
        <cfvo type="min"/>
        <cfvo type="max"/>
        <color rgb="FFFFFFFF"/>
        <color rgb="FFFF0000"/>
      </colorScale>
    </cfRule>
  </conditionalFormatting>
  <conditionalFormatting sqref="M5:AF5">
    <cfRule type="colorScale" priority="1298">
      <colorScale>
        <cfvo type="min"/>
        <cfvo type="max"/>
        <color rgb="FFFFFFFF"/>
        <color rgb="FFFFFF01"/>
      </colorScale>
    </cfRule>
  </conditionalFormatting>
  <conditionalFormatting sqref="M2:AF2">
    <cfRule type="colorScale" priority="1299">
      <colorScale>
        <cfvo type="min"/>
        <cfvo type="max"/>
        <color rgb="FFFFFFFF"/>
        <color rgb="FFFFFF01"/>
      </colorScale>
    </cfRule>
  </conditionalFormatting>
  <conditionalFormatting sqref="M3:AF3">
    <cfRule type="colorScale" priority="1300">
      <colorScale>
        <cfvo type="min"/>
        <cfvo type="max"/>
        <color rgb="FFFFFFFF"/>
        <color rgb="FFFF0000"/>
      </colorScale>
    </cfRule>
  </conditionalFormatting>
  <conditionalFormatting sqref="M12:AF15">
    <cfRule type="colorScale" priority="1301">
      <colorScale>
        <cfvo type="min"/>
        <cfvo type="max"/>
        <color rgb="FFFFFF93"/>
        <color rgb="FFFF6619"/>
      </colorScale>
    </cfRule>
    <cfRule type="cellIs" dxfId="1" priority="1302" operator="greaterThanOrEqual">
      <formula>Mayoritario</formula>
    </cfRule>
    <cfRule type="cellIs" dxfId="0" priority="1303" operator="lessThanOrEqual">
      <formula>Minoritario</formula>
    </cfRule>
  </conditionalFormatting>
  <pageMargins left="0.7" right="0.7" top="0.78740157499999996" bottom="0.78740157499999996" header="0.3" footer="0.3"/>
  <pageSetup paperSize="9" orientation="portrait" horizontalDpi="1200" verticalDpi="1200" r:id="rId1"/>
  <cellWatches>
    <cellWatch r="F20"/>
  </cellWatches>
  <drawing r:id="rId2"/>
  <legacyDrawing r:id="rId3"/>
  <controls>
    <mc:AlternateContent xmlns:mc="http://schemas.openxmlformats.org/markup-compatibility/2006">
      <mc:Choice Requires="x14">
        <control shapeId="2053" r:id="rId4" name="toList">
          <controlPr defaultSize="0" autoLine="0" r:id="rId5">
            <anchor moveWithCells="1">
              <from>
                <xdr:col>6</xdr:col>
                <xdr:colOff>342900</xdr:colOff>
                <xdr:row>11</xdr:row>
                <xdr:rowOff>0</xdr:rowOff>
              </from>
              <to>
                <xdr:col>8</xdr:col>
                <xdr:colOff>904875</xdr:colOff>
                <xdr:row>12</xdr:row>
                <xdr:rowOff>0</xdr:rowOff>
              </to>
            </anchor>
          </controlPr>
        </control>
      </mc:Choice>
      <mc:Fallback>
        <control shapeId="2053" r:id="rId4" name="toList"/>
      </mc:Fallback>
    </mc:AlternateContent>
    <mc:AlternateContent xmlns:mc="http://schemas.openxmlformats.org/markup-compatibility/2006">
      <mc:Choice Requires="x14">
        <control shapeId="2504" r:id="rId6" name="Worst">
          <controlPr defaultSize="0" autoLine="0" r:id="rId7">
            <anchor moveWithCells="1">
              <from>
                <xdr:col>6</xdr:col>
                <xdr:colOff>361950</xdr:colOff>
                <xdr:row>19</xdr:row>
                <xdr:rowOff>19050</xdr:rowOff>
              </from>
              <to>
                <xdr:col>8</xdr:col>
                <xdr:colOff>342900</xdr:colOff>
                <xdr:row>20</xdr:row>
                <xdr:rowOff>38100</xdr:rowOff>
              </to>
            </anchor>
          </controlPr>
        </control>
      </mc:Choice>
      <mc:Fallback>
        <control shapeId="2504" r:id="rId6" name="Worst"/>
      </mc:Fallback>
    </mc:AlternateContent>
    <mc:AlternateContent xmlns:mc="http://schemas.openxmlformats.org/markup-compatibility/2006">
      <mc:Choice Requires="x14">
        <control shapeId="2506" r:id="rId8" name="Clear">
          <controlPr defaultSize="0" autoLine="0" r:id="rId9">
            <anchor moveWithCells="1">
              <from>
                <xdr:col>8</xdr:col>
                <xdr:colOff>409575</xdr:colOff>
                <xdr:row>19</xdr:row>
                <xdr:rowOff>57150</xdr:rowOff>
              </from>
              <to>
                <xdr:col>9</xdr:col>
                <xdr:colOff>38100</xdr:colOff>
                <xdr:row>20</xdr:row>
                <xdr:rowOff>38100</xdr:rowOff>
              </to>
            </anchor>
          </controlPr>
        </control>
      </mc:Choice>
      <mc:Fallback>
        <control shapeId="2506" r:id="rId8" name="Clear"/>
      </mc:Fallback>
    </mc:AlternateContent>
    <mc:AlternateContent xmlns:mc="http://schemas.openxmlformats.org/markup-compatibility/2006">
      <mc:Choice Requires="x14">
        <control shapeId="2052" r:id="rId10" name="Tm_CBox">
          <controlPr defaultSize="0" autoLine="0" autoPict="0" macro="[0]!Tm_CBox_Change">
            <anchor moveWithCells="1">
              <from>
                <xdr:col>0</xdr:col>
                <xdr:colOff>38100</xdr:colOff>
                <xdr:row>5</xdr:row>
                <xdr:rowOff>209550</xdr:rowOff>
              </from>
              <to>
                <xdr:col>3</xdr:col>
                <xdr:colOff>476250</xdr:colOff>
                <xdr:row>6</xdr:row>
                <xdr:rowOff>123825</xdr:rowOff>
              </to>
            </anchor>
          </controlPr>
        </control>
      </mc:Choice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Oligos">
    <pageSetUpPr fitToPage="1"/>
  </sheetPr>
  <dimension ref="A1:EA27"/>
  <sheetViews>
    <sheetView zoomScaleNormal="100" workbookViewId="0">
      <pane xSplit="6" ySplit="2" topLeftCell="G3" activePane="bottomRight" state="frozen"/>
      <selection pane="topRight" activeCell="D1" sqref="D1"/>
      <selection pane="bottomLeft" activeCell="A3" sqref="A3"/>
      <selection pane="bottomRight" activeCell="L21" sqref="L21"/>
    </sheetView>
  </sheetViews>
  <sheetFormatPr baseColWidth="10" defaultRowHeight="15"/>
  <cols>
    <col min="1" max="1" width="4" bestFit="1" customWidth="1"/>
    <col min="2" max="2" width="4.28515625" customWidth="1"/>
    <col min="3" max="3" width="4.42578125" customWidth="1"/>
    <col min="4" max="4" width="4.140625" style="15" bestFit="1" customWidth="1"/>
    <col min="5" max="5" width="19.42578125" customWidth="1"/>
    <col min="6" max="6" width="35.85546875" style="228" bestFit="1" customWidth="1"/>
    <col min="7" max="8" width="7.42578125" style="95" bestFit="1" customWidth="1"/>
    <col min="9" max="9" width="7.42578125" style="116" customWidth="1"/>
    <col min="10" max="10" width="6.7109375" style="95" bestFit="1" customWidth="1"/>
    <col min="11" max="11" width="4.5703125" style="114" customWidth="1"/>
    <col min="12" max="13" width="4.5703125" style="113" customWidth="1"/>
    <col min="14" max="14" width="4.5703125" style="115" customWidth="1"/>
    <col min="15" max="15" width="5" style="89" customWidth="1"/>
    <col min="16" max="16" width="5" style="47" customWidth="1"/>
    <col min="17" max="17" width="5.5703125" style="109" bestFit="1" customWidth="1"/>
    <col min="18" max="18" width="4.42578125" bestFit="1" customWidth="1"/>
    <col min="19" max="19" width="4.140625" bestFit="1" customWidth="1"/>
    <col min="20" max="20" width="5.140625" customWidth="1"/>
    <col min="21" max="21" width="6.7109375" style="107" customWidth="1"/>
    <col min="22" max="22" width="4.42578125" style="87" bestFit="1" customWidth="1"/>
    <col min="23" max="23" width="4.42578125" bestFit="1" customWidth="1"/>
    <col min="24" max="24" width="4.42578125" style="36" bestFit="1" customWidth="1"/>
    <col min="25" max="25" width="4" bestFit="1" customWidth="1"/>
    <col min="26" max="28" width="3" bestFit="1" customWidth="1"/>
    <col min="29" max="31" width="2" bestFit="1" customWidth="1"/>
    <col min="32" max="32" width="3" bestFit="1" customWidth="1"/>
    <col min="33" max="33" width="5.85546875" style="128" bestFit="1" customWidth="1"/>
    <col min="34" max="34" width="5.7109375" customWidth="1"/>
    <col min="35" max="35" width="15.7109375" customWidth="1"/>
    <col min="36" max="36" width="33" style="90" customWidth="1"/>
    <col min="37" max="37" width="6.28515625" customWidth="1"/>
    <col min="38" max="38" width="19.28515625" customWidth="1"/>
    <col min="39" max="39" width="29.28515625" bestFit="1" customWidth="1"/>
    <col min="40" max="41" width="2.7109375" bestFit="1" customWidth="1"/>
    <col min="42" max="63" width="1.85546875" customWidth="1"/>
    <col min="64" max="64" width="2" bestFit="1" customWidth="1"/>
    <col min="65" max="130" width="1.85546875" customWidth="1"/>
  </cols>
  <sheetData>
    <row r="1" spans="1:131" ht="15.75" thickBot="1">
      <c r="D1" s="15">
        <f>MAX(D3:D16)+1</f>
        <v>1</v>
      </c>
      <c r="E1" t="str">
        <f>CONCATENATE(IF($K$1&lt;&gt;"",CONCATENATE($K$1,"."),""),IF($L$1&lt;&gt;"",CONCATENATE($L$1,"."),""),IF($M$1&lt;&gt;"",CONCATENATE($M$1,"."),""),IF($N$1&lt;&gt;"",CONCATENATE($N$1,"."),""),IF($O$1&lt;&gt;"",CONCATENATE($O$1,"."),""),D1)</f>
        <v>1</v>
      </c>
      <c r="F1" s="228" t="str">
        <f ca="1">PrimerSeq(currPrimerPosition, PrimerLen)</f>
        <v>ATCGAYCGATCRATCGATCGGTGAGTC</v>
      </c>
      <c r="G1" s="95">
        <f ca="1">Tm_min_basic(currPrimerPosition, PrimerLen)</f>
        <v>64.292592592592598</v>
      </c>
      <c r="H1" s="95">
        <f ca="1">Tm_max_basic()</f>
        <v>56.70000000000001</v>
      </c>
      <c r="I1" s="116">
        <f ca="1">Tm_min_NN()</f>
        <v>45.783543811061918</v>
      </c>
      <c r="J1" s="95">
        <f ca="1">Tm_max_NN()</f>
        <v>46.32004089936575</v>
      </c>
      <c r="K1" s="114" t="str">
        <f>IF(Gr&lt;&gt;"",Gr,"")</f>
        <v/>
      </c>
      <c r="L1" s="113" t="str">
        <f>IF(Cla&lt;&gt;"",Cla,"")</f>
        <v/>
      </c>
      <c r="M1" s="113" t="str">
        <f>IF(Esp&lt;&gt;"",Esp,"")</f>
        <v/>
      </c>
      <c r="N1" s="115" t="str">
        <f>IF(Lin&lt;&gt;"",Lin,"")</f>
        <v/>
      </c>
      <c r="O1" s="89" t="str">
        <f>IF(ActivPrim&lt;&gt;"",ActivPrim,"")</f>
        <v/>
      </c>
      <c r="P1" s="47">
        <f>MinToCons</f>
        <v>20</v>
      </c>
      <c r="Q1" s="119">
        <f>MIN(Match.SelectedPosRow)</f>
        <v>1</v>
      </c>
      <c r="R1" s="15">
        <f>Q1+S1</f>
        <v>28</v>
      </c>
      <c r="S1" s="15">
        <f>PrimerLen</f>
        <v>27</v>
      </c>
      <c r="U1" s="107">
        <f ca="1">SeqToSee</f>
        <v>3</v>
      </c>
      <c r="V1" s="98">
        <f ca="1">Align!F2</f>
        <v>3</v>
      </c>
      <c r="W1" s="90">
        <f ca="1">Align!F3</f>
        <v>0</v>
      </c>
      <c r="X1" s="99">
        <f ca="1">Align!F4</f>
        <v>0</v>
      </c>
      <c r="Y1" s="90">
        <f ca="1">Align!F5</f>
        <v>0</v>
      </c>
      <c r="Z1" s="90">
        <f ca="1">Align!F6</f>
        <v>0</v>
      </c>
      <c r="AA1" s="90">
        <f ca="1">Align!F7</f>
        <v>0</v>
      </c>
      <c r="AB1" s="90">
        <f ca="1">Align!F8</f>
        <v>0</v>
      </c>
      <c r="AC1" s="90">
        <f ca="1">Align!F9</f>
        <v>0</v>
      </c>
      <c r="AD1" s="90">
        <f ca="1">Align!F10</f>
        <v>3</v>
      </c>
      <c r="AE1" s="90">
        <f ca="1">Align!F11</f>
        <v>0</v>
      </c>
      <c r="AF1" s="90">
        <f ca="1">Align!F12</f>
        <v>0</v>
      </c>
      <c r="AG1" s="137">
        <v>3</v>
      </c>
      <c r="AH1" s="97">
        <f ca="1">SUMIF($V$2:$AF$2,"&lt;" &amp; AG1,V1:AF1)/U1</f>
        <v>1</v>
      </c>
      <c r="AI1" s="141" t="str">
        <f>CONCATENATE("&gt;",E1)</f>
        <v>&gt;1</v>
      </c>
      <c r="AJ1" s="90" t="str">
        <f ca="1">F1</f>
        <v>ATCGAYCGATCRATCGATCGGTGAGTC</v>
      </c>
      <c r="AK1" s="90"/>
      <c r="AL1" t="str">
        <f>CONCATENATE("&gt;",E1,"_c")</f>
        <v>&gt;1_c</v>
      </c>
      <c r="AM1" s="90" t="str">
        <f ca="1">CONCATENATE(AN1,AO1,AP1,AQ1,AR1,AS1,AT1,AU1,AV1,AW1,AX1,AY1,AZ1,BA1,BB1,BC1,BD1,BE1,BF1,BG1,BH1,BI1,BJ1,BK1,BL1,BM1,BN1,BO1,BP1,BQ1,BR1,BS1,BT1,BU1,BV1,BW1,BX1,BY1,BZ1,CA1,CB1,CC1,CD1,CE1,CF1,CG1,CH1,CI1,CJ1,CK1,CL1,CM1,CN1,CO1,CP1,CQ1,CR1,CS1,CT1,CU1)</f>
        <v>GACTCACCGATCGATYGATCGRTCGAT</v>
      </c>
      <c r="AN1" t="str">
        <f t="shared" ref="AN1:BS1" ca="1" si="0">IF(AN2&lt;1,"",OFFSET(CodDeg,FIND(MID($F$1,AN2,1),CodComplElegir),0,1,1))</f>
        <v>G</v>
      </c>
      <c r="AO1" t="str">
        <f t="shared" ca="1" si="0"/>
        <v>A</v>
      </c>
      <c r="AP1" t="str">
        <f t="shared" ca="1" si="0"/>
        <v>C</v>
      </c>
      <c r="AQ1" t="str">
        <f t="shared" ca="1" si="0"/>
        <v>T</v>
      </c>
      <c r="AR1" t="str">
        <f t="shared" ca="1" si="0"/>
        <v>C</v>
      </c>
      <c r="AS1" t="str">
        <f t="shared" ca="1" si="0"/>
        <v>A</v>
      </c>
      <c r="AT1" t="str">
        <f t="shared" ca="1" si="0"/>
        <v>C</v>
      </c>
      <c r="AU1" t="str">
        <f t="shared" ca="1" si="0"/>
        <v>C</v>
      </c>
      <c r="AV1" t="str">
        <f t="shared" ca="1" si="0"/>
        <v>G</v>
      </c>
      <c r="AW1" t="str">
        <f t="shared" ca="1" si="0"/>
        <v>A</v>
      </c>
      <c r="AX1" t="str">
        <f t="shared" ca="1" si="0"/>
        <v>T</v>
      </c>
      <c r="AY1" t="str">
        <f t="shared" ca="1" si="0"/>
        <v>C</v>
      </c>
      <c r="AZ1" t="str">
        <f t="shared" ca="1" si="0"/>
        <v>G</v>
      </c>
      <c r="BA1" t="str">
        <f t="shared" ca="1" si="0"/>
        <v>A</v>
      </c>
      <c r="BB1" t="str">
        <f t="shared" ca="1" si="0"/>
        <v>T</v>
      </c>
      <c r="BC1" t="str">
        <f t="shared" ca="1" si="0"/>
        <v>Y</v>
      </c>
      <c r="BD1" t="str">
        <f t="shared" ca="1" si="0"/>
        <v>G</v>
      </c>
      <c r="BE1" t="str">
        <f t="shared" ca="1" si="0"/>
        <v>A</v>
      </c>
      <c r="BF1" t="str">
        <f t="shared" ca="1" si="0"/>
        <v>T</v>
      </c>
      <c r="BG1" t="str">
        <f t="shared" ca="1" si="0"/>
        <v>C</v>
      </c>
      <c r="BH1" t="str">
        <f t="shared" ca="1" si="0"/>
        <v>G</v>
      </c>
      <c r="BI1" t="str">
        <f t="shared" ca="1" si="0"/>
        <v>R</v>
      </c>
      <c r="BJ1" t="str">
        <f t="shared" ca="1" si="0"/>
        <v>T</v>
      </c>
      <c r="BK1" t="str">
        <f t="shared" ca="1" si="0"/>
        <v>C</v>
      </c>
      <c r="BL1" t="str">
        <f t="shared" ca="1" si="0"/>
        <v>G</v>
      </c>
      <c r="BM1" t="str">
        <f t="shared" ca="1" si="0"/>
        <v>A</v>
      </c>
      <c r="BN1" t="str">
        <f t="shared" ca="1" si="0"/>
        <v>T</v>
      </c>
      <c r="BO1" t="str">
        <f t="shared" ca="1" si="0"/>
        <v/>
      </c>
      <c r="BP1" t="str">
        <f t="shared" ca="1" si="0"/>
        <v/>
      </c>
      <c r="BQ1" t="str">
        <f t="shared" ca="1" si="0"/>
        <v/>
      </c>
      <c r="BR1" t="str">
        <f t="shared" ca="1" si="0"/>
        <v/>
      </c>
      <c r="BS1" t="str">
        <f t="shared" ca="1" si="0"/>
        <v/>
      </c>
      <c r="BT1" t="str">
        <f t="shared" ref="BT1:CY1" ca="1" si="1">IF(BT2&lt;1,"",OFFSET(CodDeg,FIND(MID($F$1,BT2,1),CodComplElegir),0,1,1))</f>
        <v/>
      </c>
      <c r="BU1" t="str">
        <f t="shared" ca="1" si="1"/>
        <v/>
      </c>
      <c r="BV1" t="str">
        <f t="shared" ca="1" si="1"/>
        <v/>
      </c>
      <c r="BW1" t="str">
        <f t="shared" ca="1" si="1"/>
        <v/>
      </c>
      <c r="BX1" t="str">
        <f t="shared" ca="1" si="1"/>
        <v/>
      </c>
      <c r="BY1" t="str">
        <f t="shared" ca="1" si="1"/>
        <v/>
      </c>
      <c r="BZ1" t="str">
        <f t="shared" ca="1" si="1"/>
        <v/>
      </c>
      <c r="CA1" t="str">
        <f t="shared" ca="1" si="1"/>
        <v/>
      </c>
      <c r="CB1" t="str">
        <f t="shared" ca="1" si="1"/>
        <v/>
      </c>
      <c r="CC1" t="str">
        <f t="shared" ca="1" si="1"/>
        <v/>
      </c>
      <c r="CD1" t="str">
        <f t="shared" ca="1" si="1"/>
        <v/>
      </c>
      <c r="CE1" t="str">
        <f t="shared" ca="1" si="1"/>
        <v/>
      </c>
      <c r="CF1" t="str">
        <f t="shared" ca="1" si="1"/>
        <v/>
      </c>
      <c r="CG1" t="str">
        <f t="shared" ca="1" si="1"/>
        <v/>
      </c>
      <c r="CH1" t="str">
        <f t="shared" ca="1" si="1"/>
        <v/>
      </c>
      <c r="CI1" t="str">
        <f t="shared" ca="1" si="1"/>
        <v/>
      </c>
      <c r="CJ1" t="str">
        <f t="shared" ca="1" si="1"/>
        <v/>
      </c>
      <c r="CK1" t="str">
        <f t="shared" ca="1" si="1"/>
        <v/>
      </c>
      <c r="CL1" t="str">
        <f t="shared" ca="1" si="1"/>
        <v/>
      </c>
      <c r="CM1" t="str">
        <f t="shared" ca="1" si="1"/>
        <v/>
      </c>
      <c r="CN1" t="str">
        <f t="shared" ca="1" si="1"/>
        <v/>
      </c>
      <c r="CO1" t="str">
        <f t="shared" ca="1" si="1"/>
        <v/>
      </c>
      <c r="CP1" t="str">
        <f t="shared" ca="1" si="1"/>
        <v/>
      </c>
      <c r="CQ1" t="str">
        <f t="shared" ca="1" si="1"/>
        <v/>
      </c>
      <c r="CR1" t="str">
        <f t="shared" ca="1" si="1"/>
        <v/>
      </c>
      <c r="CS1" t="str">
        <f t="shared" ca="1" si="1"/>
        <v/>
      </c>
      <c r="CT1" t="str">
        <f t="shared" ca="1" si="1"/>
        <v/>
      </c>
      <c r="CU1" t="str">
        <f t="shared" ca="1" si="1"/>
        <v/>
      </c>
      <c r="CV1" t="str">
        <f t="shared" ca="1" si="1"/>
        <v/>
      </c>
      <c r="CW1" t="str">
        <f t="shared" ca="1" si="1"/>
        <v/>
      </c>
      <c r="CX1" t="str">
        <f t="shared" ca="1" si="1"/>
        <v/>
      </c>
      <c r="CY1" t="str">
        <f t="shared" ca="1" si="1"/>
        <v/>
      </c>
      <c r="CZ1" t="str">
        <f t="shared" ref="CZ1:EA1" ca="1" si="2">IF(CZ2&lt;1,"",OFFSET(CodDeg,FIND(MID($F$1,CZ2,1),CodComplElegir),0,1,1))</f>
        <v/>
      </c>
      <c r="DA1" t="str">
        <f t="shared" ca="1" si="2"/>
        <v/>
      </c>
      <c r="DB1" t="str">
        <f t="shared" ca="1" si="2"/>
        <v/>
      </c>
      <c r="DC1" t="str">
        <f t="shared" ca="1" si="2"/>
        <v/>
      </c>
      <c r="DD1" t="str">
        <f t="shared" ca="1" si="2"/>
        <v/>
      </c>
      <c r="DE1" t="str">
        <f t="shared" ca="1" si="2"/>
        <v/>
      </c>
      <c r="DF1" t="str">
        <f t="shared" ca="1" si="2"/>
        <v/>
      </c>
      <c r="DG1" t="str">
        <f t="shared" ca="1" si="2"/>
        <v/>
      </c>
      <c r="DH1" t="str">
        <f t="shared" ca="1" si="2"/>
        <v/>
      </c>
      <c r="DI1" t="str">
        <f t="shared" ca="1" si="2"/>
        <v/>
      </c>
      <c r="DJ1" t="str">
        <f t="shared" ca="1" si="2"/>
        <v/>
      </c>
      <c r="DK1" t="str">
        <f t="shared" ca="1" si="2"/>
        <v/>
      </c>
      <c r="DL1" t="str">
        <f t="shared" ca="1" si="2"/>
        <v/>
      </c>
      <c r="DM1" t="str">
        <f t="shared" ca="1" si="2"/>
        <v/>
      </c>
      <c r="DN1" t="str">
        <f t="shared" ca="1" si="2"/>
        <v/>
      </c>
      <c r="DO1" t="str">
        <f t="shared" ca="1" si="2"/>
        <v/>
      </c>
      <c r="DP1" t="str">
        <f t="shared" ca="1" si="2"/>
        <v/>
      </c>
      <c r="DQ1" t="str">
        <f t="shared" ca="1" si="2"/>
        <v/>
      </c>
      <c r="DR1" t="str">
        <f t="shared" ca="1" si="2"/>
        <v/>
      </c>
      <c r="DS1" t="str">
        <f t="shared" ca="1" si="2"/>
        <v/>
      </c>
      <c r="DT1" t="str">
        <f t="shared" ca="1" si="2"/>
        <v/>
      </c>
      <c r="DU1" t="str">
        <f t="shared" ca="1" si="2"/>
        <v/>
      </c>
      <c r="DV1" t="str">
        <f t="shared" ca="1" si="2"/>
        <v/>
      </c>
      <c r="DW1" t="str">
        <f t="shared" ca="1" si="2"/>
        <v/>
      </c>
      <c r="DX1" t="str">
        <f t="shared" ca="1" si="2"/>
        <v/>
      </c>
      <c r="DY1" t="str">
        <f t="shared" ca="1" si="2"/>
        <v/>
      </c>
      <c r="DZ1" t="str">
        <f t="shared" ca="1" si="2"/>
        <v/>
      </c>
      <c r="EA1" t="str">
        <f t="shared" ca="1" si="2"/>
        <v/>
      </c>
    </row>
    <row r="2" spans="1:131" ht="16.5" thickTop="1" thickBot="1">
      <c r="A2" t="s">
        <v>42</v>
      </c>
      <c r="B2" t="s">
        <v>123</v>
      </c>
      <c r="C2" s="23" t="s">
        <v>122</v>
      </c>
      <c r="D2" s="15" t="s">
        <v>109</v>
      </c>
      <c r="E2" t="s">
        <v>32</v>
      </c>
      <c r="F2" s="228" t="s">
        <v>110</v>
      </c>
      <c r="G2" s="95" t="s">
        <v>113</v>
      </c>
      <c r="H2" s="95" t="s">
        <v>114</v>
      </c>
      <c r="I2" s="116" t="s">
        <v>115</v>
      </c>
      <c r="J2" s="95" t="s">
        <v>116</v>
      </c>
      <c r="K2" s="114" t="s">
        <v>107</v>
      </c>
      <c r="L2" s="113" t="s">
        <v>28</v>
      </c>
      <c r="M2" s="113" t="s">
        <v>29</v>
      </c>
      <c r="N2" s="113" t="s">
        <v>108</v>
      </c>
      <c r="O2" s="121" t="s">
        <v>36</v>
      </c>
      <c r="P2" s="122" t="s">
        <v>118</v>
      </c>
      <c r="Q2" s="120" t="s">
        <v>111</v>
      </c>
      <c r="R2" s="77" t="s">
        <v>112</v>
      </c>
      <c r="S2" s="77" t="s">
        <v>35</v>
      </c>
      <c r="T2" s="77" t="s">
        <v>117</v>
      </c>
      <c r="U2" s="123" t="s">
        <v>33</v>
      </c>
      <c r="V2" s="101">
        <v>0</v>
      </c>
      <c r="W2" s="90">
        <f>V2+1</f>
        <v>1</v>
      </c>
      <c r="X2" s="99">
        <f t="shared" ref="X2:AF2" si="3">W2+1</f>
        <v>2</v>
      </c>
      <c r="Y2" s="90">
        <f t="shared" si="3"/>
        <v>3</v>
      </c>
      <c r="Z2" s="90">
        <f t="shared" si="3"/>
        <v>4</v>
      </c>
      <c r="AA2" s="90">
        <f t="shared" si="3"/>
        <v>5</v>
      </c>
      <c r="AB2" s="90">
        <f t="shared" si="3"/>
        <v>6</v>
      </c>
      <c r="AC2" s="90">
        <f t="shared" si="3"/>
        <v>7</v>
      </c>
      <c r="AD2" s="90">
        <f t="shared" si="3"/>
        <v>8</v>
      </c>
      <c r="AE2" s="90">
        <f t="shared" si="3"/>
        <v>9</v>
      </c>
      <c r="AF2" s="90">
        <f t="shared" si="3"/>
        <v>10</v>
      </c>
      <c r="AG2" s="126"/>
      <c r="AH2" s="90"/>
      <c r="AI2" s="90" t="s">
        <v>140</v>
      </c>
      <c r="AK2" s="90"/>
      <c r="AL2" s="15" t="s">
        <v>141</v>
      </c>
      <c r="AM2" t="s">
        <v>136</v>
      </c>
      <c r="AN2" s="129">
        <f>PrimerLen</f>
        <v>27</v>
      </c>
      <c r="AO2" s="129">
        <f>AN2-1</f>
        <v>26</v>
      </c>
      <c r="AP2" s="129">
        <f t="shared" ref="AP2:CA2" si="4">AO2-1</f>
        <v>25</v>
      </c>
      <c r="AQ2" s="129">
        <f t="shared" si="4"/>
        <v>24</v>
      </c>
      <c r="AR2" s="129">
        <f t="shared" si="4"/>
        <v>23</v>
      </c>
      <c r="AS2" s="129">
        <f t="shared" si="4"/>
        <v>22</v>
      </c>
      <c r="AT2" s="129">
        <f t="shared" si="4"/>
        <v>21</v>
      </c>
      <c r="AU2" s="129">
        <f t="shared" si="4"/>
        <v>20</v>
      </c>
      <c r="AV2" s="129">
        <f t="shared" si="4"/>
        <v>19</v>
      </c>
      <c r="AW2" s="129">
        <f t="shared" si="4"/>
        <v>18</v>
      </c>
      <c r="AX2" s="129">
        <f t="shared" si="4"/>
        <v>17</v>
      </c>
      <c r="AY2" s="129">
        <f t="shared" si="4"/>
        <v>16</v>
      </c>
      <c r="AZ2" s="129">
        <f t="shared" si="4"/>
        <v>15</v>
      </c>
      <c r="BA2" s="129">
        <f t="shared" si="4"/>
        <v>14</v>
      </c>
      <c r="BB2" s="129">
        <f t="shared" si="4"/>
        <v>13</v>
      </c>
      <c r="BC2" s="129">
        <f t="shared" si="4"/>
        <v>12</v>
      </c>
      <c r="BD2" s="129">
        <f t="shared" si="4"/>
        <v>11</v>
      </c>
      <c r="BE2" s="129">
        <f t="shared" si="4"/>
        <v>10</v>
      </c>
      <c r="BF2" s="129">
        <f t="shared" si="4"/>
        <v>9</v>
      </c>
      <c r="BG2" s="129">
        <f t="shared" si="4"/>
        <v>8</v>
      </c>
      <c r="BH2" s="129">
        <f t="shared" si="4"/>
        <v>7</v>
      </c>
      <c r="BI2" s="129">
        <f t="shared" si="4"/>
        <v>6</v>
      </c>
      <c r="BJ2" s="129">
        <f t="shared" si="4"/>
        <v>5</v>
      </c>
      <c r="BK2" s="129">
        <f t="shared" si="4"/>
        <v>4</v>
      </c>
      <c r="BL2" s="129">
        <f t="shared" si="4"/>
        <v>3</v>
      </c>
      <c r="BM2" s="129">
        <f t="shared" si="4"/>
        <v>2</v>
      </c>
      <c r="BN2" s="129">
        <f t="shared" si="4"/>
        <v>1</v>
      </c>
      <c r="BO2" s="129">
        <f t="shared" si="4"/>
        <v>0</v>
      </c>
      <c r="BP2" s="129">
        <f t="shared" si="4"/>
        <v>-1</v>
      </c>
      <c r="BQ2" s="129">
        <f t="shared" si="4"/>
        <v>-2</v>
      </c>
      <c r="BR2" s="129">
        <f t="shared" si="4"/>
        <v>-3</v>
      </c>
      <c r="BS2" s="129">
        <f t="shared" si="4"/>
        <v>-4</v>
      </c>
      <c r="BT2" s="129">
        <f t="shared" si="4"/>
        <v>-5</v>
      </c>
      <c r="BU2" s="129">
        <f t="shared" si="4"/>
        <v>-6</v>
      </c>
      <c r="BV2" s="129">
        <f t="shared" si="4"/>
        <v>-7</v>
      </c>
      <c r="BW2" s="129">
        <f t="shared" si="4"/>
        <v>-8</v>
      </c>
      <c r="BX2" s="129">
        <f t="shared" si="4"/>
        <v>-9</v>
      </c>
      <c r="BY2" s="129">
        <f t="shared" si="4"/>
        <v>-10</v>
      </c>
      <c r="BZ2" s="129">
        <f t="shared" si="4"/>
        <v>-11</v>
      </c>
      <c r="CA2" s="129">
        <f t="shared" si="4"/>
        <v>-12</v>
      </c>
      <c r="CB2" s="129">
        <f>CA2-1</f>
        <v>-13</v>
      </c>
      <c r="CC2" s="129">
        <f t="shared" ref="CC2:CR2" si="5">CB2-1</f>
        <v>-14</v>
      </c>
      <c r="CD2" s="129">
        <f t="shared" si="5"/>
        <v>-15</v>
      </c>
      <c r="CE2" s="129">
        <f t="shared" si="5"/>
        <v>-16</v>
      </c>
      <c r="CF2" s="129">
        <f t="shared" si="5"/>
        <v>-17</v>
      </c>
      <c r="CG2" s="129">
        <f t="shared" si="5"/>
        <v>-18</v>
      </c>
      <c r="CH2" s="129">
        <f t="shared" si="5"/>
        <v>-19</v>
      </c>
      <c r="CI2" s="129">
        <f t="shared" si="5"/>
        <v>-20</v>
      </c>
      <c r="CJ2" s="129">
        <f t="shared" si="5"/>
        <v>-21</v>
      </c>
      <c r="CK2" s="129">
        <f t="shared" si="5"/>
        <v>-22</v>
      </c>
      <c r="CL2" s="129">
        <f t="shared" si="5"/>
        <v>-23</v>
      </c>
      <c r="CM2" s="129">
        <f t="shared" si="5"/>
        <v>-24</v>
      </c>
      <c r="CN2" s="129">
        <f t="shared" si="5"/>
        <v>-25</v>
      </c>
      <c r="CO2" s="129">
        <f t="shared" si="5"/>
        <v>-26</v>
      </c>
      <c r="CP2" s="129">
        <f t="shared" si="5"/>
        <v>-27</v>
      </c>
      <c r="CQ2" s="129">
        <f t="shared" si="5"/>
        <v>-28</v>
      </c>
      <c r="CR2" s="129">
        <f t="shared" si="5"/>
        <v>-29</v>
      </c>
      <c r="CS2" s="129">
        <f t="shared" ref="CS2:CZ2" si="6">CR2-1</f>
        <v>-30</v>
      </c>
      <c r="CT2" s="129">
        <f t="shared" si="6"/>
        <v>-31</v>
      </c>
      <c r="CU2" s="129">
        <f t="shared" si="6"/>
        <v>-32</v>
      </c>
      <c r="CV2" s="129">
        <f t="shared" si="6"/>
        <v>-33</v>
      </c>
      <c r="CW2" s="129">
        <f t="shared" si="6"/>
        <v>-34</v>
      </c>
      <c r="CX2" s="129">
        <f t="shared" si="6"/>
        <v>-35</v>
      </c>
      <c r="CY2" s="129">
        <f t="shared" si="6"/>
        <v>-36</v>
      </c>
      <c r="CZ2" s="129">
        <f t="shared" si="6"/>
        <v>-37</v>
      </c>
      <c r="DA2" s="129">
        <f t="shared" ref="DA2:EA2" si="7">CZ2-1</f>
        <v>-38</v>
      </c>
      <c r="DB2" s="129">
        <f t="shared" si="7"/>
        <v>-39</v>
      </c>
      <c r="DC2" s="129">
        <f t="shared" si="7"/>
        <v>-40</v>
      </c>
      <c r="DD2" s="129">
        <f t="shared" si="7"/>
        <v>-41</v>
      </c>
      <c r="DE2" s="129">
        <f t="shared" si="7"/>
        <v>-42</v>
      </c>
      <c r="DF2" s="129">
        <f t="shared" si="7"/>
        <v>-43</v>
      </c>
      <c r="DG2" s="129">
        <f t="shared" si="7"/>
        <v>-44</v>
      </c>
      <c r="DH2" s="129">
        <f t="shared" si="7"/>
        <v>-45</v>
      </c>
      <c r="DI2" s="129">
        <f t="shared" si="7"/>
        <v>-46</v>
      </c>
      <c r="DJ2" s="129">
        <f t="shared" si="7"/>
        <v>-47</v>
      </c>
      <c r="DK2" s="129">
        <f t="shared" si="7"/>
        <v>-48</v>
      </c>
      <c r="DL2" s="129">
        <f t="shared" si="7"/>
        <v>-49</v>
      </c>
      <c r="DM2" s="129">
        <f t="shared" si="7"/>
        <v>-50</v>
      </c>
      <c r="DN2" s="129">
        <f t="shared" si="7"/>
        <v>-51</v>
      </c>
      <c r="DO2" s="129">
        <f t="shared" si="7"/>
        <v>-52</v>
      </c>
      <c r="DP2" s="129">
        <f t="shared" si="7"/>
        <v>-53</v>
      </c>
      <c r="DQ2" s="129">
        <f t="shared" si="7"/>
        <v>-54</v>
      </c>
      <c r="DR2" s="129">
        <f t="shared" si="7"/>
        <v>-55</v>
      </c>
      <c r="DS2" s="129">
        <f t="shared" si="7"/>
        <v>-56</v>
      </c>
      <c r="DT2" s="129">
        <f t="shared" si="7"/>
        <v>-57</v>
      </c>
      <c r="DU2" s="129">
        <f t="shared" si="7"/>
        <v>-58</v>
      </c>
      <c r="DV2" s="129">
        <f t="shared" si="7"/>
        <v>-59</v>
      </c>
      <c r="DW2" s="129">
        <f t="shared" si="7"/>
        <v>-60</v>
      </c>
      <c r="DX2" s="129">
        <f t="shared" si="7"/>
        <v>-61</v>
      </c>
      <c r="DY2" s="129">
        <f t="shared" si="7"/>
        <v>-62</v>
      </c>
      <c r="DZ2" s="129">
        <f t="shared" si="7"/>
        <v>-63</v>
      </c>
      <c r="EA2" s="129">
        <f t="shared" si="7"/>
        <v>-64</v>
      </c>
    </row>
    <row r="3" spans="1:131" s="32" customFormat="1">
      <c r="D3" s="100"/>
      <c r="F3" s="229"/>
      <c r="G3" s="102"/>
      <c r="H3" s="102"/>
      <c r="I3" s="117"/>
      <c r="J3" s="102"/>
      <c r="K3" s="114"/>
      <c r="L3" s="113"/>
      <c r="M3" s="113"/>
      <c r="N3" s="115"/>
      <c r="O3" s="112"/>
      <c r="P3" s="111"/>
      <c r="Q3" s="110"/>
      <c r="U3" s="108"/>
      <c r="V3" s="98"/>
      <c r="W3" s="101"/>
      <c r="X3" s="99"/>
      <c r="Y3" s="101"/>
      <c r="Z3" s="101"/>
      <c r="AA3" s="101"/>
      <c r="AB3" s="101"/>
      <c r="AC3" s="101"/>
      <c r="AD3" s="101"/>
      <c r="AE3" s="101"/>
      <c r="AF3" s="101"/>
      <c r="AG3" s="127"/>
      <c r="AH3" s="103"/>
      <c r="AI3" s="103"/>
      <c r="AJ3" s="101"/>
    </row>
    <row r="4" spans="1:131" s="32" customFormat="1">
      <c r="D4" s="100"/>
      <c r="F4" s="229"/>
      <c r="G4" s="102"/>
      <c r="H4" s="102"/>
      <c r="I4" s="117"/>
      <c r="J4" s="102"/>
      <c r="K4" s="114"/>
      <c r="L4" s="113"/>
      <c r="M4" s="113"/>
      <c r="N4" s="115"/>
      <c r="O4" s="112"/>
      <c r="P4" s="111"/>
      <c r="Q4" s="110"/>
      <c r="U4" s="108"/>
      <c r="V4" s="98"/>
      <c r="W4" s="101"/>
      <c r="X4" s="99"/>
      <c r="Y4" s="101"/>
      <c r="Z4" s="101"/>
      <c r="AA4" s="101"/>
      <c r="AB4" s="101"/>
      <c r="AC4" s="101"/>
      <c r="AD4" s="101"/>
      <c r="AE4" s="101"/>
      <c r="AF4" s="101"/>
      <c r="AG4" s="127"/>
      <c r="AH4" s="103"/>
      <c r="AI4" s="103"/>
      <c r="AJ4" s="101"/>
    </row>
    <row r="5" spans="1:131" s="32" customFormat="1">
      <c r="D5" s="100"/>
      <c r="F5" s="229"/>
      <c r="G5" s="102"/>
      <c r="H5" s="102"/>
      <c r="I5" s="117"/>
      <c r="J5" s="102"/>
      <c r="K5" s="114"/>
      <c r="L5" s="113"/>
      <c r="M5" s="113"/>
      <c r="N5" s="115"/>
      <c r="O5" s="112"/>
      <c r="P5" s="111"/>
      <c r="Q5" s="110"/>
      <c r="U5" s="108"/>
      <c r="V5" s="98"/>
      <c r="W5" s="101"/>
      <c r="X5" s="99"/>
      <c r="Y5" s="101"/>
      <c r="Z5" s="101"/>
      <c r="AA5" s="101"/>
      <c r="AB5" s="101"/>
      <c r="AC5" s="101"/>
      <c r="AD5" s="101"/>
      <c r="AE5" s="101"/>
      <c r="AF5" s="101"/>
      <c r="AG5" s="127"/>
      <c r="AH5" s="103"/>
      <c r="AI5" s="103"/>
      <c r="AJ5" s="101"/>
    </row>
    <row r="6" spans="1:131" s="32" customFormat="1">
      <c r="D6" s="100"/>
      <c r="F6" s="229"/>
      <c r="G6" s="102"/>
      <c r="H6" s="102"/>
      <c r="I6" s="117"/>
      <c r="J6" s="102"/>
      <c r="K6" s="114"/>
      <c r="L6" s="113"/>
      <c r="M6" s="113"/>
      <c r="N6" s="115"/>
      <c r="O6" s="112"/>
      <c r="P6" s="111"/>
      <c r="Q6" s="110"/>
      <c r="U6" s="108"/>
      <c r="V6" s="98"/>
      <c r="W6" s="101"/>
      <c r="X6" s="99"/>
      <c r="Y6" s="101"/>
      <c r="Z6" s="101"/>
      <c r="AA6" s="101"/>
      <c r="AB6" s="101"/>
      <c r="AC6" s="101"/>
      <c r="AD6" s="101"/>
      <c r="AE6" s="101"/>
      <c r="AF6" s="101"/>
      <c r="AG6" s="127"/>
      <c r="AH6" s="103"/>
      <c r="AI6" s="103"/>
      <c r="AJ6" s="101"/>
    </row>
    <row r="7" spans="1:131" s="32" customFormat="1">
      <c r="D7" s="100"/>
      <c r="F7" s="229"/>
      <c r="G7" s="102"/>
      <c r="H7" s="102"/>
      <c r="I7" s="117"/>
      <c r="J7" s="102"/>
      <c r="K7" s="114"/>
      <c r="L7" s="113"/>
      <c r="M7" s="113"/>
      <c r="N7" s="115"/>
      <c r="O7" s="112"/>
      <c r="P7" s="111"/>
      <c r="Q7" s="110"/>
      <c r="U7" s="108"/>
      <c r="V7" s="98"/>
      <c r="W7" s="101"/>
      <c r="X7" s="99"/>
      <c r="Y7" s="101"/>
      <c r="Z7" s="101"/>
      <c r="AA7" s="101"/>
      <c r="AB7" s="101"/>
      <c r="AC7" s="101"/>
      <c r="AD7" s="101"/>
      <c r="AE7" s="101"/>
      <c r="AF7" s="101"/>
      <c r="AG7" s="127"/>
      <c r="AH7" s="103"/>
      <c r="AI7" s="103"/>
      <c r="AJ7" s="101"/>
    </row>
    <row r="8" spans="1:131" s="32" customFormat="1">
      <c r="D8" s="100"/>
      <c r="F8" s="229"/>
      <c r="G8" s="102"/>
      <c r="H8" s="102"/>
      <c r="I8" s="117"/>
      <c r="J8" s="102"/>
      <c r="K8" s="114"/>
      <c r="L8" s="113"/>
      <c r="M8" s="113"/>
      <c r="N8" s="115"/>
      <c r="O8" s="112"/>
      <c r="P8" s="111"/>
      <c r="Q8" s="110"/>
      <c r="U8" s="108"/>
      <c r="V8" s="98"/>
      <c r="W8" s="101"/>
      <c r="X8" s="99"/>
      <c r="Y8" s="101"/>
      <c r="Z8" s="101"/>
      <c r="AA8" s="101"/>
      <c r="AB8" s="101"/>
      <c r="AC8" s="101"/>
      <c r="AD8" s="101"/>
      <c r="AE8" s="101"/>
      <c r="AF8" s="101"/>
      <c r="AG8" s="127"/>
      <c r="AH8" s="103"/>
      <c r="AI8" s="103"/>
      <c r="AJ8" s="101"/>
    </row>
    <row r="9" spans="1:131" s="32" customFormat="1">
      <c r="D9" s="100"/>
      <c r="F9" s="229"/>
      <c r="G9" s="102"/>
      <c r="H9" s="102"/>
      <c r="I9" s="117"/>
      <c r="J9" s="102"/>
      <c r="K9" s="114"/>
      <c r="L9" s="113"/>
      <c r="M9" s="113"/>
      <c r="N9" s="115"/>
      <c r="O9" s="112"/>
      <c r="P9" s="111"/>
      <c r="Q9" s="110"/>
      <c r="U9" s="108"/>
      <c r="V9" s="98"/>
      <c r="W9" s="101"/>
      <c r="X9" s="99"/>
      <c r="Y9" s="101"/>
      <c r="Z9" s="101"/>
      <c r="AA9" s="101"/>
      <c r="AB9" s="101"/>
      <c r="AC9" s="101"/>
      <c r="AD9" s="101"/>
      <c r="AE9" s="101"/>
      <c r="AF9" s="101"/>
      <c r="AG9" s="127"/>
      <c r="AH9" s="103"/>
      <c r="AI9" s="103"/>
      <c r="AJ9" s="101"/>
    </row>
    <row r="10" spans="1:131" s="32" customFormat="1">
      <c r="D10" s="100"/>
      <c r="F10" s="229"/>
      <c r="G10" s="102"/>
      <c r="H10" s="102"/>
      <c r="I10" s="117"/>
      <c r="J10" s="102"/>
      <c r="K10" s="114"/>
      <c r="L10" s="113"/>
      <c r="M10" s="113"/>
      <c r="N10" s="115"/>
      <c r="O10" s="112"/>
      <c r="P10" s="111"/>
      <c r="Q10" s="110"/>
      <c r="U10" s="108"/>
      <c r="V10" s="98"/>
      <c r="W10" s="101"/>
      <c r="X10" s="99"/>
      <c r="Y10" s="101"/>
      <c r="Z10" s="101"/>
      <c r="AA10" s="101"/>
      <c r="AB10" s="101"/>
      <c r="AC10" s="101"/>
      <c r="AD10" s="101"/>
      <c r="AE10" s="101"/>
      <c r="AF10" s="101"/>
      <c r="AG10" s="127"/>
      <c r="AH10" s="103"/>
      <c r="AI10" s="103"/>
      <c r="AJ10" s="101"/>
    </row>
    <row r="11" spans="1:131" s="32" customFormat="1">
      <c r="D11" s="100"/>
      <c r="F11" s="229"/>
      <c r="G11" s="102"/>
      <c r="H11" s="102"/>
      <c r="I11" s="117"/>
      <c r="J11" s="102"/>
      <c r="K11" s="114"/>
      <c r="L11" s="113"/>
      <c r="M11" s="113"/>
      <c r="N11" s="115"/>
      <c r="O11" s="112"/>
      <c r="P11" s="111"/>
      <c r="Q11" s="110"/>
      <c r="U11" s="108"/>
      <c r="V11" s="98"/>
      <c r="W11" s="101"/>
      <c r="X11" s="99"/>
      <c r="Y11" s="101"/>
      <c r="Z11" s="101"/>
      <c r="AA11" s="101"/>
      <c r="AB11" s="101"/>
      <c r="AC11" s="101"/>
      <c r="AD11" s="101"/>
      <c r="AE11" s="101"/>
      <c r="AF11" s="101"/>
      <c r="AG11" s="127"/>
      <c r="AH11" s="103"/>
      <c r="AI11" s="103"/>
      <c r="AJ11" s="101"/>
    </row>
    <row r="12" spans="1:131" s="32" customFormat="1">
      <c r="D12" s="100"/>
      <c r="F12" s="229"/>
      <c r="G12" s="102"/>
      <c r="H12" s="102"/>
      <c r="I12" s="117"/>
      <c r="J12" s="102"/>
      <c r="K12" s="114"/>
      <c r="L12" s="113"/>
      <c r="M12" s="113"/>
      <c r="N12" s="115"/>
      <c r="O12" s="112"/>
      <c r="P12" s="111"/>
      <c r="Q12" s="110"/>
      <c r="U12" s="108"/>
      <c r="V12" s="98"/>
      <c r="W12" s="101"/>
      <c r="X12" s="99"/>
      <c r="Y12" s="101"/>
      <c r="Z12" s="101"/>
      <c r="AA12" s="101"/>
      <c r="AB12" s="101"/>
      <c r="AC12" s="101"/>
      <c r="AD12" s="101"/>
      <c r="AE12" s="101"/>
      <c r="AF12" s="101"/>
      <c r="AG12" s="127"/>
      <c r="AH12" s="103"/>
      <c r="AI12" s="103"/>
      <c r="AJ12" s="101"/>
    </row>
    <row r="13" spans="1:131" s="32" customFormat="1">
      <c r="D13" s="100"/>
      <c r="F13" s="229"/>
      <c r="G13" s="102"/>
      <c r="H13" s="102"/>
      <c r="I13" s="117"/>
      <c r="J13" s="102"/>
      <c r="K13" s="114"/>
      <c r="L13" s="113"/>
      <c r="M13" s="113"/>
      <c r="N13" s="115"/>
      <c r="O13" s="112"/>
      <c r="P13" s="111"/>
      <c r="Q13" s="110"/>
      <c r="U13" s="108"/>
      <c r="V13" s="98"/>
      <c r="W13" s="101"/>
      <c r="X13" s="99"/>
      <c r="Y13" s="101"/>
      <c r="Z13" s="101"/>
      <c r="AA13" s="101"/>
      <c r="AB13" s="101"/>
      <c r="AC13" s="101"/>
      <c r="AD13" s="101"/>
      <c r="AE13" s="101"/>
      <c r="AF13" s="101"/>
      <c r="AG13" s="127"/>
      <c r="AH13" s="103"/>
      <c r="AI13" s="103"/>
      <c r="AJ13" s="101"/>
    </row>
    <row r="14" spans="1:131" s="32" customFormat="1">
      <c r="D14" s="100"/>
      <c r="F14" s="229"/>
      <c r="G14" s="102"/>
      <c r="H14" s="102"/>
      <c r="I14" s="117"/>
      <c r="J14" s="102"/>
      <c r="K14" s="114"/>
      <c r="L14" s="113"/>
      <c r="M14" s="113"/>
      <c r="N14" s="115"/>
      <c r="O14" s="112"/>
      <c r="P14" s="111"/>
      <c r="Q14" s="110"/>
      <c r="U14" s="108"/>
      <c r="V14" s="98"/>
      <c r="W14" s="101"/>
      <c r="X14" s="99"/>
      <c r="Y14" s="101"/>
      <c r="Z14" s="101"/>
      <c r="AA14" s="101"/>
      <c r="AB14" s="101"/>
      <c r="AC14" s="101"/>
      <c r="AD14" s="101"/>
      <c r="AE14" s="101"/>
      <c r="AF14" s="101"/>
      <c r="AG14" s="127"/>
      <c r="AH14" s="103"/>
      <c r="AI14" s="103"/>
      <c r="AJ14" s="101"/>
    </row>
    <row r="15" spans="1:131" s="32" customFormat="1">
      <c r="D15" s="100"/>
      <c r="F15" s="229"/>
      <c r="G15" s="102"/>
      <c r="H15" s="102"/>
      <c r="I15" s="117"/>
      <c r="J15" s="102"/>
      <c r="K15" s="114"/>
      <c r="L15" s="113"/>
      <c r="M15" s="113"/>
      <c r="N15" s="115"/>
      <c r="O15" s="112"/>
      <c r="P15" s="111"/>
      <c r="Q15" s="110"/>
      <c r="U15" s="108"/>
      <c r="V15" s="98"/>
      <c r="W15" s="101"/>
      <c r="X15" s="99"/>
      <c r="Y15" s="101"/>
      <c r="Z15" s="101"/>
      <c r="AA15" s="101"/>
      <c r="AB15" s="101"/>
      <c r="AC15" s="101"/>
      <c r="AD15" s="101"/>
      <c r="AE15" s="101"/>
      <c r="AF15" s="101"/>
      <c r="AG15" s="127"/>
      <c r="AH15" s="103"/>
      <c r="AI15" s="103"/>
      <c r="AJ15" s="101"/>
    </row>
    <row r="16" spans="1:131" s="32" customFormat="1">
      <c r="D16" s="100"/>
      <c r="F16" s="229"/>
      <c r="G16" s="102"/>
      <c r="H16" s="102"/>
      <c r="I16" s="117"/>
      <c r="J16" s="102"/>
      <c r="K16" s="114"/>
      <c r="L16" s="113"/>
      <c r="M16" s="113"/>
      <c r="N16" s="115"/>
      <c r="O16" s="112"/>
      <c r="P16" s="111"/>
      <c r="Q16" s="110"/>
      <c r="U16" s="108"/>
      <c r="V16" s="98"/>
      <c r="W16" s="101"/>
      <c r="X16" s="99"/>
      <c r="Y16" s="101"/>
      <c r="Z16" s="101"/>
      <c r="AA16" s="101"/>
      <c r="AB16" s="101"/>
      <c r="AC16" s="101"/>
      <c r="AD16" s="101"/>
      <c r="AE16" s="101"/>
      <c r="AF16" s="101"/>
      <c r="AG16" s="127"/>
      <c r="AH16" s="103"/>
      <c r="AI16" s="103"/>
      <c r="AJ16" s="101"/>
    </row>
    <row r="17" spans="4:36" s="32" customFormat="1">
      <c r="D17" s="100"/>
      <c r="F17" s="229"/>
      <c r="G17" s="102"/>
      <c r="H17" s="102"/>
      <c r="I17" s="117"/>
      <c r="J17" s="102"/>
      <c r="K17" s="114"/>
      <c r="L17" s="113"/>
      <c r="M17" s="113"/>
      <c r="N17" s="115"/>
      <c r="O17" s="112"/>
      <c r="P17" s="111"/>
      <c r="Q17" s="110"/>
      <c r="U17" s="108"/>
      <c r="V17" s="98"/>
      <c r="W17" s="101"/>
      <c r="X17" s="99"/>
      <c r="Y17" s="101"/>
      <c r="Z17" s="101"/>
      <c r="AA17" s="101"/>
      <c r="AB17" s="101"/>
      <c r="AC17" s="101"/>
      <c r="AD17" s="101"/>
      <c r="AE17" s="101"/>
      <c r="AF17" s="101"/>
      <c r="AG17" s="127"/>
      <c r="AH17" s="103"/>
      <c r="AI17" s="103"/>
      <c r="AJ17" s="101"/>
    </row>
    <row r="18" spans="4:36" s="32" customFormat="1">
      <c r="D18" s="100"/>
      <c r="F18" s="229"/>
      <c r="G18" s="102"/>
      <c r="H18" s="102"/>
      <c r="I18" s="117"/>
      <c r="J18" s="102"/>
      <c r="K18" s="114"/>
      <c r="L18" s="113"/>
      <c r="M18" s="113"/>
      <c r="N18" s="115"/>
      <c r="O18" s="112"/>
      <c r="P18" s="111"/>
      <c r="Q18" s="110"/>
      <c r="U18" s="108"/>
      <c r="V18" s="98"/>
      <c r="W18" s="101"/>
      <c r="X18" s="99"/>
      <c r="Y18" s="101"/>
      <c r="Z18" s="101"/>
      <c r="AA18" s="101"/>
      <c r="AB18" s="101"/>
      <c r="AC18" s="101"/>
      <c r="AD18" s="101"/>
      <c r="AE18" s="101"/>
      <c r="AF18" s="101"/>
      <c r="AG18" s="127"/>
      <c r="AH18" s="103"/>
      <c r="AI18" s="103"/>
      <c r="AJ18" s="101"/>
    </row>
    <row r="19" spans="4:36" s="32" customFormat="1">
      <c r="D19" s="100"/>
      <c r="F19" s="229"/>
      <c r="G19" s="102"/>
      <c r="H19" s="102"/>
      <c r="I19" s="117"/>
      <c r="J19" s="102"/>
      <c r="K19" s="114"/>
      <c r="L19" s="113"/>
      <c r="M19" s="113"/>
      <c r="N19" s="115"/>
      <c r="O19" s="112"/>
      <c r="P19" s="111"/>
      <c r="Q19" s="110"/>
      <c r="U19" s="108"/>
      <c r="V19" s="98"/>
      <c r="W19" s="101"/>
      <c r="X19" s="99"/>
      <c r="Y19" s="101"/>
      <c r="Z19" s="101"/>
      <c r="AA19" s="101"/>
      <c r="AB19" s="101"/>
      <c r="AC19" s="101"/>
      <c r="AD19" s="101"/>
      <c r="AE19" s="101"/>
      <c r="AF19" s="101"/>
      <c r="AG19" s="127"/>
      <c r="AH19" s="103"/>
      <c r="AI19" s="103"/>
      <c r="AJ19" s="101"/>
    </row>
    <row r="20" spans="4:36" s="32" customFormat="1">
      <c r="D20" s="100"/>
      <c r="F20" s="229"/>
      <c r="G20" s="102"/>
      <c r="H20" s="102"/>
      <c r="I20" s="117"/>
      <c r="J20" s="102"/>
      <c r="K20" s="114"/>
      <c r="L20" s="113"/>
      <c r="M20" s="113"/>
      <c r="N20" s="115"/>
      <c r="O20" s="112"/>
      <c r="P20" s="111"/>
      <c r="Q20" s="110"/>
      <c r="U20" s="108"/>
      <c r="V20" s="98"/>
      <c r="W20" s="101"/>
      <c r="X20" s="99"/>
      <c r="Y20" s="101"/>
      <c r="Z20" s="101"/>
      <c r="AA20" s="101"/>
      <c r="AB20" s="101"/>
      <c r="AC20" s="101"/>
      <c r="AD20" s="101"/>
      <c r="AE20" s="101"/>
      <c r="AF20" s="101"/>
      <c r="AG20" s="127"/>
      <c r="AH20" s="103"/>
      <c r="AI20" s="103"/>
      <c r="AJ20" s="101"/>
    </row>
    <row r="21" spans="4:36" s="32" customFormat="1">
      <c r="D21" s="100"/>
      <c r="F21" s="229"/>
      <c r="G21" s="102"/>
      <c r="H21" s="102"/>
      <c r="I21" s="117"/>
      <c r="J21" s="102"/>
      <c r="K21" s="114"/>
      <c r="L21" s="113"/>
      <c r="M21" s="113"/>
      <c r="N21" s="115"/>
      <c r="O21" s="112"/>
      <c r="P21" s="111"/>
      <c r="Q21" s="110"/>
      <c r="U21" s="108"/>
      <c r="V21" s="98"/>
      <c r="W21" s="101"/>
      <c r="X21" s="99"/>
      <c r="Y21" s="101"/>
      <c r="Z21" s="101"/>
      <c r="AA21" s="101"/>
      <c r="AB21" s="101"/>
      <c r="AC21" s="101"/>
      <c r="AD21" s="101"/>
      <c r="AE21" s="101"/>
      <c r="AF21" s="101"/>
      <c r="AG21" s="127"/>
      <c r="AH21" s="103"/>
      <c r="AI21" s="103"/>
      <c r="AJ21" s="101"/>
    </row>
    <row r="22" spans="4:36" s="32" customFormat="1">
      <c r="D22" s="100"/>
      <c r="F22" s="229"/>
      <c r="G22" s="102"/>
      <c r="H22" s="102"/>
      <c r="I22" s="117"/>
      <c r="J22" s="102"/>
      <c r="K22" s="114"/>
      <c r="L22" s="113"/>
      <c r="M22" s="113"/>
      <c r="N22" s="115"/>
      <c r="O22" s="112"/>
      <c r="P22" s="111"/>
      <c r="Q22" s="110"/>
      <c r="U22" s="108"/>
      <c r="V22" s="98"/>
      <c r="W22" s="101"/>
      <c r="X22" s="99"/>
      <c r="Y22" s="101"/>
      <c r="Z22" s="101"/>
      <c r="AA22" s="101"/>
      <c r="AB22" s="101"/>
      <c r="AC22" s="101"/>
      <c r="AD22" s="101"/>
      <c r="AE22" s="101"/>
      <c r="AF22" s="101"/>
      <c r="AG22" s="127"/>
      <c r="AH22" s="103"/>
      <c r="AI22" s="103"/>
      <c r="AJ22" s="101"/>
    </row>
    <row r="23" spans="4:36" s="32" customFormat="1">
      <c r="D23" s="100"/>
      <c r="F23" s="229"/>
      <c r="G23" s="102"/>
      <c r="H23" s="102"/>
      <c r="I23" s="117"/>
      <c r="J23" s="102"/>
      <c r="K23" s="114"/>
      <c r="L23" s="113"/>
      <c r="M23" s="113"/>
      <c r="N23" s="115"/>
      <c r="O23" s="112"/>
      <c r="P23" s="111"/>
      <c r="Q23" s="110"/>
      <c r="U23" s="108"/>
      <c r="V23" s="98"/>
      <c r="W23" s="101"/>
      <c r="X23" s="99"/>
      <c r="Y23" s="101"/>
      <c r="Z23" s="101"/>
      <c r="AA23" s="101"/>
      <c r="AB23" s="101"/>
      <c r="AC23" s="101"/>
      <c r="AD23" s="101"/>
      <c r="AE23" s="101"/>
      <c r="AF23" s="101"/>
      <c r="AG23" s="127"/>
      <c r="AH23" s="103"/>
      <c r="AI23" s="103"/>
      <c r="AJ23" s="101"/>
    </row>
    <row r="24" spans="4:36" s="32" customFormat="1">
      <c r="D24" s="100"/>
      <c r="F24" s="229"/>
      <c r="G24" s="102"/>
      <c r="H24" s="102"/>
      <c r="I24" s="117"/>
      <c r="J24" s="102"/>
      <c r="K24" s="114"/>
      <c r="L24" s="113"/>
      <c r="M24" s="113"/>
      <c r="N24" s="115"/>
      <c r="O24" s="112"/>
      <c r="P24" s="111"/>
      <c r="Q24" s="110"/>
      <c r="U24" s="108"/>
      <c r="V24" s="98"/>
      <c r="W24" s="101"/>
      <c r="X24" s="99"/>
      <c r="Y24" s="101"/>
      <c r="Z24" s="101"/>
      <c r="AA24" s="101"/>
      <c r="AB24" s="101"/>
      <c r="AC24" s="101"/>
      <c r="AD24" s="101"/>
      <c r="AE24" s="101"/>
      <c r="AF24" s="101"/>
      <c r="AG24" s="127"/>
      <c r="AH24" s="103"/>
      <c r="AI24" s="103"/>
      <c r="AJ24" s="101"/>
    </row>
    <row r="25" spans="4:36" s="32" customFormat="1">
      <c r="D25" s="100"/>
      <c r="F25" s="229"/>
      <c r="G25" s="102"/>
      <c r="H25" s="102"/>
      <c r="I25" s="117"/>
      <c r="J25" s="102"/>
      <c r="K25" s="114"/>
      <c r="L25" s="113"/>
      <c r="M25" s="113"/>
      <c r="N25" s="115"/>
      <c r="O25" s="112"/>
      <c r="P25" s="111"/>
      <c r="Q25" s="110"/>
      <c r="U25" s="108"/>
      <c r="V25" s="98"/>
      <c r="W25" s="101"/>
      <c r="X25" s="99"/>
      <c r="Y25" s="101"/>
      <c r="Z25" s="101"/>
      <c r="AA25" s="101"/>
      <c r="AB25" s="101"/>
      <c r="AC25" s="101"/>
      <c r="AD25" s="101"/>
      <c r="AE25" s="101"/>
      <c r="AF25" s="101"/>
      <c r="AG25" s="127"/>
      <c r="AH25" s="103"/>
      <c r="AI25" s="103"/>
      <c r="AJ25" s="101"/>
    </row>
    <row r="26" spans="4:36" s="32" customFormat="1">
      <c r="D26" s="100"/>
      <c r="F26" s="229"/>
      <c r="G26" s="102"/>
      <c r="H26" s="102"/>
      <c r="I26" s="117"/>
      <c r="J26" s="102"/>
      <c r="K26" s="114"/>
      <c r="L26" s="113"/>
      <c r="M26" s="113"/>
      <c r="N26" s="115"/>
      <c r="O26" s="112"/>
      <c r="P26" s="111"/>
      <c r="Q26" s="110"/>
      <c r="U26" s="108"/>
      <c r="V26" s="98"/>
      <c r="W26" s="101"/>
      <c r="X26" s="99"/>
      <c r="Y26" s="101"/>
      <c r="Z26" s="101"/>
      <c r="AA26" s="101"/>
      <c r="AB26" s="101"/>
      <c r="AC26" s="101"/>
      <c r="AD26" s="101"/>
      <c r="AE26" s="101"/>
      <c r="AF26" s="101"/>
      <c r="AG26" s="127"/>
      <c r="AH26" s="103"/>
      <c r="AI26" s="103"/>
      <c r="AJ26" s="101"/>
    </row>
    <row r="27" spans="4:36" s="32" customFormat="1">
      <c r="D27" s="100"/>
      <c r="F27" s="229"/>
      <c r="G27" s="102"/>
      <c r="H27" s="102"/>
      <c r="I27" s="117"/>
      <c r="J27" s="102"/>
      <c r="K27" s="114"/>
      <c r="L27" s="113"/>
      <c r="M27" s="113"/>
      <c r="N27" s="115"/>
      <c r="O27" s="112"/>
      <c r="P27" s="111"/>
      <c r="Q27" s="110"/>
      <c r="U27" s="108"/>
      <c r="V27" s="98"/>
      <c r="W27" s="101"/>
      <c r="X27" s="99"/>
      <c r="Y27" s="101"/>
      <c r="Z27" s="101"/>
      <c r="AA27" s="101"/>
      <c r="AB27" s="101"/>
      <c r="AC27" s="101"/>
      <c r="AD27" s="101"/>
      <c r="AE27" s="101"/>
      <c r="AF27" s="101"/>
      <c r="AG27" s="127"/>
      <c r="AH27" s="103"/>
      <c r="AI27" s="103"/>
      <c r="AJ27" s="101"/>
    </row>
  </sheetData>
  <conditionalFormatting sqref="I1:I1048576">
    <cfRule type="colorScale" priority="3">
      <colorScale>
        <cfvo type="num" val="55"/>
        <cfvo type="num" val="60"/>
        <cfvo type="num" val="65"/>
        <color rgb="FF5D5DFF"/>
        <color rgb="FF79FF79"/>
        <color rgb="FFFF5B5B"/>
      </colorScale>
    </cfRule>
  </conditionalFormatting>
  <pageMargins left="0.31496062992125984" right="0.39370078740157483" top="0.39370078740157483" bottom="0.39370078740157483" header="0.23622047244094491" footer="0.31496062992125984"/>
  <pageSetup paperSize="9" scale="77" fitToHeight="0" orientation="landscape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NNparam"/>
  <dimension ref="B1:N18"/>
  <sheetViews>
    <sheetView workbookViewId="0">
      <selection activeCell="M6" sqref="M6"/>
    </sheetView>
  </sheetViews>
  <sheetFormatPr baseColWidth="10" defaultRowHeight="15"/>
  <cols>
    <col min="2" max="2" width="29.7109375" customWidth="1"/>
  </cols>
  <sheetData>
    <row r="1" spans="2:14" ht="15.75" thickBot="1">
      <c r="C1" t="s">
        <v>80</v>
      </c>
    </row>
    <row r="2" spans="2:14">
      <c r="B2" s="49" t="s">
        <v>54</v>
      </c>
      <c r="C2" s="231" t="s">
        <v>175</v>
      </c>
      <c r="D2" s="232"/>
      <c r="E2" s="233"/>
      <c r="F2" s="231" t="s">
        <v>55</v>
      </c>
      <c r="G2" s="232"/>
      <c r="H2" s="232"/>
      <c r="I2" s="231" t="s">
        <v>56</v>
      </c>
      <c r="J2" s="232"/>
      <c r="K2" s="233"/>
      <c r="L2" s="232" t="s">
        <v>57</v>
      </c>
      <c r="M2" s="232"/>
      <c r="N2" s="233"/>
    </row>
    <row r="3" spans="2:14">
      <c r="B3" s="49" t="s">
        <v>58</v>
      </c>
      <c r="C3" s="234" t="s">
        <v>60</v>
      </c>
      <c r="D3" s="235"/>
      <c r="E3" s="236"/>
      <c r="F3" s="234" t="s">
        <v>59</v>
      </c>
      <c r="G3" s="235"/>
      <c r="H3" s="235"/>
      <c r="I3" s="234" t="s">
        <v>60</v>
      </c>
      <c r="J3" s="235"/>
      <c r="K3" s="236"/>
      <c r="L3" s="235" t="s">
        <v>61</v>
      </c>
      <c r="M3" s="235"/>
      <c r="N3" s="236"/>
    </row>
    <row r="4" spans="2:14" ht="29.25">
      <c r="B4" s="176" t="s">
        <v>62</v>
      </c>
      <c r="C4" s="175" t="s">
        <v>172</v>
      </c>
      <c r="D4" s="176" t="s">
        <v>173</v>
      </c>
      <c r="E4" s="177" t="s">
        <v>174</v>
      </c>
      <c r="F4" s="175" t="s">
        <v>63</v>
      </c>
      <c r="G4" s="176" t="s">
        <v>64</v>
      </c>
      <c r="H4" s="176" t="s">
        <v>65</v>
      </c>
      <c r="I4" s="175" t="s">
        <v>172</v>
      </c>
      <c r="J4" s="176" t="s">
        <v>173</v>
      </c>
      <c r="K4" s="177" t="s">
        <v>174</v>
      </c>
      <c r="L4" s="176" t="s">
        <v>63</v>
      </c>
      <c r="M4" s="176" t="s">
        <v>64</v>
      </c>
      <c r="N4" s="177" t="s">
        <v>65</v>
      </c>
    </row>
    <row r="5" spans="2:14">
      <c r="B5" s="49" t="s">
        <v>66</v>
      </c>
      <c r="C5" s="138">
        <v>-8.4</v>
      </c>
      <c r="D5" s="139">
        <v>-23.6</v>
      </c>
      <c r="E5" s="60">
        <v>-1.02</v>
      </c>
      <c r="F5" s="58">
        <v>-9.1</v>
      </c>
      <c r="G5" s="59">
        <v>-24</v>
      </c>
      <c r="H5" s="59">
        <v>-1.9</v>
      </c>
      <c r="I5" s="142">
        <v>-8.4</v>
      </c>
      <c r="J5" s="143">
        <v>-23.6</v>
      </c>
      <c r="K5" s="144">
        <v>-1.02</v>
      </c>
      <c r="L5" s="59">
        <v>-8</v>
      </c>
      <c r="M5" s="59">
        <v>-21.9</v>
      </c>
      <c r="N5" s="60">
        <v>-1.2</v>
      </c>
    </row>
    <row r="6" spans="2:14">
      <c r="B6" s="49" t="s">
        <v>67</v>
      </c>
      <c r="C6" s="138">
        <v>-6.5</v>
      </c>
      <c r="D6" s="139">
        <v>-18.8</v>
      </c>
      <c r="E6" s="60">
        <v>-0.73</v>
      </c>
      <c r="F6" s="58">
        <v>-8.6</v>
      </c>
      <c r="G6" s="59">
        <v>-23.9</v>
      </c>
      <c r="H6" s="59">
        <v>-1.5</v>
      </c>
      <c r="I6" s="142">
        <v>-6.5</v>
      </c>
      <c r="J6" s="143">
        <v>-18.8</v>
      </c>
      <c r="K6" s="144">
        <v>-0.73</v>
      </c>
      <c r="L6" s="59">
        <v>-5.6</v>
      </c>
      <c r="M6" s="59">
        <v>-15.2</v>
      </c>
      <c r="N6" s="60">
        <v>-0.9</v>
      </c>
    </row>
    <row r="7" spans="2:14">
      <c r="B7" s="49" t="s">
        <v>68</v>
      </c>
      <c r="C7" s="138">
        <v>-6.3</v>
      </c>
      <c r="D7" s="139">
        <v>-18.5</v>
      </c>
      <c r="E7" s="60">
        <v>-0.6</v>
      </c>
      <c r="F7" s="58">
        <v>-6</v>
      </c>
      <c r="G7" s="59">
        <v>-16.899999999999999</v>
      </c>
      <c r="H7" s="59">
        <v>-0.9</v>
      </c>
      <c r="I7" s="142">
        <v>-6.3</v>
      </c>
      <c r="J7" s="143">
        <v>-18.5</v>
      </c>
      <c r="K7" s="144">
        <v>-0.6</v>
      </c>
      <c r="L7" s="59">
        <v>-6.6</v>
      </c>
      <c r="M7" s="59">
        <v>-18.399999999999999</v>
      </c>
      <c r="N7" s="60">
        <v>-0.9</v>
      </c>
    </row>
    <row r="8" spans="2:14">
      <c r="B8" s="49" t="s">
        <v>69</v>
      </c>
      <c r="C8" s="138">
        <v>-7.4</v>
      </c>
      <c r="D8" s="139">
        <v>-19.3</v>
      </c>
      <c r="E8" s="60">
        <v>-1.38</v>
      </c>
      <c r="F8" s="58">
        <v>-5.8</v>
      </c>
      <c r="G8" s="59">
        <v>-12.9</v>
      </c>
      <c r="H8" s="59">
        <v>-1.9</v>
      </c>
      <c r="I8" s="142">
        <v>-7.4</v>
      </c>
      <c r="J8" s="143">
        <v>-19.3</v>
      </c>
      <c r="K8" s="144">
        <v>-1.38</v>
      </c>
      <c r="L8" s="59">
        <v>-8.1999999999999993</v>
      </c>
      <c r="M8" s="59">
        <v>-21</v>
      </c>
      <c r="N8" s="60">
        <v>-1.7</v>
      </c>
    </row>
    <row r="9" spans="2:14">
      <c r="B9" s="49" t="s">
        <v>70</v>
      </c>
      <c r="C9" s="138">
        <v>-8.6</v>
      </c>
      <c r="D9" s="139">
        <v>-23</v>
      </c>
      <c r="E9" s="60">
        <v>-1.43</v>
      </c>
      <c r="F9" s="58">
        <v>-6.5</v>
      </c>
      <c r="G9" s="59">
        <v>-17.3</v>
      </c>
      <c r="H9" s="59">
        <v>-1.3</v>
      </c>
      <c r="I9" s="142">
        <v>-8.6</v>
      </c>
      <c r="J9" s="143">
        <v>-23</v>
      </c>
      <c r="K9" s="144">
        <v>-1.43</v>
      </c>
      <c r="L9" s="59">
        <v>-9.4</v>
      </c>
      <c r="M9" s="59">
        <v>-25.5</v>
      </c>
      <c r="N9" s="60">
        <v>-1.5</v>
      </c>
    </row>
    <row r="10" spans="2:14">
      <c r="B10" s="49" t="s">
        <v>71</v>
      </c>
      <c r="C10" s="138">
        <v>-6.1</v>
      </c>
      <c r="D10" s="139">
        <v>-16.100000000000001</v>
      </c>
      <c r="E10" s="60">
        <v>-1.1599999999999999</v>
      </c>
      <c r="F10" s="58">
        <v>-7.8</v>
      </c>
      <c r="G10" s="59">
        <v>-20.8</v>
      </c>
      <c r="H10" s="59">
        <v>-1.6</v>
      </c>
      <c r="I10" s="142">
        <v>-6.1</v>
      </c>
      <c r="J10" s="143">
        <v>-16.100000000000001</v>
      </c>
      <c r="K10" s="144">
        <v>-1.1599999999999999</v>
      </c>
      <c r="L10" s="59">
        <v>-6.6</v>
      </c>
      <c r="M10" s="59">
        <v>-16.399999999999999</v>
      </c>
      <c r="N10" s="60">
        <v>-1.5</v>
      </c>
    </row>
    <row r="11" spans="2:14">
      <c r="B11" s="49" t="s">
        <v>72</v>
      </c>
      <c r="C11" s="138">
        <v>-7.7</v>
      </c>
      <c r="D11" s="139">
        <v>-20.3</v>
      </c>
      <c r="E11" s="60">
        <v>-1.46</v>
      </c>
      <c r="F11" s="58">
        <v>-5.6</v>
      </c>
      <c r="G11" s="59">
        <v>-13.5</v>
      </c>
      <c r="H11" s="59">
        <v>-1.6</v>
      </c>
      <c r="I11" s="142">
        <v>-7.7</v>
      </c>
      <c r="J11" s="143">
        <v>-20.3</v>
      </c>
      <c r="K11" s="144">
        <v>-1.46</v>
      </c>
      <c r="L11" s="59">
        <v>-8.8000000000000007</v>
      </c>
      <c r="M11" s="59">
        <v>-23.5</v>
      </c>
      <c r="N11" s="60">
        <v>-1.5</v>
      </c>
    </row>
    <row r="12" spans="2:14">
      <c r="B12" s="49" t="s">
        <v>73</v>
      </c>
      <c r="C12" s="138">
        <v>-10.1</v>
      </c>
      <c r="D12" s="139">
        <v>-25.5</v>
      </c>
      <c r="E12" s="60">
        <v>-2.09</v>
      </c>
      <c r="F12" s="58">
        <v>-11.9</v>
      </c>
      <c r="G12" s="59">
        <v>-27.8</v>
      </c>
      <c r="H12" s="59">
        <v>-3.6</v>
      </c>
      <c r="I12" s="142">
        <v>-10.1</v>
      </c>
      <c r="J12" s="143">
        <v>-25.5</v>
      </c>
      <c r="K12" s="144">
        <v>-2.09</v>
      </c>
      <c r="L12" s="59">
        <v>-11.8</v>
      </c>
      <c r="M12" s="59">
        <v>-29</v>
      </c>
      <c r="N12" s="60">
        <v>-2.8</v>
      </c>
    </row>
    <row r="13" spans="2:14">
      <c r="B13" s="49" t="s">
        <v>74</v>
      </c>
      <c r="C13" s="138">
        <v>-11.1</v>
      </c>
      <c r="D13" s="139">
        <v>-28.4</v>
      </c>
      <c r="E13" s="60">
        <v>-2.2799999999999998</v>
      </c>
      <c r="F13" s="58">
        <v>-11.1</v>
      </c>
      <c r="G13" s="59">
        <v>-26.7</v>
      </c>
      <c r="H13" s="59">
        <v>-3.1</v>
      </c>
      <c r="I13" s="142">
        <v>-11.1</v>
      </c>
      <c r="J13" s="143">
        <v>-28.4</v>
      </c>
      <c r="K13" s="144">
        <v>-2.2799999999999998</v>
      </c>
      <c r="L13" s="59">
        <v>-10.5</v>
      </c>
      <c r="M13" s="59">
        <v>-26.4</v>
      </c>
      <c r="N13" s="60">
        <v>-2.2999999999999998</v>
      </c>
    </row>
    <row r="14" spans="2:14">
      <c r="B14" s="49" t="s">
        <v>75</v>
      </c>
      <c r="C14" s="138">
        <v>-6.7</v>
      </c>
      <c r="D14" s="139">
        <v>-15.6</v>
      </c>
      <c r="E14" s="60">
        <v>-1.77</v>
      </c>
      <c r="F14" s="58">
        <v>-11</v>
      </c>
      <c r="G14" s="59">
        <v>-26.6</v>
      </c>
      <c r="H14" s="59">
        <v>-3.1</v>
      </c>
      <c r="I14" s="142">
        <v>-6.7</v>
      </c>
      <c r="J14" s="143">
        <v>-15.6</v>
      </c>
      <c r="K14" s="144">
        <v>-1.77</v>
      </c>
      <c r="L14" s="59">
        <v>-10.9</v>
      </c>
      <c r="M14" s="59">
        <v>-28.4</v>
      </c>
      <c r="N14" s="60">
        <v>-2.1</v>
      </c>
    </row>
    <row r="15" spans="2:14">
      <c r="B15" s="49" t="s">
        <v>76</v>
      </c>
      <c r="C15" s="58">
        <v>0</v>
      </c>
      <c r="D15" s="59">
        <v>-5.9</v>
      </c>
      <c r="E15" s="60">
        <v>1.82</v>
      </c>
      <c r="F15" s="58">
        <v>0</v>
      </c>
      <c r="G15" s="59">
        <v>-16.77</v>
      </c>
      <c r="H15" s="59">
        <v>5</v>
      </c>
      <c r="I15" s="142">
        <v>0</v>
      </c>
      <c r="J15" s="143">
        <v>-5.9</v>
      </c>
      <c r="K15" s="144">
        <v>1.82</v>
      </c>
      <c r="L15" s="59">
        <v>0.6</v>
      </c>
      <c r="M15" s="59">
        <v>-9</v>
      </c>
      <c r="N15" s="60">
        <v>3.4</v>
      </c>
    </row>
    <row r="16" spans="2:14">
      <c r="B16" s="49" t="s">
        <v>77</v>
      </c>
      <c r="C16" s="58">
        <v>0</v>
      </c>
      <c r="D16" s="59">
        <v>-9</v>
      </c>
      <c r="E16" s="60">
        <v>2.8</v>
      </c>
      <c r="F16" s="58">
        <v>0</v>
      </c>
      <c r="G16" s="59">
        <v>-20.13</v>
      </c>
      <c r="H16" s="59">
        <v>6</v>
      </c>
      <c r="I16" s="142">
        <v>0</v>
      </c>
      <c r="J16" s="143">
        <v>-9</v>
      </c>
      <c r="K16" s="144">
        <v>2.8</v>
      </c>
      <c r="L16" s="59">
        <v>0.6</v>
      </c>
      <c r="M16" s="59">
        <v>-9</v>
      </c>
      <c r="N16" s="60">
        <v>3.4</v>
      </c>
    </row>
    <row r="17" spans="2:14">
      <c r="B17" s="49" t="s">
        <v>78</v>
      </c>
      <c r="C17" s="58">
        <v>0</v>
      </c>
      <c r="D17" s="59">
        <v>-1.4</v>
      </c>
      <c r="E17" s="60">
        <v>0.4</v>
      </c>
      <c r="F17" s="58">
        <v>0</v>
      </c>
      <c r="G17" s="59">
        <v>-1.34</v>
      </c>
      <c r="H17" s="59">
        <v>0.4</v>
      </c>
      <c r="I17" s="142">
        <v>0</v>
      </c>
      <c r="J17" s="143">
        <v>-1.4</v>
      </c>
      <c r="K17" s="144">
        <v>0.4</v>
      </c>
      <c r="L17" s="59">
        <v>0</v>
      </c>
      <c r="M17" s="59">
        <v>-1.4</v>
      </c>
      <c r="N17" s="60">
        <v>0.4</v>
      </c>
    </row>
    <row r="18" spans="2:14" ht="15.75" thickBot="1">
      <c r="B18" s="49" t="s">
        <v>79</v>
      </c>
      <c r="C18" s="61">
        <v>0.4</v>
      </c>
      <c r="D18" s="62">
        <v>0</v>
      </c>
      <c r="E18" s="63">
        <v>0.4</v>
      </c>
      <c r="F18" s="61">
        <v>0</v>
      </c>
      <c r="G18" s="62">
        <v>0</v>
      </c>
      <c r="H18" s="62">
        <v>0</v>
      </c>
      <c r="I18" s="61">
        <v>0.4</v>
      </c>
      <c r="J18" s="62">
        <v>0</v>
      </c>
      <c r="K18" s="63">
        <v>0.4</v>
      </c>
      <c r="L18" s="62">
        <v>0</v>
      </c>
      <c r="M18" s="62">
        <v>0</v>
      </c>
      <c r="N18" s="63">
        <v>0</v>
      </c>
    </row>
  </sheetData>
  <mergeCells count="8">
    <mergeCell ref="C2:E2"/>
    <mergeCell ref="C3:E3"/>
    <mergeCell ref="F2:H2"/>
    <mergeCell ref="I2:K2"/>
    <mergeCell ref="L2:N2"/>
    <mergeCell ref="F3:H3"/>
    <mergeCell ref="I3:K3"/>
    <mergeCell ref="L3:N3"/>
  </mergeCells>
  <pageMargins left="0.7" right="0.7" top="0.78740157499999996" bottom="0.78740157499999996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CodDeg"/>
  <dimension ref="A1:AQ303"/>
  <sheetViews>
    <sheetView topLeftCell="A25" workbookViewId="0">
      <selection activeCell="L32" sqref="L32"/>
    </sheetView>
  </sheetViews>
  <sheetFormatPr baseColWidth="10" defaultRowHeight="15"/>
  <cols>
    <col min="1" max="1" width="4.7109375" customWidth="1"/>
    <col min="2" max="2" width="10.5703125" customWidth="1"/>
    <col min="3" max="4" width="7.7109375" bestFit="1" customWidth="1"/>
    <col min="5" max="5" width="2.7109375" bestFit="1" customWidth="1"/>
    <col min="6" max="6" width="2.42578125" bestFit="1" customWidth="1"/>
    <col min="7" max="7" width="6" bestFit="1" customWidth="1"/>
    <col min="8" max="8" width="6.42578125" bestFit="1" customWidth="1"/>
    <col min="9" max="9" width="4.28515625" bestFit="1" customWidth="1"/>
    <col min="10" max="10" width="6.42578125" bestFit="1" customWidth="1"/>
    <col min="11" max="11" width="3.28515625" bestFit="1" customWidth="1"/>
    <col min="12" max="12" width="8.42578125" bestFit="1" customWidth="1"/>
    <col min="13" max="13" width="3.7109375" bestFit="1" customWidth="1"/>
    <col min="14" max="21" width="3.7109375" customWidth="1"/>
    <col min="22" max="22" width="8.42578125" bestFit="1" customWidth="1"/>
    <col min="23" max="25" width="3.7109375" customWidth="1"/>
    <col min="26" max="26" width="2" bestFit="1" customWidth="1"/>
    <col min="27" max="27" width="2.42578125" bestFit="1" customWidth="1"/>
    <col min="28" max="28" width="3.28515625" bestFit="1" customWidth="1"/>
    <col min="29" max="30" width="5.7109375" bestFit="1" customWidth="1"/>
    <col min="31" max="31" width="3.28515625" bestFit="1" customWidth="1"/>
    <col min="32" max="32" width="4.7109375" bestFit="1" customWidth="1"/>
    <col min="33" max="35" width="3.28515625" bestFit="1" customWidth="1"/>
    <col min="36" max="36" width="4.7109375" bestFit="1" customWidth="1"/>
    <col min="37" max="39" width="3.28515625" bestFit="1" customWidth="1"/>
    <col min="40" max="43" width="4" bestFit="1" customWidth="1"/>
  </cols>
  <sheetData>
    <row r="1" spans="1:43">
      <c r="Z1" s="6">
        <v>8</v>
      </c>
      <c r="AA1" s="7" t="s">
        <v>2</v>
      </c>
      <c r="AB1" s="7">
        <v>0</v>
      </c>
      <c r="AC1" s="7">
        <v>0</v>
      </c>
      <c r="AD1" s="7">
        <v>0</v>
      </c>
      <c r="AE1" s="7">
        <v>0</v>
      </c>
      <c r="AF1" s="7">
        <v>0</v>
      </c>
      <c r="AG1" s="7">
        <v>0</v>
      </c>
      <c r="AH1" s="7">
        <v>0</v>
      </c>
      <c r="AI1" s="7">
        <v>0</v>
      </c>
      <c r="AJ1" s="7">
        <v>1</v>
      </c>
      <c r="AK1" s="7">
        <v>1</v>
      </c>
      <c r="AL1" s="7">
        <v>1</v>
      </c>
      <c r="AM1" s="7">
        <v>1</v>
      </c>
      <c r="AN1" s="7">
        <v>1</v>
      </c>
      <c r="AO1" s="7">
        <v>1</v>
      </c>
      <c r="AP1" s="7">
        <v>1</v>
      </c>
      <c r="AQ1" s="8">
        <v>1</v>
      </c>
    </row>
    <row r="2" spans="1:43">
      <c r="B2" s="28" t="s">
        <v>137</v>
      </c>
      <c r="Z2" s="9">
        <v>4</v>
      </c>
      <c r="AA2" s="10" t="s">
        <v>1</v>
      </c>
      <c r="AB2" s="10">
        <v>0</v>
      </c>
      <c r="AC2" s="10">
        <v>0</v>
      </c>
      <c r="AD2" s="10">
        <v>0</v>
      </c>
      <c r="AE2" s="10">
        <v>0</v>
      </c>
      <c r="AF2" s="10">
        <v>1</v>
      </c>
      <c r="AG2" s="10">
        <v>1</v>
      </c>
      <c r="AH2" s="10">
        <v>1</v>
      </c>
      <c r="AI2" s="10">
        <v>1</v>
      </c>
      <c r="AJ2" s="10">
        <v>0</v>
      </c>
      <c r="AK2" s="10">
        <v>0</v>
      </c>
      <c r="AL2" s="10">
        <v>0</v>
      </c>
      <c r="AM2" s="10">
        <v>0</v>
      </c>
      <c r="AN2" s="10">
        <v>1</v>
      </c>
      <c r="AO2" s="10">
        <v>1</v>
      </c>
      <c r="AP2" s="10">
        <v>1</v>
      </c>
      <c r="AQ2" s="11">
        <v>1</v>
      </c>
    </row>
    <row r="3" spans="1:43">
      <c r="B3" s="28" t="s">
        <v>39</v>
      </c>
      <c r="Z3" s="9">
        <v>2</v>
      </c>
      <c r="AA3" s="10" t="s">
        <v>4</v>
      </c>
      <c r="AB3" s="10">
        <v>0</v>
      </c>
      <c r="AC3" s="10">
        <v>0</v>
      </c>
      <c r="AD3" s="10">
        <v>1</v>
      </c>
      <c r="AE3" s="10">
        <v>1</v>
      </c>
      <c r="AF3" s="10">
        <v>0</v>
      </c>
      <c r="AG3" s="10">
        <v>0</v>
      </c>
      <c r="AH3" s="10">
        <v>1</v>
      </c>
      <c r="AI3" s="10">
        <v>1</v>
      </c>
      <c r="AJ3" s="10">
        <v>0</v>
      </c>
      <c r="AK3" s="10">
        <v>0</v>
      </c>
      <c r="AL3" s="10">
        <v>1</v>
      </c>
      <c r="AM3" s="10">
        <v>1</v>
      </c>
      <c r="AN3" s="10">
        <v>0</v>
      </c>
      <c r="AO3" s="10">
        <v>0</v>
      </c>
      <c r="AP3" s="10">
        <v>1</v>
      </c>
      <c r="AQ3" s="11">
        <v>1</v>
      </c>
    </row>
    <row r="4" spans="1:43" ht="15.75" thickBot="1">
      <c r="B4" s="16" t="s">
        <v>27</v>
      </c>
      <c r="Z4" s="12">
        <v>1</v>
      </c>
      <c r="AA4" s="13" t="s">
        <v>3</v>
      </c>
      <c r="AB4" s="13">
        <v>0</v>
      </c>
      <c r="AC4" s="13">
        <v>1</v>
      </c>
      <c r="AD4" s="13">
        <v>0</v>
      </c>
      <c r="AE4" s="13">
        <v>1</v>
      </c>
      <c r="AF4" s="13">
        <v>0</v>
      </c>
      <c r="AG4" s="13">
        <v>1</v>
      </c>
      <c r="AH4" s="13">
        <v>0</v>
      </c>
      <c r="AI4" s="13">
        <v>1</v>
      </c>
      <c r="AJ4" s="13">
        <v>0</v>
      </c>
      <c r="AK4" s="13">
        <v>1</v>
      </c>
      <c r="AL4" s="13">
        <v>0</v>
      </c>
      <c r="AM4" s="13">
        <v>1</v>
      </c>
      <c r="AN4" s="13">
        <v>0</v>
      </c>
      <c r="AO4" s="13">
        <v>1</v>
      </c>
      <c r="AP4" s="13">
        <v>0</v>
      </c>
      <c r="AQ4" s="14">
        <v>1</v>
      </c>
    </row>
    <row r="5" spans="1:43" ht="32.25" thickBot="1">
      <c r="AB5" s="52" t="s">
        <v>0</v>
      </c>
      <c r="AC5" s="48" t="s">
        <v>3</v>
      </c>
      <c r="AD5" s="48" t="s">
        <v>4</v>
      </c>
      <c r="AE5" s="48" t="s">
        <v>8</v>
      </c>
      <c r="AF5" s="48" t="s">
        <v>1</v>
      </c>
      <c r="AG5" s="48" t="s">
        <v>10</v>
      </c>
      <c r="AH5" s="48" t="s">
        <v>11</v>
      </c>
      <c r="AI5" s="48" t="s">
        <v>13</v>
      </c>
      <c r="AJ5" s="48" t="s">
        <v>2</v>
      </c>
      <c r="AK5" s="48" t="s">
        <v>14</v>
      </c>
      <c r="AL5" s="48" t="s">
        <v>16</v>
      </c>
      <c r="AM5" s="48" t="s">
        <v>18</v>
      </c>
      <c r="AN5" s="48" t="s">
        <v>20</v>
      </c>
      <c r="AO5" s="48" t="s">
        <v>22</v>
      </c>
      <c r="AP5" s="48" t="s">
        <v>24</v>
      </c>
      <c r="AQ5" s="48" t="s">
        <v>26</v>
      </c>
    </row>
    <row r="6" spans="1:43" ht="15.75" thickBot="1">
      <c r="AB6" s="6">
        <v>0</v>
      </c>
      <c r="AC6" s="9">
        <v>1</v>
      </c>
      <c r="AD6" s="9">
        <v>2</v>
      </c>
      <c r="AE6" s="12">
        <v>3</v>
      </c>
      <c r="AF6" s="5">
        <v>4</v>
      </c>
      <c r="AG6" s="5">
        <v>5</v>
      </c>
      <c r="AH6" s="5">
        <v>6</v>
      </c>
      <c r="AI6" s="5">
        <v>7</v>
      </c>
      <c r="AJ6" s="6">
        <v>8</v>
      </c>
      <c r="AK6" s="9">
        <v>9</v>
      </c>
      <c r="AL6" s="9">
        <v>10</v>
      </c>
      <c r="AM6" s="12">
        <v>11</v>
      </c>
      <c r="AN6" s="5">
        <v>12</v>
      </c>
      <c r="AO6" s="5">
        <v>13</v>
      </c>
      <c r="AP6" s="5">
        <v>14</v>
      </c>
      <c r="AQ6" s="5">
        <v>15</v>
      </c>
    </row>
    <row r="7" spans="1:43" ht="15.75" thickBot="1">
      <c r="A7" s="5"/>
      <c r="B7" s="5"/>
      <c r="C7" s="5">
        <v>8</v>
      </c>
      <c r="D7" s="5">
        <v>4</v>
      </c>
      <c r="E7" s="5">
        <v>2</v>
      </c>
      <c r="F7" s="5">
        <v>1</v>
      </c>
      <c r="G7" s="5"/>
      <c r="AB7" s="4" t="s">
        <v>0</v>
      </c>
      <c r="AC7" s="3" t="s">
        <v>3</v>
      </c>
      <c r="AD7" s="3" t="s">
        <v>4</v>
      </c>
      <c r="AE7" s="2" t="s">
        <v>7</v>
      </c>
      <c r="AF7" s="1" t="s">
        <v>1</v>
      </c>
      <c r="AG7" s="1" t="s">
        <v>9</v>
      </c>
      <c r="AH7" s="1" t="s">
        <v>6</v>
      </c>
      <c r="AI7" s="1" t="s">
        <v>12</v>
      </c>
      <c r="AJ7" s="4" t="s">
        <v>2</v>
      </c>
      <c r="AK7" s="3" t="s">
        <v>5</v>
      </c>
      <c r="AL7" s="3" t="s">
        <v>15</v>
      </c>
      <c r="AM7" s="2" t="s">
        <v>17</v>
      </c>
      <c r="AN7" s="3" t="s">
        <v>19</v>
      </c>
      <c r="AO7" s="3" t="s">
        <v>21</v>
      </c>
      <c r="AP7" s="3" t="s">
        <v>23</v>
      </c>
      <c r="AQ7" s="1" t="s">
        <v>25</v>
      </c>
    </row>
    <row r="8" spans="1:43" ht="15.75" thickBot="1">
      <c r="A8" s="5"/>
      <c r="B8" s="5"/>
      <c r="C8" s="5" t="s">
        <v>2</v>
      </c>
      <c r="D8" s="5" t="s">
        <v>1</v>
      </c>
      <c r="E8" s="5" t="s">
        <v>4</v>
      </c>
      <c r="F8" s="5" t="s">
        <v>3</v>
      </c>
      <c r="G8" s="5"/>
      <c r="H8" s="44" t="s">
        <v>45</v>
      </c>
      <c r="I8" s="44" t="s">
        <v>46</v>
      </c>
      <c r="J8" s="44" t="s">
        <v>50</v>
      </c>
      <c r="K8" s="44" t="s">
        <v>20</v>
      </c>
      <c r="L8" s="44" t="s">
        <v>47</v>
      </c>
      <c r="M8" s="44" t="s">
        <v>48</v>
      </c>
      <c r="N8" s="44"/>
      <c r="O8" s="44"/>
      <c r="P8" s="44"/>
      <c r="Q8" s="44"/>
      <c r="R8" s="44"/>
      <c r="S8" s="44"/>
      <c r="T8" s="44"/>
      <c r="U8" s="44"/>
      <c r="V8" s="44"/>
      <c r="W8" s="44"/>
      <c r="X8" s="44"/>
      <c r="Y8" s="44"/>
    </row>
    <row r="9" spans="1:43">
      <c r="A9" s="6">
        <v>0</v>
      </c>
      <c r="B9" s="4" t="s">
        <v>0</v>
      </c>
      <c r="C9" s="7">
        <v>0</v>
      </c>
      <c r="D9" s="7">
        <v>0</v>
      </c>
      <c r="E9" s="7">
        <v>0</v>
      </c>
      <c r="F9" s="8">
        <v>0</v>
      </c>
      <c r="G9" s="7" t="s">
        <v>0</v>
      </c>
      <c r="H9" s="46" t="b">
        <f>(1&lt;SUM(C9:F9))</f>
        <v>0</v>
      </c>
      <c r="I9" s="45">
        <f>SUM(C9:F9)</f>
        <v>0</v>
      </c>
      <c r="J9" s="46" t="b">
        <f>(1&lt;=SUM(C9:D9))</f>
        <v>0</v>
      </c>
      <c r="K9" s="47">
        <f>J9+0</f>
        <v>0</v>
      </c>
      <c r="L9" s="46" t="b">
        <f>(1&lt;=SUM(E9:F9))</f>
        <v>0</v>
      </c>
      <c r="M9" s="47">
        <f>L9+0</f>
        <v>0</v>
      </c>
      <c r="N9" s="47"/>
      <c r="O9" s="47"/>
      <c r="P9" s="47"/>
      <c r="Q9" s="47"/>
      <c r="R9" s="47"/>
      <c r="S9" s="47"/>
      <c r="T9" s="47"/>
      <c r="U9" s="47"/>
      <c r="V9" s="47"/>
      <c r="W9" s="47"/>
      <c r="X9" s="47"/>
      <c r="Y9" s="47"/>
    </row>
    <row r="10" spans="1:43">
      <c r="A10" s="9">
        <v>1</v>
      </c>
      <c r="B10" s="3" t="s">
        <v>3</v>
      </c>
      <c r="C10" s="10">
        <v>0</v>
      </c>
      <c r="D10" s="10">
        <v>0</v>
      </c>
      <c r="E10" s="10">
        <v>0</v>
      </c>
      <c r="F10" s="11">
        <v>1</v>
      </c>
      <c r="G10" s="5" t="s">
        <v>3</v>
      </c>
      <c r="H10" s="46" t="b">
        <f t="shared" ref="H10:H24" si="0">(1&lt;SUM(C10:F10))</f>
        <v>0</v>
      </c>
      <c r="I10" s="45">
        <f t="shared" ref="I10:I24" si="1">SUM(C10:F10)</f>
        <v>1</v>
      </c>
      <c r="J10" s="46" t="b">
        <f t="shared" ref="J10:J24" si="2">(1&lt;=SUM(C10:D10))</f>
        <v>0</v>
      </c>
      <c r="K10" s="47">
        <f t="shared" ref="K10:M24" si="3">J10+0</f>
        <v>0</v>
      </c>
      <c r="L10" s="46" t="b">
        <f t="shared" ref="L10:L24" si="4">(1&lt;=SUM(E10:F10))</f>
        <v>1</v>
      </c>
      <c r="M10" s="47">
        <f t="shared" si="3"/>
        <v>1</v>
      </c>
      <c r="N10" s="47"/>
      <c r="O10" s="47"/>
      <c r="P10" s="47"/>
      <c r="Q10" s="47"/>
      <c r="R10" s="47"/>
      <c r="S10" s="47"/>
      <c r="T10" s="47"/>
      <c r="U10" s="47"/>
      <c r="V10" s="47"/>
      <c r="W10" s="47"/>
      <c r="X10" s="47"/>
      <c r="Y10" s="47"/>
      <c r="AC10" s="50">
        <v>10.9</v>
      </c>
      <c r="AD10" s="50">
        <v>10.5</v>
      </c>
      <c r="AF10" s="50">
        <v>9.4</v>
      </c>
      <c r="AJ10" s="50">
        <v>8.8000000000000007</v>
      </c>
    </row>
    <row r="11" spans="1:43">
      <c r="A11" s="9">
        <v>2</v>
      </c>
      <c r="B11" s="3" t="s">
        <v>4</v>
      </c>
      <c r="C11" s="10">
        <v>0</v>
      </c>
      <c r="D11" s="10">
        <v>0</v>
      </c>
      <c r="E11" s="10">
        <v>1</v>
      </c>
      <c r="F11" s="11">
        <v>0</v>
      </c>
      <c r="G11" s="5" t="s">
        <v>4</v>
      </c>
      <c r="H11" s="46" t="b">
        <f t="shared" si="0"/>
        <v>0</v>
      </c>
      <c r="I11" s="45">
        <f t="shared" si="1"/>
        <v>1</v>
      </c>
      <c r="J11" s="46" t="b">
        <f t="shared" si="2"/>
        <v>0</v>
      </c>
      <c r="K11" s="47">
        <f t="shared" si="3"/>
        <v>0</v>
      </c>
      <c r="L11" s="46" t="b">
        <f t="shared" si="4"/>
        <v>1</v>
      </c>
      <c r="M11" s="47">
        <f t="shared" si="3"/>
        <v>1</v>
      </c>
      <c r="N11" s="47"/>
      <c r="O11" s="47"/>
      <c r="P11" s="47"/>
      <c r="Q11" s="47"/>
      <c r="R11" s="47"/>
      <c r="S11" s="47"/>
      <c r="T11" s="47"/>
      <c r="U11" s="47"/>
      <c r="V11" s="47"/>
      <c r="W11" s="47"/>
      <c r="X11" s="47"/>
      <c r="Y11" s="47"/>
      <c r="AC11" s="50">
        <v>11.8</v>
      </c>
      <c r="AD11" s="51">
        <f>$AC$10</f>
        <v>10.9</v>
      </c>
      <c r="AF11" s="50">
        <v>6.6</v>
      </c>
      <c r="AJ11" s="50">
        <v>8.1999999999999993</v>
      </c>
    </row>
    <row r="12" spans="1:43" ht="15.75" thickBot="1">
      <c r="A12" s="12">
        <v>3</v>
      </c>
      <c r="B12" s="2" t="s">
        <v>7</v>
      </c>
      <c r="C12" s="13">
        <v>0</v>
      </c>
      <c r="D12" s="13">
        <v>0</v>
      </c>
      <c r="E12" s="13">
        <v>1</v>
      </c>
      <c r="F12" s="14">
        <v>1</v>
      </c>
      <c r="G12" s="5" t="s">
        <v>8</v>
      </c>
      <c r="H12" s="46" t="b">
        <f t="shared" si="0"/>
        <v>1</v>
      </c>
      <c r="I12" s="45">
        <f t="shared" si="1"/>
        <v>2</v>
      </c>
      <c r="J12" s="46" t="b">
        <f t="shared" si="2"/>
        <v>0</v>
      </c>
      <c r="K12" s="47">
        <f t="shared" si="3"/>
        <v>0</v>
      </c>
      <c r="L12" s="46" t="b">
        <f t="shared" si="4"/>
        <v>1</v>
      </c>
      <c r="M12" s="47">
        <f t="shared" si="3"/>
        <v>1</v>
      </c>
      <c r="N12" s="47"/>
      <c r="O12" s="47"/>
      <c r="P12" s="47"/>
      <c r="Q12" s="47"/>
      <c r="R12" s="47"/>
      <c r="S12" s="47"/>
      <c r="T12" s="47"/>
      <c r="U12" s="47"/>
      <c r="V12" s="47"/>
      <c r="W12" s="47"/>
      <c r="X12" s="47"/>
      <c r="Y12" s="47"/>
    </row>
    <row r="13" spans="1:43">
      <c r="A13" s="5">
        <v>4</v>
      </c>
      <c r="B13" s="1" t="s">
        <v>1</v>
      </c>
      <c r="C13" s="5">
        <v>0</v>
      </c>
      <c r="D13" s="5">
        <v>1</v>
      </c>
      <c r="E13" s="5">
        <v>0</v>
      </c>
      <c r="F13" s="5">
        <v>0</v>
      </c>
      <c r="G13" s="5" t="s">
        <v>1</v>
      </c>
      <c r="H13" s="46" t="b">
        <f t="shared" si="0"/>
        <v>0</v>
      </c>
      <c r="I13" s="45">
        <f t="shared" si="1"/>
        <v>1</v>
      </c>
      <c r="J13" s="46" t="b">
        <f t="shared" si="2"/>
        <v>1</v>
      </c>
      <c r="K13" s="47">
        <f t="shared" si="3"/>
        <v>1</v>
      </c>
      <c r="L13" s="46" t="b">
        <f t="shared" si="4"/>
        <v>0</v>
      </c>
      <c r="M13" s="47">
        <f t="shared" si="3"/>
        <v>0</v>
      </c>
      <c r="N13" s="47"/>
      <c r="O13" s="47"/>
      <c r="P13" s="47"/>
      <c r="Q13" s="47"/>
      <c r="R13" s="47"/>
      <c r="S13" s="47"/>
      <c r="T13" s="47"/>
      <c r="U13" s="47"/>
      <c r="V13" s="47"/>
      <c r="W13" s="47"/>
      <c r="X13" s="47"/>
      <c r="Y13" s="47"/>
      <c r="AC13" s="51">
        <f>$AJ$11</f>
        <v>8.1999999999999993</v>
      </c>
      <c r="AD13" s="51">
        <f>$AJ$10</f>
        <v>8.8000000000000007</v>
      </c>
      <c r="AF13" s="51">
        <f>$AJ$17</f>
        <v>8</v>
      </c>
      <c r="AJ13" s="50">
        <v>6.6</v>
      </c>
    </row>
    <row r="14" spans="1:43">
      <c r="A14" s="5">
        <v>5</v>
      </c>
      <c r="B14" s="1" t="s">
        <v>9</v>
      </c>
      <c r="C14" s="5">
        <v>0</v>
      </c>
      <c r="D14" s="5">
        <v>1</v>
      </c>
      <c r="E14" s="5">
        <v>0</v>
      </c>
      <c r="F14" s="5">
        <v>1</v>
      </c>
      <c r="G14" s="5" t="s">
        <v>10</v>
      </c>
      <c r="H14" s="46" t="b">
        <f t="shared" si="0"/>
        <v>1</v>
      </c>
      <c r="I14" s="45">
        <f t="shared" si="1"/>
        <v>2</v>
      </c>
      <c r="J14" s="46" t="b">
        <f t="shared" si="2"/>
        <v>1</v>
      </c>
      <c r="K14" s="47">
        <f t="shared" si="3"/>
        <v>1</v>
      </c>
      <c r="L14" s="46" t="b">
        <f t="shared" si="4"/>
        <v>1</v>
      </c>
      <c r="M14" s="47">
        <f t="shared" si="3"/>
        <v>1</v>
      </c>
      <c r="N14" s="47"/>
      <c r="O14" s="47"/>
      <c r="P14" s="47"/>
      <c r="Q14" s="47"/>
      <c r="R14" s="47"/>
      <c r="S14" s="47"/>
      <c r="T14" s="47"/>
      <c r="U14" s="47"/>
      <c r="V14" s="47"/>
      <c r="W14" s="47"/>
      <c r="X14" s="47"/>
      <c r="Y14" s="47"/>
    </row>
    <row r="15" spans="1:43">
      <c r="A15" s="5">
        <v>6</v>
      </c>
      <c r="B15" s="1" t="s">
        <v>6</v>
      </c>
      <c r="C15" s="5">
        <v>0</v>
      </c>
      <c r="D15" s="5">
        <v>1</v>
      </c>
      <c r="E15" s="5">
        <v>1</v>
      </c>
      <c r="F15" s="5">
        <v>0</v>
      </c>
      <c r="G15" s="5" t="s">
        <v>11</v>
      </c>
      <c r="H15" s="46" t="b">
        <f t="shared" si="0"/>
        <v>1</v>
      </c>
      <c r="I15" s="45">
        <f t="shared" si="1"/>
        <v>2</v>
      </c>
      <c r="J15" s="46" t="b">
        <f t="shared" si="2"/>
        <v>1</v>
      </c>
      <c r="K15" s="47">
        <f t="shared" si="3"/>
        <v>1</v>
      </c>
      <c r="L15" s="46" t="b">
        <f t="shared" si="4"/>
        <v>1</v>
      </c>
      <c r="M15" s="47">
        <f t="shared" si="3"/>
        <v>1</v>
      </c>
      <c r="N15" s="47"/>
      <c r="O15" s="47"/>
      <c r="P15" s="47"/>
      <c r="Q15" s="47"/>
      <c r="R15" s="47"/>
      <c r="S15" s="47"/>
      <c r="T15" s="47"/>
      <c r="U15" s="47"/>
      <c r="V15" s="47"/>
      <c r="W15" s="47"/>
      <c r="X15" s="47"/>
      <c r="Y15" s="47"/>
    </row>
    <row r="16" spans="1:43" ht="15.75" thickBot="1">
      <c r="A16" s="5">
        <v>7</v>
      </c>
      <c r="B16" s="1" t="s">
        <v>12</v>
      </c>
      <c r="C16" s="5">
        <v>0</v>
      </c>
      <c r="D16" s="5">
        <v>1</v>
      </c>
      <c r="E16" s="5">
        <v>1</v>
      </c>
      <c r="F16" s="5">
        <v>1</v>
      </c>
      <c r="G16" s="5" t="s">
        <v>13</v>
      </c>
      <c r="H16" s="46" t="b">
        <f t="shared" si="0"/>
        <v>1</v>
      </c>
      <c r="I16" s="45">
        <f t="shared" si="1"/>
        <v>3</v>
      </c>
      <c r="J16" s="46" t="b">
        <f t="shared" si="2"/>
        <v>1</v>
      </c>
      <c r="K16" s="47">
        <f t="shared" si="3"/>
        <v>1</v>
      </c>
      <c r="L16" s="46" t="b">
        <f t="shared" si="4"/>
        <v>1</v>
      </c>
      <c r="M16" s="47">
        <f t="shared" si="3"/>
        <v>1</v>
      </c>
      <c r="N16" s="47"/>
      <c r="O16" s="47"/>
      <c r="P16" s="47"/>
      <c r="Q16" s="47"/>
      <c r="R16" s="47"/>
      <c r="S16" s="47"/>
      <c r="T16" s="47"/>
      <c r="U16" s="47"/>
      <c r="V16" s="47"/>
      <c r="W16" s="47"/>
      <c r="X16" s="47"/>
      <c r="Y16" s="47"/>
    </row>
    <row r="17" spans="1:43">
      <c r="A17" s="6">
        <v>8</v>
      </c>
      <c r="B17" s="4" t="s">
        <v>2</v>
      </c>
      <c r="C17" s="7">
        <v>1</v>
      </c>
      <c r="D17" s="7">
        <v>0</v>
      </c>
      <c r="E17" s="7">
        <v>0</v>
      </c>
      <c r="F17" s="8">
        <v>0</v>
      </c>
      <c r="G17" s="5" t="s">
        <v>2</v>
      </c>
      <c r="H17" s="46" t="b">
        <f t="shared" si="0"/>
        <v>0</v>
      </c>
      <c r="I17" s="45">
        <f t="shared" si="1"/>
        <v>1</v>
      </c>
      <c r="J17" s="46" t="b">
        <f t="shared" si="2"/>
        <v>1</v>
      </c>
      <c r="K17" s="47">
        <f t="shared" si="3"/>
        <v>1</v>
      </c>
      <c r="L17" s="46" t="b">
        <f t="shared" si="4"/>
        <v>0</v>
      </c>
      <c r="M17" s="47">
        <f t="shared" si="3"/>
        <v>0</v>
      </c>
      <c r="N17" s="47"/>
      <c r="O17" s="47"/>
      <c r="P17" s="47"/>
      <c r="Q17" s="47"/>
      <c r="R17" s="47"/>
      <c r="S17" s="47"/>
      <c r="T17" s="47"/>
      <c r="U17" s="47"/>
      <c r="V17" s="47"/>
      <c r="W17" s="47"/>
      <c r="X17" s="47"/>
      <c r="Y17" s="47"/>
      <c r="AC17" s="51">
        <f>$AF$11</f>
        <v>6.6</v>
      </c>
      <c r="AD17" s="51">
        <f>$AF$10</f>
        <v>9.4</v>
      </c>
      <c r="AF17" s="50">
        <v>5.6</v>
      </c>
      <c r="AJ17" s="50">
        <v>8</v>
      </c>
    </row>
    <row r="18" spans="1:43">
      <c r="A18" s="9">
        <v>9</v>
      </c>
      <c r="B18" s="3" t="s">
        <v>5</v>
      </c>
      <c r="C18" s="10">
        <v>1</v>
      </c>
      <c r="D18" s="10">
        <v>0</v>
      </c>
      <c r="E18" s="10">
        <v>0</v>
      </c>
      <c r="F18" s="11">
        <v>1</v>
      </c>
      <c r="G18" s="5" t="s">
        <v>14</v>
      </c>
      <c r="H18" s="46" t="b">
        <f t="shared" si="0"/>
        <v>1</v>
      </c>
      <c r="I18" s="45">
        <f t="shared" si="1"/>
        <v>2</v>
      </c>
      <c r="J18" s="46" t="b">
        <f t="shared" si="2"/>
        <v>1</v>
      </c>
      <c r="K18" s="47">
        <f t="shared" si="3"/>
        <v>1</v>
      </c>
      <c r="L18" s="46" t="b">
        <f t="shared" si="4"/>
        <v>1</v>
      </c>
      <c r="M18" s="47">
        <f t="shared" si="3"/>
        <v>1</v>
      </c>
      <c r="N18" s="47"/>
      <c r="O18" s="47"/>
      <c r="P18" s="47"/>
      <c r="Q18" s="47"/>
      <c r="R18" s="47"/>
      <c r="S18" s="47"/>
      <c r="T18" s="47"/>
      <c r="U18" s="47"/>
      <c r="V18" s="47"/>
      <c r="W18" s="47"/>
      <c r="X18" s="47"/>
      <c r="Y18" s="47"/>
    </row>
    <row r="19" spans="1:43">
      <c r="A19" s="9">
        <v>10</v>
      </c>
      <c r="B19" s="3" t="s">
        <v>15</v>
      </c>
      <c r="C19" s="10">
        <v>1</v>
      </c>
      <c r="D19" s="10">
        <v>0</v>
      </c>
      <c r="E19" s="10">
        <v>1</v>
      </c>
      <c r="F19" s="11">
        <v>0</v>
      </c>
      <c r="G19" s="5" t="s">
        <v>16</v>
      </c>
      <c r="H19" s="46" t="b">
        <f t="shared" si="0"/>
        <v>1</v>
      </c>
      <c r="I19" s="45">
        <f t="shared" si="1"/>
        <v>2</v>
      </c>
      <c r="J19" s="46" t="b">
        <f t="shared" si="2"/>
        <v>1</v>
      </c>
      <c r="K19" s="47">
        <f t="shared" si="3"/>
        <v>1</v>
      </c>
      <c r="L19" s="46" t="b">
        <f t="shared" si="4"/>
        <v>1</v>
      </c>
      <c r="M19" s="47">
        <f t="shared" si="3"/>
        <v>1</v>
      </c>
      <c r="N19" s="47"/>
      <c r="O19" s="47"/>
      <c r="P19" s="47"/>
      <c r="Q19" s="47"/>
      <c r="R19" s="47"/>
      <c r="S19" s="47"/>
      <c r="T19" s="47"/>
      <c r="U19" s="47"/>
      <c r="V19" s="47"/>
      <c r="W19" s="47"/>
      <c r="X19" s="47"/>
      <c r="Y19" s="47"/>
    </row>
    <row r="20" spans="1:43" ht="15.75" thickBot="1">
      <c r="A20" s="12">
        <v>11</v>
      </c>
      <c r="B20" s="2" t="s">
        <v>17</v>
      </c>
      <c r="C20" s="13">
        <v>1</v>
      </c>
      <c r="D20" s="13">
        <v>0</v>
      </c>
      <c r="E20" s="13">
        <v>1</v>
      </c>
      <c r="F20" s="14">
        <v>1</v>
      </c>
      <c r="G20" s="5" t="s">
        <v>18</v>
      </c>
      <c r="H20" s="46" t="b">
        <f t="shared" si="0"/>
        <v>1</v>
      </c>
      <c r="I20" s="45">
        <f t="shared" si="1"/>
        <v>3</v>
      </c>
      <c r="J20" s="46" t="b">
        <f t="shared" si="2"/>
        <v>1</v>
      </c>
      <c r="K20" s="47">
        <f t="shared" si="3"/>
        <v>1</v>
      </c>
      <c r="L20" s="46" t="b">
        <f t="shared" si="4"/>
        <v>1</v>
      </c>
      <c r="M20" s="47">
        <f t="shared" si="3"/>
        <v>1</v>
      </c>
      <c r="N20" s="47"/>
      <c r="O20" s="47"/>
      <c r="P20" s="47"/>
      <c r="Q20" s="47"/>
      <c r="R20" s="47"/>
      <c r="S20" s="47"/>
      <c r="T20" s="47"/>
      <c r="U20" s="47"/>
      <c r="V20" s="47"/>
      <c r="W20" s="47"/>
      <c r="X20" s="47"/>
      <c r="Y20" s="47"/>
    </row>
    <row r="21" spans="1:43">
      <c r="A21" s="5">
        <v>12</v>
      </c>
      <c r="B21" s="3" t="s">
        <v>19</v>
      </c>
      <c r="C21" s="5">
        <v>1</v>
      </c>
      <c r="D21" s="5">
        <v>1</v>
      </c>
      <c r="E21" s="5">
        <v>0</v>
      </c>
      <c r="F21" s="5">
        <v>0</v>
      </c>
      <c r="G21" s="5" t="s">
        <v>20</v>
      </c>
      <c r="H21" s="46" t="b">
        <f t="shared" si="0"/>
        <v>1</v>
      </c>
      <c r="I21" s="45">
        <f t="shared" si="1"/>
        <v>2</v>
      </c>
      <c r="J21" s="46" t="b">
        <f t="shared" si="2"/>
        <v>1</v>
      </c>
      <c r="K21" s="47">
        <f t="shared" si="3"/>
        <v>1</v>
      </c>
      <c r="L21" s="46" t="b">
        <f t="shared" si="4"/>
        <v>0</v>
      </c>
      <c r="M21" s="47">
        <f t="shared" si="3"/>
        <v>0</v>
      </c>
      <c r="N21" s="47"/>
      <c r="O21" s="47"/>
      <c r="P21" s="47"/>
      <c r="Q21" s="47"/>
      <c r="R21" s="47"/>
      <c r="S21" s="47"/>
      <c r="T21" s="47"/>
      <c r="U21" s="47"/>
      <c r="V21" s="47"/>
      <c r="W21" s="47"/>
      <c r="X21" s="47"/>
      <c r="Y21" s="47"/>
    </row>
    <row r="22" spans="1:43">
      <c r="A22" s="5">
        <v>13</v>
      </c>
      <c r="B22" s="3" t="s">
        <v>21</v>
      </c>
      <c r="C22" s="5">
        <v>1</v>
      </c>
      <c r="D22" s="5">
        <v>1</v>
      </c>
      <c r="E22" s="5">
        <v>0</v>
      </c>
      <c r="F22" s="5">
        <v>1</v>
      </c>
      <c r="G22" s="5" t="s">
        <v>22</v>
      </c>
      <c r="H22" s="46" t="b">
        <f t="shared" si="0"/>
        <v>1</v>
      </c>
      <c r="I22" s="45">
        <f t="shared" si="1"/>
        <v>3</v>
      </c>
      <c r="J22" s="46" t="b">
        <f t="shared" si="2"/>
        <v>1</v>
      </c>
      <c r="K22" s="47">
        <f t="shared" si="3"/>
        <v>1</v>
      </c>
      <c r="L22" s="46" t="b">
        <f t="shared" si="4"/>
        <v>1</v>
      </c>
      <c r="M22" s="47">
        <f t="shared" si="3"/>
        <v>1</v>
      </c>
      <c r="N22" s="47"/>
      <c r="O22" s="47"/>
      <c r="P22" s="47"/>
      <c r="Q22" s="47"/>
      <c r="R22" s="47"/>
      <c r="S22" s="47"/>
      <c r="T22" s="47"/>
      <c r="U22" s="47"/>
      <c r="V22" s="47"/>
      <c r="W22" s="47"/>
      <c r="X22" s="47"/>
      <c r="Y22" s="47"/>
    </row>
    <row r="23" spans="1:43">
      <c r="A23" s="5">
        <v>14</v>
      </c>
      <c r="B23" s="3" t="s">
        <v>23</v>
      </c>
      <c r="C23" s="5">
        <v>1</v>
      </c>
      <c r="D23" s="5">
        <v>1</v>
      </c>
      <c r="E23" s="5">
        <v>1</v>
      </c>
      <c r="F23" s="5">
        <v>0</v>
      </c>
      <c r="G23" s="5" t="s">
        <v>24</v>
      </c>
      <c r="H23" s="46" t="b">
        <f t="shared" si="0"/>
        <v>1</v>
      </c>
      <c r="I23" s="45">
        <f t="shared" si="1"/>
        <v>3</v>
      </c>
      <c r="J23" s="46" t="b">
        <f t="shared" si="2"/>
        <v>1</v>
      </c>
      <c r="K23" s="47">
        <f t="shared" si="3"/>
        <v>1</v>
      </c>
      <c r="L23" s="46" t="b">
        <f t="shared" si="4"/>
        <v>1</v>
      </c>
      <c r="M23" s="47">
        <f t="shared" si="3"/>
        <v>1</v>
      </c>
      <c r="N23" s="47"/>
      <c r="O23" s="47"/>
      <c r="P23" s="47"/>
      <c r="Q23" s="47"/>
      <c r="R23" s="47"/>
      <c r="S23" s="47"/>
      <c r="T23" s="47"/>
      <c r="U23" s="47"/>
      <c r="V23" s="47"/>
      <c r="W23" s="47"/>
      <c r="X23" s="47"/>
      <c r="Y23" s="47"/>
    </row>
    <row r="24" spans="1:43">
      <c r="A24" s="5">
        <v>15</v>
      </c>
      <c r="B24" s="1" t="s">
        <v>25</v>
      </c>
      <c r="C24" s="5">
        <v>1</v>
      </c>
      <c r="D24" s="5">
        <v>1</v>
      </c>
      <c r="E24" s="5">
        <v>1</v>
      </c>
      <c r="F24" s="5">
        <v>1</v>
      </c>
      <c r="G24" s="5" t="s">
        <v>26</v>
      </c>
      <c r="H24" s="46" t="b">
        <f t="shared" si="0"/>
        <v>1</v>
      </c>
      <c r="I24" s="45">
        <f t="shared" si="1"/>
        <v>4</v>
      </c>
      <c r="J24" s="46" t="b">
        <f t="shared" si="2"/>
        <v>1</v>
      </c>
      <c r="K24" s="47">
        <f t="shared" si="3"/>
        <v>1</v>
      </c>
      <c r="L24" s="46" t="b">
        <f t="shared" si="4"/>
        <v>1</v>
      </c>
      <c r="M24" s="47">
        <f t="shared" si="3"/>
        <v>1</v>
      </c>
      <c r="N24" s="47"/>
      <c r="O24" s="47"/>
      <c r="P24" s="47"/>
      <c r="Q24" s="47"/>
      <c r="R24" s="47"/>
      <c r="S24" s="47"/>
      <c r="T24" s="47"/>
      <c r="U24" s="47"/>
      <c r="V24" s="47"/>
      <c r="W24" s="47"/>
      <c r="X24" s="47"/>
      <c r="Y24" s="47"/>
      <c r="AN24">
        <f>MIN($AF$10,$AF$11,$AF$13,$AF$17,$AJ$17,$AJ$13,$AJ$11,$AJ$10)</f>
        <v>5.6</v>
      </c>
      <c r="AO24">
        <f>MIN($AC$10,$AF$10,$AJ$10,$AC$11,$AF$11,$AJ$11,$AC$13,$AF$13,$AJ$13,$AC$17,$AF$17,$AJ$17)</f>
        <v>5.6</v>
      </c>
      <c r="AP24">
        <f>MIN($AD$10,$AF$10,$AJ$10,$AD$11,$AF$11,$AJ$11,$AD$13,$AF$13,$AJ$13,$AD$17,$AF$17,$AJ$17)</f>
        <v>5.6</v>
      </c>
      <c r="AQ24">
        <f>MIN($AC$10:$AD$11,$AF$10:$AF$11,$AJ$10:$AJ$11,$AC$13:$AD$13,$AF$13,$AJ$13,$AC$17:$AD$17,$AF$17,$AJ$17)</f>
        <v>5.6</v>
      </c>
    </row>
    <row r="25" spans="1:43">
      <c r="V25" s="227">
        <v>0</v>
      </c>
      <c r="AC25" t="s">
        <v>197</v>
      </c>
    </row>
    <row r="27" spans="1:43" s="202" customFormat="1" ht="58.5">
      <c r="A27" s="202" t="s">
        <v>191</v>
      </c>
      <c r="B27" s="203" t="s">
        <v>192</v>
      </c>
      <c r="E27" s="202" t="s">
        <v>195</v>
      </c>
      <c r="G27" s="202" t="s">
        <v>193</v>
      </c>
      <c r="I27" s="202" t="s">
        <v>194</v>
      </c>
    </row>
    <row r="28" spans="1:43" ht="15.75" thickBot="1">
      <c r="A28">
        <v>1</v>
      </c>
      <c r="B28" t="str">
        <f t="shared" ref="B28:B91" si="5">CHAR(A28)</f>
        <v>_x0001_</v>
      </c>
      <c r="C28" t="str">
        <f t="shared" ref="C28:C91" si="6">UPPER(B28)</f>
        <v>_x0001_</v>
      </c>
      <c r="D28" t="e">
        <f t="shared" ref="D28:D91" si="7">FIND(C28,CodDegElegir)-1</f>
        <v>#VALUE!</v>
      </c>
      <c r="E28" t="str">
        <f t="shared" ref="E28:E91" si="8">IFERROR(D28,"")</f>
        <v/>
      </c>
      <c r="L28">
        <f>INDEX(CodDeg!$E$28:$E$303,CODE(Align!M22))</f>
        <v>8</v>
      </c>
      <c r="M28" t="str">
        <f>INDEX(CodDeg!$E$28:$E$303,1)</f>
        <v/>
      </c>
      <c r="U28" t="s">
        <v>2</v>
      </c>
      <c r="V28">
        <f t="shared" ref="V28:V44" si="9">INDEX($E$28:$E$303,CODE(U28)+1)</f>
        <v>7</v>
      </c>
    </row>
    <row r="29" spans="1:43">
      <c r="A29">
        <v>2</v>
      </c>
      <c r="B29" t="str">
        <f t="shared" si="5"/>
        <v>_x0002_</v>
      </c>
      <c r="C29" t="str">
        <f t="shared" si="6"/>
        <v>_x0002_</v>
      </c>
      <c r="D29" t="e">
        <f t="shared" si="7"/>
        <v>#VALUE!</v>
      </c>
      <c r="E29" t="str">
        <f t="shared" si="8"/>
        <v/>
      </c>
      <c r="L29" t="b">
        <f>opt_A()</f>
        <v>1</v>
      </c>
      <c r="U29" s="4" t="s">
        <v>0</v>
      </c>
      <c r="V29" t="str">
        <f t="shared" si="9"/>
        <v/>
      </c>
    </row>
    <row r="30" spans="1:43">
      <c r="A30">
        <v>3</v>
      </c>
      <c r="B30" t="str">
        <f t="shared" si="5"/>
        <v>_x0003_</v>
      </c>
      <c r="C30" t="str">
        <f t="shared" si="6"/>
        <v>_x0003_</v>
      </c>
      <c r="D30" t="e">
        <f t="shared" si="7"/>
        <v>#VALUE!</v>
      </c>
      <c r="E30" t="str">
        <f t="shared" si="8"/>
        <v/>
      </c>
      <c r="L30" t="b">
        <f>OR( opt_A(),  opt_B())</f>
        <v>1</v>
      </c>
      <c r="U30" s="3" t="s">
        <v>3</v>
      </c>
      <c r="V30">
        <f t="shared" si="9"/>
        <v>14</v>
      </c>
    </row>
    <row r="31" spans="1:43">
      <c r="A31">
        <v>4</v>
      </c>
      <c r="B31" t="str">
        <f t="shared" si="5"/>
        <v>_x0004_</v>
      </c>
      <c r="C31" t="str">
        <f t="shared" si="6"/>
        <v>_x0004_</v>
      </c>
      <c r="D31" t="e">
        <f t="shared" si="7"/>
        <v>#VALUE!</v>
      </c>
      <c r="E31" t="str">
        <f t="shared" si="8"/>
        <v/>
      </c>
      <c r="L31" t="b">
        <f>IF( FALSE,  opt_B(),opt_A())</f>
        <v>1</v>
      </c>
      <c r="U31" s="3" t="s">
        <v>4</v>
      </c>
      <c r="V31">
        <f t="shared" si="9"/>
        <v>13</v>
      </c>
    </row>
    <row r="32" spans="1:43" ht="15.75" thickBot="1">
      <c r="A32">
        <v>5</v>
      </c>
      <c r="B32" t="str">
        <f t="shared" si="5"/>
        <v>_x0005_</v>
      </c>
      <c r="C32" t="str">
        <f t="shared" si="6"/>
        <v>_x0005_</v>
      </c>
      <c r="D32" t="e">
        <f t="shared" si="7"/>
        <v>#VALUE!</v>
      </c>
      <c r="E32" t="str">
        <f t="shared" si="8"/>
        <v/>
      </c>
      <c r="L32">
        <f>--AND(1.2)</f>
        <v>1</v>
      </c>
      <c r="U32" s="2" t="s">
        <v>7</v>
      </c>
      <c r="V32">
        <f t="shared" si="9"/>
        <v>4</v>
      </c>
    </row>
    <row r="33" spans="1:22">
      <c r="A33">
        <v>6</v>
      </c>
      <c r="B33" t="str">
        <f t="shared" si="5"/>
        <v>_x0006_</v>
      </c>
      <c r="C33" t="str">
        <f t="shared" si="6"/>
        <v>_x0006_</v>
      </c>
      <c r="D33" t="e">
        <f t="shared" si="7"/>
        <v>#VALUE!</v>
      </c>
      <c r="E33" t="str">
        <f t="shared" si="8"/>
        <v/>
      </c>
      <c r="U33" s="1" t="s">
        <v>1</v>
      </c>
      <c r="V33">
        <f t="shared" si="9"/>
        <v>4</v>
      </c>
    </row>
    <row r="34" spans="1:22">
      <c r="A34">
        <v>7</v>
      </c>
      <c r="B34" t="str">
        <f t="shared" si="5"/>
        <v>_x0007_</v>
      </c>
      <c r="C34" t="str">
        <f t="shared" si="6"/>
        <v>_x0007_</v>
      </c>
      <c r="D34" t="e">
        <f t="shared" si="7"/>
        <v>#VALUE!</v>
      </c>
      <c r="E34" t="str">
        <f t="shared" si="8"/>
        <v/>
      </c>
      <c r="U34" s="1" t="s">
        <v>9</v>
      </c>
      <c r="V34" t="str">
        <f t="shared" si="9"/>
        <v/>
      </c>
    </row>
    <row r="35" spans="1:22">
      <c r="A35">
        <v>8</v>
      </c>
      <c r="B35" t="str">
        <f t="shared" si="5"/>
        <v>_x0008_</v>
      </c>
      <c r="C35" t="str">
        <f t="shared" si="6"/>
        <v>_x0008_</v>
      </c>
      <c r="D35" t="e">
        <f t="shared" si="7"/>
        <v>#VALUE!</v>
      </c>
      <c r="E35" t="str">
        <f t="shared" si="8"/>
        <v/>
      </c>
      <c r="U35" s="1" t="s">
        <v>6</v>
      </c>
      <c r="V35" t="str">
        <f t="shared" si="9"/>
        <v/>
      </c>
    </row>
    <row r="36" spans="1:22" ht="15.75" thickBot="1">
      <c r="A36">
        <v>9</v>
      </c>
      <c r="B36" t="str">
        <f t="shared" si="5"/>
        <v xml:space="preserve">	</v>
      </c>
      <c r="C36" t="str">
        <f t="shared" si="6"/>
        <v xml:space="preserve">	</v>
      </c>
      <c r="D36" t="e">
        <f t="shared" si="7"/>
        <v>#VALUE!</v>
      </c>
      <c r="E36" t="str">
        <f t="shared" si="8"/>
        <v/>
      </c>
      <c r="U36" s="1" t="s">
        <v>12</v>
      </c>
      <c r="V36">
        <f t="shared" si="9"/>
        <v>2</v>
      </c>
    </row>
    <row r="37" spans="1:22">
      <c r="A37">
        <v>10</v>
      </c>
      <c r="B37" t="str">
        <f t="shared" si="5"/>
        <v xml:space="preserve">
</v>
      </c>
      <c r="C37" t="str">
        <f t="shared" si="6"/>
        <v xml:space="preserve">
</v>
      </c>
      <c r="D37" t="e">
        <f t="shared" si="7"/>
        <v>#VALUE!</v>
      </c>
      <c r="E37" t="str">
        <f t="shared" si="8"/>
        <v/>
      </c>
      <c r="U37" s="4" t="s">
        <v>2</v>
      </c>
      <c r="V37">
        <f t="shared" si="9"/>
        <v>7</v>
      </c>
    </row>
    <row r="38" spans="1:22">
      <c r="A38">
        <v>11</v>
      </c>
      <c r="B38" t="str">
        <f t="shared" si="5"/>
        <v>_x000B_</v>
      </c>
      <c r="C38" t="str">
        <f t="shared" si="6"/>
        <v>_x000B_</v>
      </c>
      <c r="D38" t="e">
        <f t="shared" si="7"/>
        <v>#VALUE!</v>
      </c>
      <c r="E38" t="str">
        <f t="shared" si="8"/>
        <v/>
      </c>
      <c r="U38" s="3" t="s">
        <v>5</v>
      </c>
      <c r="V38">
        <f t="shared" si="9"/>
        <v>3</v>
      </c>
    </row>
    <row r="39" spans="1:22">
      <c r="A39">
        <v>12</v>
      </c>
      <c r="B39" t="str">
        <f t="shared" si="5"/>
        <v>_x000C_</v>
      </c>
      <c r="C39" t="str">
        <f t="shared" si="6"/>
        <v>_x000C_</v>
      </c>
      <c r="D39" t="e">
        <f t="shared" si="7"/>
        <v>#VALUE!</v>
      </c>
      <c r="E39" t="str">
        <f t="shared" si="8"/>
        <v/>
      </c>
      <c r="U39" s="3" t="s">
        <v>15</v>
      </c>
      <c r="V39">
        <f t="shared" si="9"/>
        <v>15</v>
      </c>
    </row>
    <row r="40" spans="1:22" ht="15.75" thickBot="1">
      <c r="A40">
        <v>13</v>
      </c>
      <c r="B40" t="str">
        <f t="shared" si="5"/>
        <v>_x000D_</v>
      </c>
      <c r="C40" t="str">
        <f t="shared" si="6"/>
        <v>_x000D_</v>
      </c>
      <c r="D40" t="e">
        <f t="shared" si="7"/>
        <v>#VALUE!</v>
      </c>
      <c r="E40" t="str">
        <f t="shared" si="8"/>
        <v/>
      </c>
      <c r="U40" s="2" t="s">
        <v>17</v>
      </c>
      <c r="V40">
        <f t="shared" si="9"/>
        <v>12</v>
      </c>
    </row>
    <row r="41" spans="1:22">
      <c r="A41">
        <v>14</v>
      </c>
      <c r="B41" t="str">
        <f t="shared" si="5"/>
        <v>_x000E_</v>
      </c>
      <c r="C41" t="str">
        <f t="shared" si="6"/>
        <v>_x000E_</v>
      </c>
      <c r="D41" t="e">
        <f t="shared" si="7"/>
        <v>#VALUE!</v>
      </c>
      <c r="E41" t="str">
        <f t="shared" si="8"/>
        <v/>
      </c>
      <c r="U41" s="3" t="s">
        <v>19</v>
      </c>
      <c r="V41" t="str">
        <f t="shared" si="9"/>
        <v/>
      </c>
    </row>
    <row r="42" spans="1:22">
      <c r="A42">
        <v>15</v>
      </c>
      <c r="B42" t="str">
        <f t="shared" si="5"/>
        <v>_x000F_</v>
      </c>
      <c r="C42" t="str">
        <f t="shared" si="6"/>
        <v>_x000F_</v>
      </c>
      <c r="D42" t="e">
        <f t="shared" si="7"/>
        <v>#VALUE!</v>
      </c>
      <c r="E42" t="str">
        <f t="shared" si="8"/>
        <v/>
      </c>
      <c r="U42" s="3" t="s">
        <v>21</v>
      </c>
      <c r="V42" t="str">
        <f t="shared" si="9"/>
        <v/>
      </c>
    </row>
    <row r="43" spans="1:22">
      <c r="A43">
        <v>16</v>
      </c>
      <c r="B43" t="str">
        <f t="shared" si="5"/>
        <v>_x0010_</v>
      </c>
      <c r="C43" t="str">
        <f t="shared" si="6"/>
        <v>_x0010_</v>
      </c>
      <c r="D43" t="e">
        <f t="shared" si="7"/>
        <v>#VALUE!</v>
      </c>
      <c r="E43" t="str">
        <f t="shared" si="8"/>
        <v/>
      </c>
      <c r="U43" s="3" t="s">
        <v>23</v>
      </c>
      <c r="V43" t="str">
        <f t="shared" si="9"/>
        <v/>
      </c>
    </row>
    <row r="44" spans="1:22">
      <c r="A44">
        <v>17</v>
      </c>
      <c r="B44" t="str">
        <f t="shared" si="5"/>
        <v>_x0011_</v>
      </c>
      <c r="C44" t="str">
        <f t="shared" si="6"/>
        <v>_x0011_</v>
      </c>
      <c r="D44" t="e">
        <f t="shared" si="7"/>
        <v>#VALUE!</v>
      </c>
      <c r="E44" t="str">
        <f t="shared" si="8"/>
        <v/>
      </c>
      <c r="U44" s="1" t="s">
        <v>25</v>
      </c>
      <c r="V44" t="str">
        <f t="shared" si="9"/>
        <v/>
      </c>
    </row>
    <row r="45" spans="1:22">
      <c r="A45">
        <v>18</v>
      </c>
      <c r="B45" t="str">
        <f t="shared" si="5"/>
        <v>_x0012_</v>
      </c>
      <c r="C45" t="str">
        <f t="shared" si="6"/>
        <v>_x0012_</v>
      </c>
      <c r="D45" t="e">
        <f t="shared" si="7"/>
        <v>#VALUE!</v>
      </c>
      <c r="E45" t="str">
        <f t="shared" si="8"/>
        <v/>
      </c>
    </row>
    <row r="46" spans="1:22">
      <c r="A46">
        <v>19</v>
      </c>
      <c r="B46" t="str">
        <f t="shared" si="5"/>
        <v>_x0013_</v>
      </c>
      <c r="C46" t="str">
        <f t="shared" si="6"/>
        <v>_x0013_</v>
      </c>
      <c r="D46" t="e">
        <f t="shared" si="7"/>
        <v>#VALUE!</v>
      </c>
      <c r="E46" t="str">
        <f t="shared" si="8"/>
        <v/>
      </c>
    </row>
    <row r="47" spans="1:22">
      <c r="A47">
        <v>20</v>
      </c>
      <c r="B47" t="str">
        <f t="shared" si="5"/>
        <v>_x0014_</v>
      </c>
      <c r="C47" t="str">
        <f t="shared" si="6"/>
        <v>_x0014_</v>
      </c>
      <c r="D47" t="e">
        <f t="shared" si="7"/>
        <v>#VALUE!</v>
      </c>
      <c r="E47" t="str">
        <f t="shared" si="8"/>
        <v/>
      </c>
    </row>
    <row r="48" spans="1:22">
      <c r="A48">
        <v>21</v>
      </c>
      <c r="B48" t="str">
        <f t="shared" si="5"/>
        <v>_x0015_</v>
      </c>
      <c r="C48" t="str">
        <f t="shared" si="6"/>
        <v>_x0015_</v>
      </c>
      <c r="D48" t="e">
        <f t="shared" si="7"/>
        <v>#VALUE!</v>
      </c>
      <c r="E48" t="str">
        <f t="shared" si="8"/>
        <v/>
      </c>
    </row>
    <row r="49" spans="1:5">
      <c r="A49">
        <v>22</v>
      </c>
      <c r="B49" t="str">
        <f t="shared" si="5"/>
        <v>_x0016_</v>
      </c>
      <c r="C49" t="str">
        <f t="shared" si="6"/>
        <v>_x0016_</v>
      </c>
      <c r="D49" t="e">
        <f t="shared" si="7"/>
        <v>#VALUE!</v>
      </c>
      <c r="E49" t="str">
        <f t="shared" si="8"/>
        <v/>
      </c>
    </row>
    <row r="50" spans="1:5">
      <c r="A50">
        <v>23</v>
      </c>
      <c r="B50" t="str">
        <f t="shared" si="5"/>
        <v>_x0017_</v>
      </c>
      <c r="C50" t="str">
        <f t="shared" si="6"/>
        <v>_x0017_</v>
      </c>
      <c r="D50" t="e">
        <f t="shared" si="7"/>
        <v>#VALUE!</v>
      </c>
      <c r="E50" t="str">
        <f t="shared" si="8"/>
        <v/>
      </c>
    </row>
    <row r="51" spans="1:5">
      <c r="A51">
        <v>24</v>
      </c>
      <c r="B51" t="str">
        <f t="shared" si="5"/>
        <v>_x0018_</v>
      </c>
      <c r="C51" t="str">
        <f t="shared" si="6"/>
        <v>_x0018_</v>
      </c>
      <c r="D51" t="e">
        <f t="shared" si="7"/>
        <v>#VALUE!</v>
      </c>
      <c r="E51" t="str">
        <f t="shared" si="8"/>
        <v/>
      </c>
    </row>
    <row r="52" spans="1:5">
      <c r="A52">
        <v>25</v>
      </c>
      <c r="B52" t="str">
        <f t="shared" si="5"/>
        <v>_x0019_</v>
      </c>
      <c r="C52" t="str">
        <f t="shared" si="6"/>
        <v>_x0019_</v>
      </c>
      <c r="D52" t="e">
        <f t="shared" si="7"/>
        <v>#VALUE!</v>
      </c>
      <c r="E52" t="str">
        <f t="shared" si="8"/>
        <v/>
      </c>
    </row>
    <row r="53" spans="1:5">
      <c r="A53">
        <v>26</v>
      </c>
      <c r="B53" t="str">
        <f t="shared" si="5"/>
        <v>_x001A_</v>
      </c>
      <c r="C53" t="str">
        <f t="shared" si="6"/>
        <v>_x001A_</v>
      </c>
      <c r="D53" t="e">
        <f t="shared" si="7"/>
        <v>#VALUE!</v>
      </c>
      <c r="E53" t="str">
        <f t="shared" si="8"/>
        <v/>
      </c>
    </row>
    <row r="54" spans="1:5">
      <c r="A54">
        <v>27</v>
      </c>
      <c r="B54" t="str">
        <f t="shared" si="5"/>
        <v>_x001B_</v>
      </c>
      <c r="C54" t="str">
        <f t="shared" si="6"/>
        <v>_x001B_</v>
      </c>
      <c r="D54" t="e">
        <f t="shared" si="7"/>
        <v>#VALUE!</v>
      </c>
      <c r="E54" t="str">
        <f t="shared" si="8"/>
        <v/>
      </c>
    </row>
    <row r="55" spans="1:5">
      <c r="A55">
        <v>28</v>
      </c>
      <c r="B55" t="str">
        <f t="shared" si="5"/>
        <v>_x001C_</v>
      </c>
      <c r="C55" t="str">
        <f t="shared" si="6"/>
        <v>_x001C_</v>
      </c>
      <c r="D55" t="e">
        <f t="shared" si="7"/>
        <v>#VALUE!</v>
      </c>
      <c r="E55" t="str">
        <f t="shared" si="8"/>
        <v/>
      </c>
    </row>
    <row r="56" spans="1:5">
      <c r="A56">
        <v>29</v>
      </c>
      <c r="B56" t="str">
        <f t="shared" si="5"/>
        <v>_x001D_</v>
      </c>
      <c r="C56" t="str">
        <f t="shared" si="6"/>
        <v>_x001D_</v>
      </c>
      <c r="D56" t="e">
        <f t="shared" si="7"/>
        <v>#VALUE!</v>
      </c>
      <c r="E56" t="str">
        <f t="shared" si="8"/>
        <v/>
      </c>
    </row>
    <row r="57" spans="1:5">
      <c r="A57">
        <v>30</v>
      </c>
      <c r="B57" t="str">
        <f t="shared" si="5"/>
        <v>_x001E_</v>
      </c>
      <c r="C57" t="str">
        <f t="shared" si="6"/>
        <v>_x001E_</v>
      </c>
      <c r="D57" t="e">
        <f t="shared" si="7"/>
        <v>#VALUE!</v>
      </c>
      <c r="E57" t="str">
        <f t="shared" si="8"/>
        <v/>
      </c>
    </row>
    <row r="58" spans="1:5">
      <c r="A58">
        <v>31</v>
      </c>
      <c r="B58" t="str">
        <f t="shared" si="5"/>
        <v>_x001F_</v>
      </c>
      <c r="C58" t="str">
        <f t="shared" si="6"/>
        <v>_x001F_</v>
      </c>
      <c r="D58" t="e">
        <f t="shared" si="7"/>
        <v>#VALUE!</v>
      </c>
      <c r="E58" t="str">
        <f t="shared" si="8"/>
        <v/>
      </c>
    </row>
    <row r="59" spans="1:5">
      <c r="A59">
        <v>32</v>
      </c>
      <c r="B59" t="str">
        <f t="shared" si="5"/>
        <v xml:space="preserve"> </v>
      </c>
      <c r="C59" t="str">
        <f t="shared" si="6"/>
        <v xml:space="preserve"> </v>
      </c>
      <c r="D59" t="e">
        <f t="shared" si="7"/>
        <v>#VALUE!</v>
      </c>
      <c r="E59" t="str">
        <f t="shared" si="8"/>
        <v/>
      </c>
    </row>
    <row r="60" spans="1:5">
      <c r="A60">
        <v>33</v>
      </c>
      <c r="B60" t="str">
        <f t="shared" si="5"/>
        <v>!</v>
      </c>
      <c r="C60" t="str">
        <f t="shared" si="6"/>
        <v>!</v>
      </c>
      <c r="D60" t="e">
        <f t="shared" si="7"/>
        <v>#VALUE!</v>
      </c>
      <c r="E60" t="str">
        <f t="shared" si="8"/>
        <v/>
      </c>
    </row>
    <row r="61" spans="1:5">
      <c r="A61">
        <v>34</v>
      </c>
      <c r="B61" t="str">
        <f t="shared" si="5"/>
        <v>"</v>
      </c>
      <c r="C61" t="str">
        <f t="shared" si="6"/>
        <v>"</v>
      </c>
      <c r="D61" t="e">
        <f t="shared" si="7"/>
        <v>#VALUE!</v>
      </c>
      <c r="E61" t="str">
        <f t="shared" si="8"/>
        <v/>
      </c>
    </row>
    <row r="62" spans="1:5">
      <c r="A62">
        <v>35</v>
      </c>
      <c r="B62" t="str">
        <f t="shared" si="5"/>
        <v>#</v>
      </c>
      <c r="C62" t="str">
        <f t="shared" si="6"/>
        <v>#</v>
      </c>
      <c r="D62" t="e">
        <f t="shared" si="7"/>
        <v>#VALUE!</v>
      </c>
      <c r="E62" t="str">
        <f t="shared" si="8"/>
        <v/>
      </c>
    </row>
    <row r="63" spans="1:5">
      <c r="A63">
        <v>36</v>
      </c>
      <c r="B63" t="str">
        <f t="shared" si="5"/>
        <v>$</v>
      </c>
      <c r="C63" t="str">
        <f t="shared" si="6"/>
        <v>$</v>
      </c>
      <c r="D63" t="e">
        <f t="shared" si="7"/>
        <v>#VALUE!</v>
      </c>
      <c r="E63" t="str">
        <f t="shared" si="8"/>
        <v/>
      </c>
    </row>
    <row r="64" spans="1:5">
      <c r="A64">
        <v>37</v>
      </c>
      <c r="B64" t="str">
        <f t="shared" si="5"/>
        <v>%</v>
      </c>
      <c r="C64" t="str">
        <f t="shared" si="6"/>
        <v>%</v>
      </c>
      <c r="D64" t="e">
        <f t="shared" si="7"/>
        <v>#VALUE!</v>
      </c>
      <c r="E64" t="str">
        <f t="shared" si="8"/>
        <v/>
      </c>
    </row>
    <row r="65" spans="1:5">
      <c r="A65">
        <v>38</v>
      </c>
      <c r="B65" t="str">
        <f t="shared" si="5"/>
        <v>&amp;</v>
      </c>
      <c r="C65" t="str">
        <f t="shared" si="6"/>
        <v>&amp;</v>
      </c>
      <c r="D65" t="e">
        <f t="shared" si="7"/>
        <v>#VALUE!</v>
      </c>
      <c r="E65" t="str">
        <f t="shared" si="8"/>
        <v/>
      </c>
    </row>
    <row r="66" spans="1:5">
      <c r="A66">
        <v>39</v>
      </c>
      <c r="B66" t="str">
        <f t="shared" si="5"/>
        <v>'</v>
      </c>
      <c r="C66" t="str">
        <f t="shared" si="6"/>
        <v>'</v>
      </c>
      <c r="D66" t="e">
        <f t="shared" si="7"/>
        <v>#VALUE!</v>
      </c>
      <c r="E66" t="str">
        <f t="shared" si="8"/>
        <v/>
      </c>
    </row>
    <row r="67" spans="1:5">
      <c r="A67">
        <v>40</v>
      </c>
      <c r="B67" t="str">
        <f t="shared" si="5"/>
        <v>(</v>
      </c>
      <c r="C67" t="str">
        <f t="shared" si="6"/>
        <v>(</v>
      </c>
      <c r="D67" t="e">
        <f t="shared" si="7"/>
        <v>#VALUE!</v>
      </c>
      <c r="E67" t="str">
        <f t="shared" si="8"/>
        <v/>
      </c>
    </row>
    <row r="68" spans="1:5">
      <c r="A68">
        <v>41</v>
      </c>
      <c r="B68" t="str">
        <f t="shared" si="5"/>
        <v>)</v>
      </c>
      <c r="C68" t="str">
        <f t="shared" si="6"/>
        <v>)</v>
      </c>
      <c r="D68" t="e">
        <f t="shared" si="7"/>
        <v>#VALUE!</v>
      </c>
      <c r="E68" t="str">
        <f t="shared" si="8"/>
        <v/>
      </c>
    </row>
    <row r="69" spans="1:5">
      <c r="A69">
        <v>42</v>
      </c>
      <c r="B69" t="str">
        <f t="shared" si="5"/>
        <v>*</v>
      </c>
      <c r="C69" t="str">
        <f t="shared" si="6"/>
        <v>*</v>
      </c>
      <c r="D69" t="e">
        <f t="shared" si="7"/>
        <v>#VALUE!</v>
      </c>
      <c r="E69" t="str">
        <f t="shared" si="8"/>
        <v/>
      </c>
    </row>
    <row r="70" spans="1:5">
      <c r="A70">
        <v>43</v>
      </c>
      <c r="B70" t="str">
        <f t="shared" si="5"/>
        <v>+</v>
      </c>
      <c r="C70" t="str">
        <f t="shared" si="6"/>
        <v>+</v>
      </c>
      <c r="D70" t="e">
        <f t="shared" si="7"/>
        <v>#VALUE!</v>
      </c>
      <c r="E70" t="str">
        <f t="shared" si="8"/>
        <v/>
      </c>
    </row>
    <row r="71" spans="1:5">
      <c r="A71">
        <v>44</v>
      </c>
      <c r="B71" t="str">
        <f t="shared" si="5"/>
        <v>,</v>
      </c>
      <c r="C71" t="str">
        <f t="shared" si="6"/>
        <v>,</v>
      </c>
      <c r="D71" t="e">
        <f t="shared" si="7"/>
        <v>#VALUE!</v>
      </c>
      <c r="E71" t="str">
        <f t="shared" si="8"/>
        <v/>
      </c>
    </row>
    <row r="72" spans="1:5">
      <c r="A72">
        <v>45</v>
      </c>
      <c r="B72" t="str">
        <f t="shared" si="5"/>
        <v>-</v>
      </c>
      <c r="C72" t="str">
        <f t="shared" si="6"/>
        <v>-</v>
      </c>
      <c r="D72">
        <f t="shared" si="7"/>
        <v>0</v>
      </c>
      <c r="E72">
        <f t="shared" si="8"/>
        <v>0</v>
      </c>
    </row>
    <row r="73" spans="1:5">
      <c r="A73">
        <v>46</v>
      </c>
      <c r="B73" t="str">
        <f t="shared" si="5"/>
        <v>.</v>
      </c>
      <c r="C73" t="str">
        <f t="shared" si="6"/>
        <v>.</v>
      </c>
      <c r="D73" t="e">
        <f t="shared" si="7"/>
        <v>#VALUE!</v>
      </c>
      <c r="E73" t="str">
        <f t="shared" si="8"/>
        <v/>
      </c>
    </row>
    <row r="74" spans="1:5">
      <c r="A74">
        <v>47</v>
      </c>
      <c r="B74" t="str">
        <f t="shared" si="5"/>
        <v>/</v>
      </c>
      <c r="C74" t="str">
        <f t="shared" si="6"/>
        <v>/</v>
      </c>
      <c r="D74" t="e">
        <f t="shared" si="7"/>
        <v>#VALUE!</v>
      </c>
      <c r="E74" t="str">
        <f t="shared" si="8"/>
        <v/>
      </c>
    </row>
    <row r="75" spans="1:5">
      <c r="A75">
        <v>48</v>
      </c>
      <c r="B75" t="str">
        <f t="shared" si="5"/>
        <v>0</v>
      </c>
      <c r="C75" t="str">
        <f t="shared" si="6"/>
        <v>0</v>
      </c>
      <c r="D75" t="e">
        <f t="shared" si="7"/>
        <v>#VALUE!</v>
      </c>
      <c r="E75" t="str">
        <f t="shared" si="8"/>
        <v/>
      </c>
    </row>
    <row r="76" spans="1:5">
      <c r="A76">
        <v>49</v>
      </c>
      <c r="B76" t="str">
        <f t="shared" si="5"/>
        <v>1</v>
      </c>
      <c r="C76" t="str">
        <f t="shared" si="6"/>
        <v>1</v>
      </c>
      <c r="D76" t="e">
        <f t="shared" si="7"/>
        <v>#VALUE!</v>
      </c>
      <c r="E76" t="str">
        <f t="shared" si="8"/>
        <v/>
      </c>
    </row>
    <row r="77" spans="1:5">
      <c r="A77">
        <v>50</v>
      </c>
      <c r="B77" t="str">
        <f t="shared" si="5"/>
        <v>2</v>
      </c>
      <c r="C77" t="str">
        <f t="shared" si="6"/>
        <v>2</v>
      </c>
      <c r="D77" t="e">
        <f t="shared" si="7"/>
        <v>#VALUE!</v>
      </c>
      <c r="E77" t="str">
        <f t="shared" si="8"/>
        <v/>
      </c>
    </row>
    <row r="78" spans="1:5">
      <c r="A78">
        <v>51</v>
      </c>
      <c r="B78" t="str">
        <f t="shared" si="5"/>
        <v>3</v>
      </c>
      <c r="C78" t="str">
        <f t="shared" si="6"/>
        <v>3</v>
      </c>
      <c r="D78" t="e">
        <f t="shared" si="7"/>
        <v>#VALUE!</v>
      </c>
      <c r="E78" t="str">
        <f t="shared" si="8"/>
        <v/>
      </c>
    </row>
    <row r="79" spans="1:5">
      <c r="A79">
        <v>52</v>
      </c>
      <c r="B79" t="str">
        <f t="shared" si="5"/>
        <v>4</v>
      </c>
      <c r="C79" t="str">
        <f t="shared" si="6"/>
        <v>4</v>
      </c>
      <c r="D79" t="e">
        <f t="shared" si="7"/>
        <v>#VALUE!</v>
      </c>
      <c r="E79" t="str">
        <f t="shared" si="8"/>
        <v/>
      </c>
    </row>
    <row r="80" spans="1:5">
      <c r="A80">
        <v>53</v>
      </c>
      <c r="B80" t="str">
        <f t="shared" si="5"/>
        <v>5</v>
      </c>
      <c r="C80" t="str">
        <f t="shared" si="6"/>
        <v>5</v>
      </c>
      <c r="D80" t="e">
        <f t="shared" si="7"/>
        <v>#VALUE!</v>
      </c>
      <c r="E80" t="str">
        <f t="shared" si="8"/>
        <v/>
      </c>
    </row>
    <row r="81" spans="1:5">
      <c r="A81">
        <v>54</v>
      </c>
      <c r="B81" t="str">
        <f t="shared" si="5"/>
        <v>6</v>
      </c>
      <c r="C81" t="str">
        <f t="shared" si="6"/>
        <v>6</v>
      </c>
      <c r="D81" t="e">
        <f t="shared" si="7"/>
        <v>#VALUE!</v>
      </c>
      <c r="E81" t="str">
        <f t="shared" si="8"/>
        <v/>
      </c>
    </row>
    <row r="82" spans="1:5">
      <c r="A82">
        <v>55</v>
      </c>
      <c r="B82" t="str">
        <f t="shared" si="5"/>
        <v>7</v>
      </c>
      <c r="C82" t="str">
        <f t="shared" si="6"/>
        <v>7</v>
      </c>
      <c r="D82" t="e">
        <f t="shared" si="7"/>
        <v>#VALUE!</v>
      </c>
      <c r="E82" t="str">
        <f t="shared" si="8"/>
        <v/>
      </c>
    </row>
    <row r="83" spans="1:5">
      <c r="A83">
        <v>56</v>
      </c>
      <c r="B83" t="str">
        <f t="shared" si="5"/>
        <v>8</v>
      </c>
      <c r="C83" t="str">
        <f t="shared" si="6"/>
        <v>8</v>
      </c>
      <c r="D83" t="e">
        <f t="shared" si="7"/>
        <v>#VALUE!</v>
      </c>
      <c r="E83" t="str">
        <f t="shared" si="8"/>
        <v/>
      </c>
    </row>
    <row r="84" spans="1:5">
      <c r="A84">
        <v>57</v>
      </c>
      <c r="B84" t="str">
        <f t="shared" si="5"/>
        <v>9</v>
      </c>
      <c r="C84" t="str">
        <f t="shared" si="6"/>
        <v>9</v>
      </c>
      <c r="D84" t="e">
        <f t="shared" si="7"/>
        <v>#VALUE!</v>
      </c>
      <c r="E84" t="str">
        <f t="shared" si="8"/>
        <v/>
      </c>
    </row>
    <row r="85" spans="1:5">
      <c r="A85">
        <v>58</v>
      </c>
      <c r="B85" t="str">
        <f t="shared" si="5"/>
        <v>:</v>
      </c>
      <c r="C85" t="str">
        <f t="shared" si="6"/>
        <v>:</v>
      </c>
      <c r="D85" t="e">
        <f t="shared" si="7"/>
        <v>#VALUE!</v>
      </c>
      <c r="E85" t="str">
        <f t="shared" si="8"/>
        <v/>
      </c>
    </row>
    <row r="86" spans="1:5">
      <c r="A86">
        <v>59</v>
      </c>
      <c r="B86" t="str">
        <f t="shared" si="5"/>
        <v>;</v>
      </c>
      <c r="C86" t="str">
        <f t="shared" si="6"/>
        <v>;</v>
      </c>
      <c r="D86" t="e">
        <f t="shared" si="7"/>
        <v>#VALUE!</v>
      </c>
      <c r="E86" t="str">
        <f t="shared" si="8"/>
        <v/>
      </c>
    </row>
    <row r="87" spans="1:5">
      <c r="A87">
        <v>60</v>
      </c>
      <c r="B87" t="str">
        <f t="shared" si="5"/>
        <v>&lt;</v>
      </c>
      <c r="C87" t="str">
        <f t="shared" si="6"/>
        <v>&lt;</v>
      </c>
      <c r="D87" t="e">
        <f t="shared" si="7"/>
        <v>#VALUE!</v>
      </c>
      <c r="E87" t="str">
        <f t="shared" si="8"/>
        <v/>
      </c>
    </row>
    <row r="88" spans="1:5">
      <c r="A88">
        <v>61</v>
      </c>
      <c r="B88" t="str">
        <f t="shared" si="5"/>
        <v>=</v>
      </c>
      <c r="C88" t="str">
        <f t="shared" si="6"/>
        <v>=</v>
      </c>
      <c r="D88" t="e">
        <f t="shared" si="7"/>
        <v>#VALUE!</v>
      </c>
      <c r="E88" t="str">
        <f t="shared" si="8"/>
        <v/>
      </c>
    </row>
    <row r="89" spans="1:5">
      <c r="A89">
        <v>62</v>
      </c>
      <c r="B89" t="str">
        <f t="shared" si="5"/>
        <v>&gt;</v>
      </c>
      <c r="C89" t="str">
        <f t="shared" si="6"/>
        <v>&gt;</v>
      </c>
      <c r="D89" t="e">
        <f t="shared" si="7"/>
        <v>#VALUE!</v>
      </c>
      <c r="E89" t="str">
        <f t="shared" si="8"/>
        <v/>
      </c>
    </row>
    <row r="90" spans="1:5">
      <c r="A90">
        <v>63</v>
      </c>
      <c r="B90" t="str">
        <f t="shared" si="5"/>
        <v>?</v>
      </c>
      <c r="C90" t="str">
        <f t="shared" si="6"/>
        <v>?</v>
      </c>
      <c r="D90" t="e">
        <f t="shared" si="7"/>
        <v>#VALUE!</v>
      </c>
      <c r="E90" t="str">
        <f t="shared" si="8"/>
        <v/>
      </c>
    </row>
    <row r="91" spans="1:5">
      <c r="A91">
        <v>64</v>
      </c>
      <c r="B91" t="str">
        <f t="shared" si="5"/>
        <v>@</v>
      </c>
      <c r="C91" t="str">
        <f t="shared" si="6"/>
        <v>@</v>
      </c>
      <c r="D91" t="e">
        <f t="shared" si="7"/>
        <v>#VALUE!</v>
      </c>
      <c r="E91" t="str">
        <f t="shared" si="8"/>
        <v/>
      </c>
    </row>
    <row r="92" spans="1:5">
      <c r="A92">
        <v>65</v>
      </c>
      <c r="B92" t="str">
        <f t="shared" ref="B92:B155" si="10">CHAR(A92)</f>
        <v>A</v>
      </c>
      <c r="C92" t="str">
        <f t="shared" ref="C92:C155" si="11">UPPER(B92)</f>
        <v>A</v>
      </c>
      <c r="D92">
        <f t="shared" ref="D92:D155" si="12">FIND(C92,CodDegElegir)-1</f>
        <v>8</v>
      </c>
      <c r="E92">
        <f t="shared" ref="E92:E155" si="13">IFERROR(D92,"")</f>
        <v>8</v>
      </c>
    </row>
    <row r="93" spans="1:5">
      <c r="A93">
        <v>66</v>
      </c>
      <c r="B93" t="str">
        <f t="shared" si="10"/>
        <v>B</v>
      </c>
      <c r="C93" t="str">
        <f t="shared" si="11"/>
        <v>B</v>
      </c>
      <c r="D93">
        <f t="shared" si="12"/>
        <v>7</v>
      </c>
      <c r="E93">
        <f t="shared" si="13"/>
        <v>7</v>
      </c>
    </row>
    <row r="94" spans="1:5">
      <c r="A94">
        <v>67</v>
      </c>
      <c r="B94" t="str">
        <f t="shared" si="10"/>
        <v>C</v>
      </c>
      <c r="C94" t="str">
        <f t="shared" si="11"/>
        <v>C</v>
      </c>
      <c r="D94">
        <f t="shared" si="12"/>
        <v>2</v>
      </c>
      <c r="E94">
        <f t="shared" si="13"/>
        <v>2</v>
      </c>
    </row>
    <row r="95" spans="1:5">
      <c r="A95">
        <v>68</v>
      </c>
      <c r="B95" t="str">
        <f t="shared" si="10"/>
        <v>D</v>
      </c>
      <c r="C95" t="str">
        <f t="shared" si="11"/>
        <v>D</v>
      </c>
      <c r="D95">
        <f t="shared" si="12"/>
        <v>13</v>
      </c>
      <c r="E95">
        <f t="shared" si="13"/>
        <v>13</v>
      </c>
    </row>
    <row r="96" spans="1:5">
      <c r="A96">
        <v>69</v>
      </c>
      <c r="B96" t="str">
        <f t="shared" si="10"/>
        <v>E</v>
      </c>
      <c r="C96" t="str">
        <f t="shared" si="11"/>
        <v>E</v>
      </c>
      <c r="D96" t="e">
        <f t="shared" si="12"/>
        <v>#VALUE!</v>
      </c>
      <c r="E96" t="str">
        <f t="shared" si="13"/>
        <v/>
      </c>
    </row>
    <row r="97" spans="1:5">
      <c r="A97">
        <v>70</v>
      </c>
      <c r="B97" t="str">
        <f t="shared" si="10"/>
        <v>F</v>
      </c>
      <c r="C97" t="str">
        <f t="shared" si="11"/>
        <v>F</v>
      </c>
      <c r="D97" t="e">
        <f t="shared" si="12"/>
        <v>#VALUE!</v>
      </c>
      <c r="E97" t="str">
        <f t="shared" si="13"/>
        <v/>
      </c>
    </row>
    <row r="98" spans="1:5">
      <c r="A98">
        <v>71</v>
      </c>
      <c r="B98" t="str">
        <f t="shared" si="10"/>
        <v>G</v>
      </c>
      <c r="C98" t="str">
        <f t="shared" si="11"/>
        <v>G</v>
      </c>
      <c r="D98">
        <f t="shared" si="12"/>
        <v>1</v>
      </c>
      <c r="E98">
        <f t="shared" si="13"/>
        <v>1</v>
      </c>
    </row>
    <row r="99" spans="1:5">
      <c r="A99">
        <v>72</v>
      </c>
      <c r="B99" t="str">
        <f t="shared" si="10"/>
        <v>H</v>
      </c>
      <c r="C99" t="str">
        <f t="shared" si="11"/>
        <v>H</v>
      </c>
      <c r="D99">
        <f t="shared" si="12"/>
        <v>14</v>
      </c>
      <c r="E99">
        <f t="shared" si="13"/>
        <v>14</v>
      </c>
    </row>
    <row r="100" spans="1:5">
      <c r="A100">
        <v>73</v>
      </c>
      <c r="B100" t="str">
        <f t="shared" si="10"/>
        <v>I</v>
      </c>
      <c r="C100" t="str">
        <f t="shared" si="11"/>
        <v>I</v>
      </c>
      <c r="D100" t="e">
        <f t="shared" si="12"/>
        <v>#VALUE!</v>
      </c>
      <c r="E100" t="str">
        <f t="shared" si="13"/>
        <v/>
      </c>
    </row>
    <row r="101" spans="1:5">
      <c r="A101">
        <v>74</v>
      </c>
      <c r="B101" t="str">
        <f t="shared" si="10"/>
        <v>J</v>
      </c>
      <c r="C101" t="str">
        <f t="shared" si="11"/>
        <v>J</v>
      </c>
      <c r="D101" t="e">
        <f t="shared" si="12"/>
        <v>#VALUE!</v>
      </c>
      <c r="E101" t="str">
        <f t="shared" si="13"/>
        <v/>
      </c>
    </row>
    <row r="102" spans="1:5">
      <c r="A102">
        <v>75</v>
      </c>
      <c r="B102" t="str">
        <f t="shared" si="10"/>
        <v>K</v>
      </c>
      <c r="C102" t="str">
        <f t="shared" si="11"/>
        <v>K</v>
      </c>
      <c r="D102">
        <f t="shared" si="12"/>
        <v>5</v>
      </c>
      <c r="E102">
        <f t="shared" si="13"/>
        <v>5</v>
      </c>
    </row>
    <row r="103" spans="1:5">
      <c r="A103">
        <v>76</v>
      </c>
      <c r="B103" t="str">
        <f t="shared" si="10"/>
        <v>L</v>
      </c>
      <c r="C103" t="str">
        <f t="shared" si="11"/>
        <v>L</v>
      </c>
      <c r="D103" t="e">
        <f t="shared" si="12"/>
        <v>#VALUE!</v>
      </c>
      <c r="E103" t="str">
        <f t="shared" si="13"/>
        <v/>
      </c>
    </row>
    <row r="104" spans="1:5">
      <c r="A104">
        <v>77</v>
      </c>
      <c r="B104" t="str">
        <f t="shared" si="10"/>
        <v>M</v>
      </c>
      <c r="C104" t="str">
        <f t="shared" si="11"/>
        <v>M</v>
      </c>
      <c r="D104">
        <f t="shared" si="12"/>
        <v>10</v>
      </c>
      <c r="E104">
        <f t="shared" si="13"/>
        <v>10</v>
      </c>
    </row>
    <row r="105" spans="1:5">
      <c r="A105">
        <v>78</v>
      </c>
      <c r="B105" t="str">
        <f t="shared" si="10"/>
        <v>N</v>
      </c>
      <c r="C105" t="str">
        <f t="shared" si="11"/>
        <v>N</v>
      </c>
      <c r="D105">
        <f t="shared" si="12"/>
        <v>15</v>
      </c>
      <c r="E105">
        <f t="shared" si="13"/>
        <v>15</v>
      </c>
    </row>
    <row r="106" spans="1:5">
      <c r="A106">
        <v>79</v>
      </c>
      <c r="B106" t="str">
        <f t="shared" si="10"/>
        <v>O</v>
      </c>
      <c r="C106" t="str">
        <f t="shared" si="11"/>
        <v>O</v>
      </c>
      <c r="D106" t="e">
        <f t="shared" si="12"/>
        <v>#VALUE!</v>
      </c>
      <c r="E106" t="str">
        <f t="shared" si="13"/>
        <v/>
      </c>
    </row>
    <row r="107" spans="1:5">
      <c r="A107">
        <v>80</v>
      </c>
      <c r="B107" t="str">
        <f t="shared" si="10"/>
        <v>P</v>
      </c>
      <c r="C107" t="str">
        <f t="shared" si="11"/>
        <v>P</v>
      </c>
      <c r="D107" t="e">
        <f t="shared" si="12"/>
        <v>#VALUE!</v>
      </c>
      <c r="E107" t="str">
        <f t="shared" si="13"/>
        <v/>
      </c>
    </row>
    <row r="108" spans="1:5">
      <c r="A108">
        <v>81</v>
      </c>
      <c r="B108" t="str">
        <f t="shared" si="10"/>
        <v>Q</v>
      </c>
      <c r="C108" t="str">
        <f t="shared" si="11"/>
        <v>Q</v>
      </c>
      <c r="D108" t="e">
        <f t="shared" si="12"/>
        <v>#VALUE!</v>
      </c>
      <c r="E108" t="str">
        <f t="shared" si="13"/>
        <v/>
      </c>
    </row>
    <row r="109" spans="1:5">
      <c r="A109">
        <v>82</v>
      </c>
      <c r="B109" t="str">
        <f t="shared" si="10"/>
        <v>R</v>
      </c>
      <c r="C109" t="str">
        <f t="shared" si="11"/>
        <v>R</v>
      </c>
      <c r="D109">
        <f t="shared" si="12"/>
        <v>9</v>
      </c>
      <c r="E109">
        <f t="shared" si="13"/>
        <v>9</v>
      </c>
    </row>
    <row r="110" spans="1:5">
      <c r="A110">
        <v>83</v>
      </c>
      <c r="B110" t="str">
        <f t="shared" si="10"/>
        <v>S</v>
      </c>
      <c r="C110" t="str">
        <f t="shared" si="11"/>
        <v>S</v>
      </c>
      <c r="D110">
        <f t="shared" si="12"/>
        <v>3</v>
      </c>
      <c r="E110">
        <f t="shared" si="13"/>
        <v>3</v>
      </c>
    </row>
    <row r="111" spans="1:5">
      <c r="A111">
        <v>84</v>
      </c>
      <c r="B111" t="str">
        <f t="shared" si="10"/>
        <v>T</v>
      </c>
      <c r="C111" t="str">
        <f t="shared" si="11"/>
        <v>T</v>
      </c>
      <c r="D111">
        <f t="shared" si="12"/>
        <v>4</v>
      </c>
      <c r="E111">
        <f t="shared" si="13"/>
        <v>4</v>
      </c>
    </row>
    <row r="112" spans="1:5">
      <c r="A112">
        <v>85</v>
      </c>
      <c r="B112" t="str">
        <f t="shared" si="10"/>
        <v>U</v>
      </c>
      <c r="C112" t="s">
        <v>1</v>
      </c>
      <c r="D112">
        <f t="shared" si="12"/>
        <v>4</v>
      </c>
      <c r="E112">
        <f t="shared" si="13"/>
        <v>4</v>
      </c>
    </row>
    <row r="113" spans="1:5">
      <c r="A113">
        <v>86</v>
      </c>
      <c r="B113" t="str">
        <f t="shared" si="10"/>
        <v>V</v>
      </c>
      <c r="C113" t="str">
        <f t="shared" si="11"/>
        <v>V</v>
      </c>
      <c r="D113">
        <f t="shared" si="12"/>
        <v>11</v>
      </c>
      <c r="E113">
        <f t="shared" si="13"/>
        <v>11</v>
      </c>
    </row>
    <row r="114" spans="1:5">
      <c r="A114">
        <v>87</v>
      </c>
      <c r="B114" t="str">
        <f t="shared" si="10"/>
        <v>W</v>
      </c>
      <c r="C114" t="str">
        <f t="shared" si="11"/>
        <v>W</v>
      </c>
      <c r="D114">
        <f t="shared" si="12"/>
        <v>12</v>
      </c>
      <c r="E114">
        <f t="shared" si="13"/>
        <v>12</v>
      </c>
    </row>
    <row r="115" spans="1:5">
      <c r="A115">
        <v>88</v>
      </c>
      <c r="B115" t="str">
        <f t="shared" si="10"/>
        <v>X</v>
      </c>
      <c r="C115" t="str">
        <f t="shared" si="11"/>
        <v>X</v>
      </c>
      <c r="D115" t="e">
        <f t="shared" si="12"/>
        <v>#VALUE!</v>
      </c>
      <c r="E115" t="str">
        <f t="shared" si="13"/>
        <v/>
      </c>
    </row>
    <row r="116" spans="1:5">
      <c r="A116">
        <v>89</v>
      </c>
      <c r="B116" t="str">
        <f t="shared" si="10"/>
        <v>Y</v>
      </c>
      <c r="C116" t="str">
        <f t="shared" si="11"/>
        <v>Y</v>
      </c>
      <c r="D116">
        <f t="shared" si="12"/>
        <v>6</v>
      </c>
      <c r="E116">
        <f t="shared" si="13"/>
        <v>6</v>
      </c>
    </row>
    <row r="117" spans="1:5">
      <c r="A117">
        <v>90</v>
      </c>
      <c r="B117" t="str">
        <f t="shared" si="10"/>
        <v>Z</v>
      </c>
      <c r="C117" t="str">
        <f t="shared" si="11"/>
        <v>Z</v>
      </c>
      <c r="D117" t="e">
        <f t="shared" si="12"/>
        <v>#VALUE!</v>
      </c>
      <c r="E117" t="str">
        <f t="shared" si="13"/>
        <v/>
      </c>
    </row>
    <row r="118" spans="1:5">
      <c r="A118">
        <v>91</v>
      </c>
      <c r="B118" t="str">
        <f t="shared" si="10"/>
        <v>[</v>
      </c>
      <c r="C118" t="str">
        <f t="shared" si="11"/>
        <v>[</v>
      </c>
      <c r="D118" t="e">
        <f t="shared" si="12"/>
        <v>#VALUE!</v>
      </c>
      <c r="E118" t="str">
        <f t="shared" si="13"/>
        <v/>
      </c>
    </row>
    <row r="119" spans="1:5">
      <c r="A119">
        <v>92</v>
      </c>
      <c r="B119" t="str">
        <f t="shared" si="10"/>
        <v>\</v>
      </c>
      <c r="C119" t="str">
        <f t="shared" si="11"/>
        <v>\</v>
      </c>
      <c r="D119" t="e">
        <f t="shared" si="12"/>
        <v>#VALUE!</v>
      </c>
      <c r="E119" t="str">
        <f t="shared" si="13"/>
        <v/>
      </c>
    </row>
    <row r="120" spans="1:5">
      <c r="A120">
        <v>93</v>
      </c>
      <c r="B120" t="str">
        <f t="shared" si="10"/>
        <v>]</v>
      </c>
      <c r="C120" t="str">
        <f t="shared" si="11"/>
        <v>]</v>
      </c>
      <c r="D120" t="e">
        <f t="shared" si="12"/>
        <v>#VALUE!</v>
      </c>
      <c r="E120" t="str">
        <f t="shared" si="13"/>
        <v/>
      </c>
    </row>
    <row r="121" spans="1:5">
      <c r="A121">
        <v>94</v>
      </c>
      <c r="B121" t="str">
        <f t="shared" si="10"/>
        <v>^</v>
      </c>
      <c r="C121" t="str">
        <f t="shared" si="11"/>
        <v>^</v>
      </c>
      <c r="D121" t="e">
        <f t="shared" si="12"/>
        <v>#VALUE!</v>
      </c>
      <c r="E121" t="str">
        <f t="shared" si="13"/>
        <v/>
      </c>
    </row>
    <row r="122" spans="1:5">
      <c r="A122">
        <v>95</v>
      </c>
      <c r="B122" t="str">
        <f t="shared" si="10"/>
        <v>_</v>
      </c>
      <c r="C122" t="str">
        <f t="shared" si="11"/>
        <v>_</v>
      </c>
      <c r="D122" t="e">
        <f t="shared" si="12"/>
        <v>#VALUE!</v>
      </c>
      <c r="E122" t="str">
        <f t="shared" si="13"/>
        <v/>
      </c>
    </row>
    <row r="123" spans="1:5">
      <c r="A123">
        <v>96</v>
      </c>
      <c r="B123" t="str">
        <f t="shared" si="10"/>
        <v>`</v>
      </c>
      <c r="C123" t="str">
        <f t="shared" si="11"/>
        <v>`</v>
      </c>
      <c r="D123" t="e">
        <f t="shared" si="12"/>
        <v>#VALUE!</v>
      </c>
      <c r="E123" t="str">
        <f t="shared" si="13"/>
        <v/>
      </c>
    </row>
    <row r="124" spans="1:5">
      <c r="A124">
        <v>97</v>
      </c>
      <c r="B124" t="str">
        <f t="shared" si="10"/>
        <v>a</v>
      </c>
      <c r="C124" t="str">
        <f t="shared" si="11"/>
        <v>A</v>
      </c>
      <c r="D124">
        <f t="shared" si="12"/>
        <v>8</v>
      </c>
      <c r="E124">
        <f t="shared" si="13"/>
        <v>8</v>
      </c>
    </row>
    <row r="125" spans="1:5">
      <c r="A125">
        <v>98</v>
      </c>
      <c r="B125" t="str">
        <f t="shared" si="10"/>
        <v>b</v>
      </c>
      <c r="C125" t="str">
        <f t="shared" si="11"/>
        <v>B</v>
      </c>
      <c r="D125">
        <f t="shared" si="12"/>
        <v>7</v>
      </c>
      <c r="E125">
        <f t="shared" si="13"/>
        <v>7</v>
      </c>
    </row>
    <row r="126" spans="1:5">
      <c r="A126">
        <v>99</v>
      </c>
      <c r="B126" t="str">
        <f t="shared" si="10"/>
        <v>c</v>
      </c>
      <c r="C126" t="str">
        <f t="shared" si="11"/>
        <v>C</v>
      </c>
      <c r="D126">
        <f t="shared" si="12"/>
        <v>2</v>
      </c>
      <c r="E126">
        <f t="shared" si="13"/>
        <v>2</v>
      </c>
    </row>
    <row r="127" spans="1:5">
      <c r="A127">
        <v>100</v>
      </c>
      <c r="B127" t="str">
        <f t="shared" si="10"/>
        <v>d</v>
      </c>
      <c r="C127" t="str">
        <f t="shared" si="11"/>
        <v>D</v>
      </c>
      <c r="D127">
        <f t="shared" si="12"/>
        <v>13</v>
      </c>
      <c r="E127">
        <f t="shared" si="13"/>
        <v>13</v>
      </c>
    </row>
    <row r="128" spans="1:5">
      <c r="A128">
        <v>101</v>
      </c>
      <c r="B128" t="str">
        <f t="shared" si="10"/>
        <v>e</v>
      </c>
      <c r="C128" t="str">
        <f t="shared" si="11"/>
        <v>E</v>
      </c>
      <c r="D128" t="e">
        <f t="shared" si="12"/>
        <v>#VALUE!</v>
      </c>
      <c r="E128" t="str">
        <f t="shared" si="13"/>
        <v/>
      </c>
    </row>
    <row r="129" spans="1:5">
      <c r="A129">
        <v>102</v>
      </c>
      <c r="B129" t="str">
        <f t="shared" si="10"/>
        <v>f</v>
      </c>
      <c r="C129" t="str">
        <f t="shared" si="11"/>
        <v>F</v>
      </c>
      <c r="D129" t="e">
        <f t="shared" si="12"/>
        <v>#VALUE!</v>
      </c>
      <c r="E129" t="str">
        <f t="shared" si="13"/>
        <v/>
      </c>
    </row>
    <row r="130" spans="1:5">
      <c r="A130">
        <v>103</v>
      </c>
      <c r="B130" t="str">
        <f t="shared" si="10"/>
        <v>g</v>
      </c>
      <c r="C130" t="str">
        <f t="shared" si="11"/>
        <v>G</v>
      </c>
      <c r="D130">
        <f t="shared" si="12"/>
        <v>1</v>
      </c>
      <c r="E130">
        <f t="shared" si="13"/>
        <v>1</v>
      </c>
    </row>
    <row r="131" spans="1:5">
      <c r="A131">
        <v>104</v>
      </c>
      <c r="B131" t="str">
        <f t="shared" si="10"/>
        <v>h</v>
      </c>
      <c r="C131" t="str">
        <f t="shared" si="11"/>
        <v>H</v>
      </c>
      <c r="D131">
        <f t="shared" si="12"/>
        <v>14</v>
      </c>
      <c r="E131">
        <f t="shared" si="13"/>
        <v>14</v>
      </c>
    </row>
    <row r="132" spans="1:5">
      <c r="A132">
        <v>105</v>
      </c>
      <c r="B132" t="str">
        <f t="shared" si="10"/>
        <v>i</v>
      </c>
      <c r="C132" t="str">
        <f t="shared" si="11"/>
        <v>I</v>
      </c>
      <c r="D132" t="e">
        <f t="shared" si="12"/>
        <v>#VALUE!</v>
      </c>
      <c r="E132" t="str">
        <f t="shared" si="13"/>
        <v/>
      </c>
    </row>
    <row r="133" spans="1:5">
      <c r="A133">
        <v>106</v>
      </c>
      <c r="B133" t="str">
        <f t="shared" si="10"/>
        <v>j</v>
      </c>
      <c r="C133" t="str">
        <f t="shared" si="11"/>
        <v>J</v>
      </c>
      <c r="D133" t="e">
        <f t="shared" si="12"/>
        <v>#VALUE!</v>
      </c>
      <c r="E133" t="str">
        <f t="shared" si="13"/>
        <v/>
      </c>
    </row>
    <row r="134" spans="1:5">
      <c r="A134">
        <v>107</v>
      </c>
      <c r="B134" t="str">
        <f t="shared" si="10"/>
        <v>k</v>
      </c>
      <c r="C134" t="str">
        <f t="shared" si="11"/>
        <v>K</v>
      </c>
      <c r="D134">
        <f t="shared" si="12"/>
        <v>5</v>
      </c>
      <c r="E134">
        <f t="shared" si="13"/>
        <v>5</v>
      </c>
    </row>
    <row r="135" spans="1:5">
      <c r="A135">
        <v>108</v>
      </c>
      <c r="B135" t="str">
        <f t="shared" si="10"/>
        <v>l</v>
      </c>
      <c r="C135" t="str">
        <f t="shared" si="11"/>
        <v>L</v>
      </c>
      <c r="D135" t="e">
        <f t="shared" si="12"/>
        <v>#VALUE!</v>
      </c>
      <c r="E135" t="str">
        <f t="shared" si="13"/>
        <v/>
      </c>
    </row>
    <row r="136" spans="1:5">
      <c r="A136">
        <v>109</v>
      </c>
      <c r="B136" t="str">
        <f t="shared" si="10"/>
        <v>m</v>
      </c>
      <c r="C136" t="str">
        <f t="shared" si="11"/>
        <v>M</v>
      </c>
      <c r="D136">
        <f t="shared" si="12"/>
        <v>10</v>
      </c>
      <c r="E136">
        <f t="shared" si="13"/>
        <v>10</v>
      </c>
    </row>
    <row r="137" spans="1:5">
      <c r="A137">
        <v>110</v>
      </c>
      <c r="B137" t="str">
        <f t="shared" si="10"/>
        <v>n</v>
      </c>
      <c r="C137" t="str">
        <f t="shared" si="11"/>
        <v>N</v>
      </c>
      <c r="D137">
        <f t="shared" si="12"/>
        <v>15</v>
      </c>
      <c r="E137">
        <f t="shared" si="13"/>
        <v>15</v>
      </c>
    </row>
    <row r="138" spans="1:5">
      <c r="A138">
        <v>111</v>
      </c>
      <c r="B138" t="str">
        <f t="shared" si="10"/>
        <v>o</v>
      </c>
      <c r="C138" t="str">
        <f t="shared" si="11"/>
        <v>O</v>
      </c>
      <c r="D138" t="e">
        <f t="shared" si="12"/>
        <v>#VALUE!</v>
      </c>
      <c r="E138" t="str">
        <f t="shared" si="13"/>
        <v/>
      </c>
    </row>
    <row r="139" spans="1:5">
      <c r="A139">
        <v>112</v>
      </c>
      <c r="B139" t="str">
        <f t="shared" si="10"/>
        <v>p</v>
      </c>
      <c r="C139" t="str">
        <f t="shared" si="11"/>
        <v>P</v>
      </c>
      <c r="D139" t="e">
        <f t="shared" si="12"/>
        <v>#VALUE!</v>
      </c>
      <c r="E139" t="str">
        <f t="shared" si="13"/>
        <v/>
      </c>
    </row>
    <row r="140" spans="1:5">
      <c r="A140">
        <v>113</v>
      </c>
      <c r="B140" t="str">
        <f t="shared" si="10"/>
        <v>q</v>
      </c>
      <c r="C140" t="str">
        <f t="shared" si="11"/>
        <v>Q</v>
      </c>
      <c r="D140" t="e">
        <f t="shared" si="12"/>
        <v>#VALUE!</v>
      </c>
      <c r="E140" t="str">
        <f t="shared" si="13"/>
        <v/>
      </c>
    </row>
    <row r="141" spans="1:5">
      <c r="A141">
        <v>114</v>
      </c>
      <c r="B141" t="str">
        <f t="shared" si="10"/>
        <v>r</v>
      </c>
      <c r="C141" t="str">
        <f t="shared" si="11"/>
        <v>R</v>
      </c>
      <c r="D141">
        <f t="shared" si="12"/>
        <v>9</v>
      </c>
      <c r="E141">
        <f t="shared" si="13"/>
        <v>9</v>
      </c>
    </row>
    <row r="142" spans="1:5">
      <c r="A142">
        <v>115</v>
      </c>
      <c r="B142" t="str">
        <f t="shared" si="10"/>
        <v>s</v>
      </c>
      <c r="C142" t="str">
        <f t="shared" si="11"/>
        <v>S</v>
      </c>
      <c r="D142">
        <f t="shared" si="12"/>
        <v>3</v>
      </c>
      <c r="E142">
        <f t="shared" si="13"/>
        <v>3</v>
      </c>
    </row>
    <row r="143" spans="1:5">
      <c r="A143">
        <v>116</v>
      </c>
      <c r="B143" t="str">
        <f t="shared" si="10"/>
        <v>t</v>
      </c>
      <c r="C143" t="str">
        <f t="shared" si="11"/>
        <v>T</v>
      </c>
      <c r="D143">
        <f t="shared" si="12"/>
        <v>4</v>
      </c>
      <c r="E143">
        <f t="shared" si="13"/>
        <v>4</v>
      </c>
    </row>
    <row r="144" spans="1:5">
      <c r="A144">
        <v>117</v>
      </c>
      <c r="B144" t="str">
        <f t="shared" si="10"/>
        <v>u</v>
      </c>
      <c r="C144" t="s">
        <v>1</v>
      </c>
      <c r="D144">
        <f t="shared" si="12"/>
        <v>4</v>
      </c>
      <c r="E144">
        <f t="shared" si="13"/>
        <v>4</v>
      </c>
    </row>
    <row r="145" spans="1:5">
      <c r="A145">
        <v>118</v>
      </c>
      <c r="B145" t="str">
        <f t="shared" si="10"/>
        <v>v</v>
      </c>
      <c r="C145" t="str">
        <f t="shared" si="11"/>
        <v>V</v>
      </c>
      <c r="D145">
        <f t="shared" si="12"/>
        <v>11</v>
      </c>
      <c r="E145">
        <f t="shared" si="13"/>
        <v>11</v>
      </c>
    </row>
    <row r="146" spans="1:5">
      <c r="A146">
        <v>119</v>
      </c>
      <c r="B146" t="str">
        <f t="shared" si="10"/>
        <v>w</v>
      </c>
      <c r="C146" t="str">
        <f t="shared" si="11"/>
        <v>W</v>
      </c>
      <c r="D146">
        <f t="shared" si="12"/>
        <v>12</v>
      </c>
      <c r="E146">
        <f t="shared" si="13"/>
        <v>12</v>
      </c>
    </row>
    <row r="147" spans="1:5">
      <c r="A147">
        <v>120</v>
      </c>
      <c r="B147" t="str">
        <f t="shared" si="10"/>
        <v>x</v>
      </c>
      <c r="C147" t="str">
        <f t="shared" si="11"/>
        <v>X</v>
      </c>
      <c r="D147" t="e">
        <f t="shared" si="12"/>
        <v>#VALUE!</v>
      </c>
      <c r="E147" t="str">
        <f t="shared" si="13"/>
        <v/>
      </c>
    </row>
    <row r="148" spans="1:5">
      <c r="A148">
        <v>121</v>
      </c>
      <c r="B148" t="str">
        <f t="shared" si="10"/>
        <v>y</v>
      </c>
      <c r="C148" t="str">
        <f t="shared" si="11"/>
        <v>Y</v>
      </c>
      <c r="D148">
        <f t="shared" si="12"/>
        <v>6</v>
      </c>
      <c r="E148">
        <f t="shared" si="13"/>
        <v>6</v>
      </c>
    </row>
    <row r="149" spans="1:5">
      <c r="A149">
        <v>122</v>
      </c>
      <c r="B149" t="str">
        <f t="shared" si="10"/>
        <v>z</v>
      </c>
      <c r="C149" t="str">
        <f t="shared" si="11"/>
        <v>Z</v>
      </c>
      <c r="D149" t="e">
        <f t="shared" si="12"/>
        <v>#VALUE!</v>
      </c>
      <c r="E149" t="str">
        <f t="shared" si="13"/>
        <v/>
      </c>
    </row>
    <row r="150" spans="1:5">
      <c r="A150">
        <v>123</v>
      </c>
      <c r="B150" t="str">
        <f t="shared" si="10"/>
        <v>{</v>
      </c>
      <c r="C150" t="str">
        <f t="shared" si="11"/>
        <v>{</v>
      </c>
      <c r="D150" t="e">
        <f t="shared" si="12"/>
        <v>#VALUE!</v>
      </c>
      <c r="E150" t="str">
        <f t="shared" si="13"/>
        <v/>
      </c>
    </row>
    <row r="151" spans="1:5">
      <c r="A151">
        <v>124</v>
      </c>
      <c r="B151" t="str">
        <f t="shared" si="10"/>
        <v>|</v>
      </c>
      <c r="C151" t="str">
        <f t="shared" si="11"/>
        <v>|</v>
      </c>
      <c r="D151" t="e">
        <f t="shared" si="12"/>
        <v>#VALUE!</v>
      </c>
      <c r="E151" t="str">
        <f t="shared" si="13"/>
        <v/>
      </c>
    </row>
    <row r="152" spans="1:5">
      <c r="A152">
        <v>125</v>
      </c>
      <c r="B152" t="str">
        <f t="shared" si="10"/>
        <v>}</v>
      </c>
      <c r="C152" t="str">
        <f t="shared" si="11"/>
        <v>}</v>
      </c>
      <c r="D152" t="e">
        <f t="shared" si="12"/>
        <v>#VALUE!</v>
      </c>
      <c r="E152" t="str">
        <f t="shared" si="13"/>
        <v/>
      </c>
    </row>
    <row r="153" spans="1:5">
      <c r="A153">
        <v>126</v>
      </c>
      <c r="B153" t="str">
        <f t="shared" si="10"/>
        <v>~</v>
      </c>
      <c r="C153" t="str">
        <f t="shared" si="11"/>
        <v>~</v>
      </c>
      <c r="D153" t="e">
        <f t="shared" si="12"/>
        <v>#VALUE!</v>
      </c>
      <c r="E153" t="str">
        <f t="shared" si="13"/>
        <v/>
      </c>
    </row>
    <row r="154" spans="1:5">
      <c r="A154">
        <v>127</v>
      </c>
      <c r="B154" t="str">
        <f t="shared" si="10"/>
        <v></v>
      </c>
      <c r="C154" t="str">
        <f t="shared" si="11"/>
        <v></v>
      </c>
      <c r="D154" t="e">
        <f t="shared" si="12"/>
        <v>#VALUE!</v>
      </c>
      <c r="E154" t="str">
        <f t="shared" si="13"/>
        <v/>
      </c>
    </row>
    <row r="155" spans="1:5">
      <c r="A155">
        <v>128</v>
      </c>
      <c r="B155" t="str">
        <f t="shared" si="10"/>
        <v>€</v>
      </c>
      <c r="C155" t="str">
        <f t="shared" si="11"/>
        <v>€</v>
      </c>
      <c r="D155" t="e">
        <f t="shared" si="12"/>
        <v>#VALUE!</v>
      </c>
      <c r="E155" t="str">
        <f t="shared" si="13"/>
        <v/>
      </c>
    </row>
    <row r="156" spans="1:5">
      <c r="A156">
        <v>129</v>
      </c>
      <c r="B156" t="str">
        <f t="shared" ref="B156:B219" si="14">CHAR(A156)</f>
        <v></v>
      </c>
      <c r="C156" t="str">
        <f t="shared" ref="C156:C219" si="15">UPPER(B156)</f>
        <v></v>
      </c>
      <c r="D156" t="e">
        <f t="shared" ref="D156:D219" si="16">FIND(C156,CodDegElegir)-1</f>
        <v>#VALUE!</v>
      </c>
      <c r="E156" t="str">
        <f t="shared" ref="E156:E219" si="17">IFERROR(D156,"")</f>
        <v/>
      </c>
    </row>
    <row r="157" spans="1:5">
      <c r="A157">
        <v>130</v>
      </c>
      <c r="B157" t="str">
        <f t="shared" si="14"/>
        <v>‚</v>
      </c>
      <c r="C157" t="str">
        <f t="shared" si="15"/>
        <v>‚</v>
      </c>
      <c r="D157" t="e">
        <f t="shared" si="16"/>
        <v>#VALUE!</v>
      </c>
      <c r="E157" t="str">
        <f t="shared" si="17"/>
        <v/>
      </c>
    </row>
    <row r="158" spans="1:5">
      <c r="A158">
        <v>131</v>
      </c>
      <c r="B158" t="str">
        <f t="shared" si="14"/>
        <v>ƒ</v>
      </c>
      <c r="C158" t="str">
        <f t="shared" si="15"/>
        <v>Ƒ</v>
      </c>
      <c r="D158" t="e">
        <f t="shared" si="16"/>
        <v>#VALUE!</v>
      </c>
      <c r="E158" t="str">
        <f t="shared" si="17"/>
        <v/>
      </c>
    </row>
    <row r="159" spans="1:5">
      <c r="A159">
        <v>132</v>
      </c>
      <c r="B159" t="str">
        <f t="shared" si="14"/>
        <v>„</v>
      </c>
      <c r="C159" t="str">
        <f t="shared" si="15"/>
        <v>„</v>
      </c>
      <c r="D159" t="e">
        <f t="shared" si="16"/>
        <v>#VALUE!</v>
      </c>
      <c r="E159" t="str">
        <f t="shared" si="17"/>
        <v/>
      </c>
    </row>
    <row r="160" spans="1:5">
      <c r="A160">
        <v>133</v>
      </c>
      <c r="B160" t="str">
        <f t="shared" si="14"/>
        <v>…</v>
      </c>
      <c r="C160" t="str">
        <f t="shared" si="15"/>
        <v>…</v>
      </c>
      <c r="D160" t="e">
        <f t="shared" si="16"/>
        <v>#VALUE!</v>
      </c>
      <c r="E160" t="str">
        <f t="shared" si="17"/>
        <v/>
      </c>
    </row>
    <row r="161" spans="1:5">
      <c r="A161">
        <v>134</v>
      </c>
      <c r="B161" t="str">
        <f t="shared" si="14"/>
        <v>†</v>
      </c>
      <c r="C161" t="str">
        <f t="shared" si="15"/>
        <v>†</v>
      </c>
      <c r="D161" t="e">
        <f t="shared" si="16"/>
        <v>#VALUE!</v>
      </c>
      <c r="E161" t="str">
        <f t="shared" si="17"/>
        <v/>
      </c>
    </row>
    <row r="162" spans="1:5">
      <c r="A162">
        <v>135</v>
      </c>
      <c r="B162" t="str">
        <f t="shared" si="14"/>
        <v>‡</v>
      </c>
      <c r="C162" t="str">
        <f t="shared" si="15"/>
        <v>‡</v>
      </c>
      <c r="D162" t="e">
        <f t="shared" si="16"/>
        <v>#VALUE!</v>
      </c>
      <c r="E162" t="str">
        <f t="shared" si="17"/>
        <v/>
      </c>
    </row>
    <row r="163" spans="1:5">
      <c r="A163">
        <v>136</v>
      </c>
      <c r="B163" t="str">
        <f t="shared" si="14"/>
        <v>ˆ</v>
      </c>
      <c r="C163" t="str">
        <f t="shared" si="15"/>
        <v>ˆ</v>
      </c>
      <c r="D163" t="e">
        <f t="shared" si="16"/>
        <v>#VALUE!</v>
      </c>
      <c r="E163" t="str">
        <f t="shared" si="17"/>
        <v/>
      </c>
    </row>
    <row r="164" spans="1:5">
      <c r="A164">
        <v>137</v>
      </c>
      <c r="B164" t="str">
        <f t="shared" si="14"/>
        <v>‰</v>
      </c>
      <c r="C164" t="str">
        <f t="shared" si="15"/>
        <v>‰</v>
      </c>
      <c r="D164" t="e">
        <f t="shared" si="16"/>
        <v>#VALUE!</v>
      </c>
      <c r="E164" t="str">
        <f t="shared" si="17"/>
        <v/>
      </c>
    </row>
    <row r="165" spans="1:5">
      <c r="A165">
        <v>138</v>
      </c>
      <c r="B165" t="str">
        <f t="shared" si="14"/>
        <v>Š</v>
      </c>
      <c r="C165" t="str">
        <f t="shared" si="15"/>
        <v>Š</v>
      </c>
      <c r="D165" t="e">
        <f t="shared" si="16"/>
        <v>#VALUE!</v>
      </c>
      <c r="E165" t="str">
        <f t="shared" si="17"/>
        <v/>
      </c>
    </row>
    <row r="166" spans="1:5">
      <c r="A166">
        <v>139</v>
      </c>
      <c r="B166" t="str">
        <f t="shared" si="14"/>
        <v>‹</v>
      </c>
      <c r="C166" t="str">
        <f t="shared" si="15"/>
        <v>‹</v>
      </c>
      <c r="D166" t="e">
        <f t="shared" si="16"/>
        <v>#VALUE!</v>
      </c>
      <c r="E166" t="str">
        <f t="shared" si="17"/>
        <v/>
      </c>
    </row>
    <row r="167" spans="1:5">
      <c r="A167">
        <v>140</v>
      </c>
      <c r="B167" t="str">
        <f t="shared" si="14"/>
        <v>Œ</v>
      </c>
      <c r="C167" t="str">
        <f t="shared" si="15"/>
        <v>Œ</v>
      </c>
      <c r="D167" t="e">
        <f t="shared" si="16"/>
        <v>#VALUE!</v>
      </c>
      <c r="E167" t="str">
        <f t="shared" si="17"/>
        <v/>
      </c>
    </row>
    <row r="168" spans="1:5">
      <c r="A168">
        <v>141</v>
      </c>
      <c r="B168" t="str">
        <f t="shared" si="14"/>
        <v></v>
      </c>
      <c r="C168" t="str">
        <f t="shared" si="15"/>
        <v></v>
      </c>
      <c r="D168" t="e">
        <f t="shared" si="16"/>
        <v>#VALUE!</v>
      </c>
      <c r="E168" t="str">
        <f t="shared" si="17"/>
        <v/>
      </c>
    </row>
    <row r="169" spans="1:5">
      <c r="A169">
        <v>142</v>
      </c>
      <c r="B169" t="str">
        <f t="shared" si="14"/>
        <v>Ž</v>
      </c>
      <c r="C169" t="str">
        <f t="shared" si="15"/>
        <v>Ž</v>
      </c>
      <c r="D169" t="e">
        <f t="shared" si="16"/>
        <v>#VALUE!</v>
      </c>
      <c r="E169" t="str">
        <f t="shared" si="17"/>
        <v/>
      </c>
    </row>
    <row r="170" spans="1:5">
      <c r="A170">
        <v>143</v>
      </c>
      <c r="B170" t="str">
        <f t="shared" si="14"/>
        <v></v>
      </c>
      <c r="C170" t="str">
        <f t="shared" si="15"/>
        <v></v>
      </c>
      <c r="D170" t="e">
        <f t="shared" si="16"/>
        <v>#VALUE!</v>
      </c>
      <c r="E170" t="str">
        <f t="shared" si="17"/>
        <v/>
      </c>
    </row>
    <row r="171" spans="1:5">
      <c r="A171">
        <v>144</v>
      </c>
      <c r="B171" t="str">
        <f t="shared" si="14"/>
        <v></v>
      </c>
      <c r="C171" t="str">
        <f t="shared" si="15"/>
        <v></v>
      </c>
      <c r="D171" t="e">
        <f t="shared" si="16"/>
        <v>#VALUE!</v>
      </c>
      <c r="E171" t="str">
        <f t="shared" si="17"/>
        <v/>
      </c>
    </row>
    <row r="172" spans="1:5">
      <c r="A172">
        <v>145</v>
      </c>
      <c r="B172" t="str">
        <f t="shared" si="14"/>
        <v>‘</v>
      </c>
      <c r="C172" t="str">
        <f t="shared" si="15"/>
        <v>‘</v>
      </c>
      <c r="D172" t="e">
        <f t="shared" si="16"/>
        <v>#VALUE!</v>
      </c>
      <c r="E172" t="str">
        <f t="shared" si="17"/>
        <v/>
      </c>
    </row>
    <row r="173" spans="1:5">
      <c r="A173">
        <v>146</v>
      </c>
      <c r="B173" t="str">
        <f t="shared" si="14"/>
        <v>’</v>
      </c>
      <c r="C173" t="str">
        <f t="shared" si="15"/>
        <v>’</v>
      </c>
      <c r="D173" t="e">
        <f t="shared" si="16"/>
        <v>#VALUE!</v>
      </c>
      <c r="E173" t="str">
        <f t="shared" si="17"/>
        <v/>
      </c>
    </row>
    <row r="174" spans="1:5">
      <c r="A174">
        <v>147</v>
      </c>
      <c r="B174" t="str">
        <f t="shared" si="14"/>
        <v>“</v>
      </c>
      <c r="C174" t="str">
        <f t="shared" si="15"/>
        <v>“</v>
      </c>
      <c r="D174" t="e">
        <f t="shared" si="16"/>
        <v>#VALUE!</v>
      </c>
      <c r="E174" t="str">
        <f t="shared" si="17"/>
        <v/>
      </c>
    </row>
    <row r="175" spans="1:5">
      <c r="A175">
        <v>148</v>
      </c>
      <c r="B175" t="str">
        <f t="shared" si="14"/>
        <v>”</v>
      </c>
      <c r="C175" t="str">
        <f t="shared" si="15"/>
        <v>”</v>
      </c>
      <c r="D175" t="e">
        <f t="shared" si="16"/>
        <v>#VALUE!</v>
      </c>
      <c r="E175" t="str">
        <f t="shared" si="17"/>
        <v/>
      </c>
    </row>
    <row r="176" spans="1:5">
      <c r="A176">
        <v>149</v>
      </c>
      <c r="B176" t="str">
        <f t="shared" si="14"/>
        <v>•</v>
      </c>
      <c r="C176" t="str">
        <f t="shared" si="15"/>
        <v>•</v>
      </c>
      <c r="D176" t="e">
        <f t="shared" si="16"/>
        <v>#VALUE!</v>
      </c>
      <c r="E176" t="str">
        <f t="shared" si="17"/>
        <v/>
      </c>
    </row>
    <row r="177" spans="1:5">
      <c r="A177">
        <v>150</v>
      </c>
      <c r="B177" t="str">
        <f t="shared" si="14"/>
        <v>–</v>
      </c>
      <c r="C177" t="str">
        <f t="shared" si="15"/>
        <v>–</v>
      </c>
      <c r="D177" t="e">
        <f t="shared" si="16"/>
        <v>#VALUE!</v>
      </c>
      <c r="E177" t="str">
        <f t="shared" si="17"/>
        <v/>
      </c>
    </row>
    <row r="178" spans="1:5">
      <c r="A178">
        <v>151</v>
      </c>
      <c r="B178" t="str">
        <f t="shared" si="14"/>
        <v>—</v>
      </c>
      <c r="C178" t="str">
        <f t="shared" si="15"/>
        <v>—</v>
      </c>
      <c r="D178" t="e">
        <f t="shared" si="16"/>
        <v>#VALUE!</v>
      </c>
      <c r="E178" t="str">
        <f t="shared" si="17"/>
        <v/>
      </c>
    </row>
    <row r="179" spans="1:5">
      <c r="A179">
        <v>152</v>
      </c>
      <c r="B179" t="str">
        <f t="shared" si="14"/>
        <v>˜</v>
      </c>
      <c r="C179" t="str">
        <f t="shared" si="15"/>
        <v>˜</v>
      </c>
      <c r="D179" t="e">
        <f t="shared" si="16"/>
        <v>#VALUE!</v>
      </c>
      <c r="E179" t="str">
        <f t="shared" si="17"/>
        <v/>
      </c>
    </row>
    <row r="180" spans="1:5">
      <c r="A180">
        <v>153</v>
      </c>
      <c r="B180" t="str">
        <f t="shared" si="14"/>
        <v>™</v>
      </c>
      <c r="C180" t="str">
        <f t="shared" si="15"/>
        <v>™</v>
      </c>
      <c r="D180" t="e">
        <f t="shared" si="16"/>
        <v>#VALUE!</v>
      </c>
      <c r="E180" t="str">
        <f t="shared" si="17"/>
        <v/>
      </c>
    </row>
    <row r="181" spans="1:5">
      <c r="A181">
        <v>154</v>
      </c>
      <c r="B181" t="str">
        <f t="shared" si="14"/>
        <v>š</v>
      </c>
      <c r="C181" t="str">
        <f t="shared" si="15"/>
        <v>Š</v>
      </c>
      <c r="D181" t="e">
        <f t="shared" si="16"/>
        <v>#VALUE!</v>
      </c>
      <c r="E181" t="str">
        <f t="shared" si="17"/>
        <v/>
      </c>
    </row>
    <row r="182" spans="1:5">
      <c r="A182">
        <v>155</v>
      </c>
      <c r="B182" t="str">
        <f t="shared" si="14"/>
        <v>›</v>
      </c>
      <c r="C182" t="str">
        <f t="shared" si="15"/>
        <v>›</v>
      </c>
      <c r="D182" t="e">
        <f t="shared" si="16"/>
        <v>#VALUE!</v>
      </c>
      <c r="E182" t="str">
        <f t="shared" si="17"/>
        <v/>
      </c>
    </row>
    <row r="183" spans="1:5">
      <c r="A183">
        <v>156</v>
      </c>
      <c r="B183" t="str">
        <f t="shared" si="14"/>
        <v>œ</v>
      </c>
      <c r="C183" t="str">
        <f t="shared" si="15"/>
        <v>Œ</v>
      </c>
      <c r="D183" t="e">
        <f t="shared" si="16"/>
        <v>#VALUE!</v>
      </c>
      <c r="E183" t="str">
        <f t="shared" si="17"/>
        <v/>
      </c>
    </row>
    <row r="184" spans="1:5">
      <c r="A184">
        <v>157</v>
      </c>
      <c r="B184" t="str">
        <f t="shared" si="14"/>
        <v></v>
      </c>
      <c r="C184" t="str">
        <f t="shared" si="15"/>
        <v></v>
      </c>
      <c r="D184" t="e">
        <f t="shared" si="16"/>
        <v>#VALUE!</v>
      </c>
      <c r="E184" t="str">
        <f t="shared" si="17"/>
        <v/>
      </c>
    </row>
    <row r="185" spans="1:5">
      <c r="A185">
        <v>158</v>
      </c>
      <c r="B185" t="str">
        <f t="shared" si="14"/>
        <v>ž</v>
      </c>
      <c r="C185" t="str">
        <f t="shared" si="15"/>
        <v>Ž</v>
      </c>
      <c r="D185" t="e">
        <f t="shared" si="16"/>
        <v>#VALUE!</v>
      </c>
      <c r="E185" t="str">
        <f t="shared" si="17"/>
        <v/>
      </c>
    </row>
    <row r="186" spans="1:5">
      <c r="A186">
        <v>159</v>
      </c>
      <c r="B186" t="str">
        <f t="shared" si="14"/>
        <v>Ÿ</v>
      </c>
      <c r="C186" t="str">
        <f t="shared" si="15"/>
        <v>Ÿ</v>
      </c>
      <c r="D186" t="e">
        <f t="shared" si="16"/>
        <v>#VALUE!</v>
      </c>
      <c r="E186" t="str">
        <f t="shared" si="17"/>
        <v/>
      </c>
    </row>
    <row r="187" spans="1:5">
      <c r="A187">
        <v>160</v>
      </c>
      <c r="B187" t="str">
        <f t="shared" si="14"/>
        <v> </v>
      </c>
      <c r="C187" t="str">
        <f t="shared" si="15"/>
        <v> </v>
      </c>
      <c r="D187" t="e">
        <f t="shared" si="16"/>
        <v>#VALUE!</v>
      </c>
      <c r="E187" t="str">
        <f t="shared" si="17"/>
        <v/>
      </c>
    </row>
    <row r="188" spans="1:5">
      <c r="A188">
        <v>161</v>
      </c>
      <c r="B188" t="str">
        <f t="shared" si="14"/>
        <v>¡</v>
      </c>
      <c r="C188" t="str">
        <f t="shared" si="15"/>
        <v>¡</v>
      </c>
      <c r="D188" t="e">
        <f t="shared" si="16"/>
        <v>#VALUE!</v>
      </c>
      <c r="E188" t="str">
        <f t="shared" si="17"/>
        <v/>
      </c>
    </row>
    <row r="189" spans="1:5">
      <c r="A189">
        <v>162</v>
      </c>
      <c r="B189" t="str">
        <f t="shared" si="14"/>
        <v>¢</v>
      </c>
      <c r="C189" t="str">
        <f t="shared" si="15"/>
        <v>¢</v>
      </c>
      <c r="D189" t="e">
        <f t="shared" si="16"/>
        <v>#VALUE!</v>
      </c>
      <c r="E189" t="str">
        <f t="shared" si="17"/>
        <v/>
      </c>
    </row>
    <row r="190" spans="1:5">
      <c r="A190">
        <v>163</v>
      </c>
      <c r="B190" t="str">
        <f t="shared" si="14"/>
        <v>£</v>
      </c>
      <c r="C190" t="str">
        <f t="shared" si="15"/>
        <v>£</v>
      </c>
      <c r="D190" t="e">
        <f t="shared" si="16"/>
        <v>#VALUE!</v>
      </c>
      <c r="E190" t="str">
        <f t="shared" si="17"/>
        <v/>
      </c>
    </row>
    <row r="191" spans="1:5">
      <c r="A191">
        <v>164</v>
      </c>
      <c r="B191" t="str">
        <f t="shared" si="14"/>
        <v>¤</v>
      </c>
      <c r="C191" t="str">
        <f t="shared" si="15"/>
        <v>¤</v>
      </c>
      <c r="D191" t="e">
        <f t="shared" si="16"/>
        <v>#VALUE!</v>
      </c>
      <c r="E191" t="str">
        <f t="shared" si="17"/>
        <v/>
      </c>
    </row>
    <row r="192" spans="1:5">
      <c r="A192">
        <v>165</v>
      </c>
      <c r="B192" t="str">
        <f t="shared" si="14"/>
        <v>¥</v>
      </c>
      <c r="C192" t="str">
        <f t="shared" si="15"/>
        <v>¥</v>
      </c>
      <c r="D192" t="e">
        <f t="shared" si="16"/>
        <v>#VALUE!</v>
      </c>
      <c r="E192" t="str">
        <f t="shared" si="17"/>
        <v/>
      </c>
    </row>
    <row r="193" spans="1:5">
      <c r="A193">
        <v>166</v>
      </c>
      <c r="B193" t="str">
        <f t="shared" si="14"/>
        <v>¦</v>
      </c>
      <c r="C193" t="str">
        <f t="shared" si="15"/>
        <v>¦</v>
      </c>
      <c r="D193" t="e">
        <f t="shared" si="16"/>
        <v>#VALUE!</v>
      </c>
      <c r="E193" t="str">
        <f t="shared" si="17"/>
        <v/>
      </c>
    </row>
    <row r="194" spans="1:5">
      <c r="A194">
        <v>167</v>
      </c>
      <c r="B194" t="str">
        <f t="shared" si="14"/>
        <v>§</v>
      </c>
      <c r="C194" t="str">
        <f t="shared" si="15"/>
        <v>§</v>
      </c>
      <c r="D194" t="e">
        <f t="shared" si="16"/>
        <v>#VALUE!</v>
      </c>
      <c r="E194" t="str">
        <f t="shared" si="17"/>
        <v/>
      </c>
    </row>
    <row r="195" spans="1:5">
      <c r="A195">
        <v>168</v>
      </c>
      <c r="B195" t="str">
        <f t="shared" si="14"/>
        <v>¨</v>
      </c>
      <c r="C195" t="str">
        <f t="shared" si="15"/>
        <v>¨</v>
      </c>
      <c r="D195" t="e">
        <f t="shared" si="16"/>
        <v>#VALUE!</v>
      </c>
      <c r="E195" t="str">
        <f t="shared" si="17"/>
        <v/>
      </c>
    </row>
    <row r="196" spans="1:5">
      <c r="A196">
        <v>169</v>
      </c>
      <c r="B196" t="str">
        <f t="shared" si="14"/>
        <v>©</v>
      </c>
      <c r="C196" t="str">
        <f t="shared" si="15"/>
        <v>©</v>
      </c>
      <c r="D196" t="e">
        <f t="shared" si="16"/>
        <v>#VALUE!</v>
      </c>
      <c r="E196" t="str">
        <f t="shared" si="17"/>
        <v/>
      </c>
    </row>
    <row r="197" spans="1:5">
      <c r="A197">
        <v>170</v>
      </c>
      <c r="B197" t="str">
        <f t="shared" si="14"/>
        <v>ª</v>
      </c>
      <c r="C197" t="str">
        <f t="shared" si="15"/>
        <v>ª</v>
      </c>
      <c r="D197" t="e">
        <f t="shared" si="16"/>
        <v>#VALUE!</v>
      </c>
      <c r="E197" t="str">
        <f t="shared" si="17"/>
        <v/>
      </c>
    </row>
    <row r="198" spans="1:5">
      <c r="A198">
        <v>171</v>
      </c>
      <c r="B198" t="str">
        <f t="shared" si="14"/>
        <v>«</v>
      </c>
      <c r="C198" t="str">
        <f t="shared" si="15"/>
        <v>«</v>
      </c>
      <c r="D198" t="e">
        <f t="shared" si="16"/>
        <v>#VALUE!</v>
      </c>
      <c r="E198" t="str">
        <f t="shared" si="17"/>
        <v/>
      </c>
    </row>
    <row r="199" spans="1:5">
      <c r="A199">
        <v>172</v>
      </c>
      <c r="B199" t="str">
        <f t="shared" si="14"/>
        <v>¬</v>
      </c>
      <c r="C199" t="str">
        <f t="shared" si="15"/>
        <v>¬</v>
      </c>
      <c r="D199" t="e">
        <f t="shared" si="16"/>
        <v>#VALUE!</v>
      </c>
      <c r="E199" t="str">
        <f t="shared" si="17"/>
        <v/>
      </c>
    </row>
    <row r="200" spans="1:5">
      <c r="A200">
        <v>173</v>
      </c>
      <c r="B200" t="str">
        <f t="shared" si="14"/>
        <v>­</v>
      </c>
      <c r="C200" t="str">
        <f t="shared" si="15"/>
        <v>­</v>
      </c>
      <c r="D200" t="e">
        <f t="shared" si="16"/>
        <v>#VALUE!</v>
      </c>
      <c r="E200" t="str">
        <f t="shared" si="17"/>
        <v/>
      </c>
    </row>
    <row r="201" spans="1:5">
      <c r="A201">
        <v>174</v>
      </c>
      <c r="B201" t="str">
        <f t="shared" si="14"/>
        <v>®</v>
      </c>
      <c r="C201" t="str">
        <f t="shared" si="15"/>
        <v>®</v>
      </c>
      <c r="D201" t="e">
        <f t="shared" si="16"/>
        <v>#VALUE!</v>
      </c>
      <c r="E201" t="str">
        <f t="shared" si="17"/>
        <v/>
      </c>
    </row>
    <row r="202" spans="1:5">
      <c r="A202">
        <v>175</v>
      </c>
      <c r="B202" t="str">
        <f t="shared" si="14"/>
        <v>¯</v>
      </c>
      <c r="C202" t="str">
        <f t="shared" si="15"/>
        <v>¯</v>
      </c>
      <c r="D202" t="e">
        <f t="shared" si="16"/>
        <v>#VALUE!</v>
      </c>
      <c r="E202" t="str">
        <f t="shared" si="17"/>
        <v/>
      </c>
    </row>
    <row r="203" spans="1:5">
      <c r="A203">
        <v>176</v>
      </c>
      <c r="B203" t="str">
        <f t="shared" si="14"/>
        <v>°</v>
      </c>
      <c r="C203" t="str">
        <f t="shared" si="15"/>
        <v>°</v>
      </c>
      <c r="D203" t="e">
        <f t="shared" si="16"/>
        <v>#VALUE!</v>
      </c>
      <c r="E203" t="str">
        <f t="shared" si="17"/>
        <v/>
      </c>
    </row>
    <row r="204" spans="1:5">
      <c r="A204">
        <v>177</v>
      </c>
      <c r="B204" t="str">
        <f t="shared" si="14"/>
        <v>±</v>
      </c>
      <c r="C204" t="str">
        <f t="shared" si="15"/>
        <v>±</v>
      </c>
      <c r="D204" t="e">
        <f t="shared" si="16"/>
        <v>#VALUE!</v>
      </c>
      <c r="E204" t="str">
        <f t="shared" si="17"/>
        <v/>
      </c>
    </row>
    <row r="205" spans="1:5">
      <c r="A205">
        <v>178</v>
      </c>
      <c r="B205" t="str">
        <f t="shared" si="14"/>
        <v>²</v>
      </c>
      <c r="C205" t="str">
        <f t="shared" si="15"/>
        <v>²</v>
      </c>
      <c r="D205" t="e">
        <f t="shared" si="16"/>
        <v>#VALUE!</v>
      </c>
      <c r="E205" t="str">
        <f t="shared" si="17"/>
        <v/>
      </c>
    </row>
    <row r="206" spans="1:5">
      <c r="A206">
        <v>179</v>
      </c>
      <c r="B206" t="str">
        <f t="shared" si="14"/>
        <v>³</v>
      </c>
      <c r="C206" t="str">
        <f t="shared" si="15"/>
        <v>³</v>
      </c>
      <c r="D206" t="e">
        <f t="shared" si="16"/>
        <v>#VALUE!</v>
      </c>
      <c r="E206" t="str">
        <f t="shared" si="17"/>
        <v/>
      </c>
    </row>
    <row r="207" spans="1:5">
      <c r="A207">
        <v>180</v>
      </c>
      <c r="B207" t="str">
        <f t="shared" si="14"/>
        <v>´</v>
      </c>
      <c r="C207" t="str">
        <f t="shared" si="15"/>
        <v>´</v>
      </c>
      <c r="D207" t="e">
        <f t="shared" si="16"/>
        <v>#VALUE!</v>
      </c>
      <c r="E207" t="str">
        <f t="shared" si="17"/>
        <v/>
      </c>
    </row>
    <row r="208" spans="1:5">
      <c r="A208">
        <v>181</v>
      </c>
      <c r="B208" t="str">
        <f t="shared" si="14"/>
        <v>µ</v>
      </c>
      <c r="C208" t="str">
        <f t="shared" si="15"/>
        <v>µ</v>
      </c>
      <c r="D208" t="e">
        <f t="shared" si="16"/>
        <v>#VALUE!</v>
      </c>
      <c r="E208" t="str">
        <f t="shared" si="17"/>
        <v/>
      </c>
    </row>
    <row r="209" spans="1:5">
      <c r="A209">
        <v>182</v>
      </c>
      <c r="B209" t="str">
        <f t="shared" si="14"/>
        <v>¶</v>
      </c>
      <c r="C209" t="str">
        <f t="shared" si="15"/>
        <v>¶</v>
      </c>
      <c r="D209" t="e">
        <f t="shared" si="16"/>
        <v>#VALUE!</v>
      </c>
      <c r="E209" t="str">
        <f t="shared" si="17"/>
        <v/>
      </c>
    </row>
    <row r="210" spans="1:5">
      <c r="A210">
        <v>183</v>
      </c>
      <c r="B210" t="str">
        <f t="shared" si="14"/>
        <v>·</v>
      </c>
      <c r="C210" t="str">
        <f t="shared" si="15"/>
        <v>·</v>
      </c>
      <c r="D210" t="e">
        <f t="shared" si="16"/>
        <v>#VALUE!</v>
      </c>
      <c r="E210" t="str">
        <f t="shared" si="17"/>
        <v/>
      </c>
    </row>
    <row r="211" spans="1:5">
      <c r="A211">
        <v>184</v>
      </c>
      <c r="B211" t="str">
        <f t="shared" si="14"/>
        <v>¸</v>
      </c>
      <c r="C211" t="str">
        <f t="shared" si="15"/>
        <v>¸</v>
      </c>
      <c r="D211" t="e">
        <f t="shared" si="16"/>
        <v>#VALUE!</v>
      </c>
      <c r="E211" t="str">
        <f t="shared" si="17"/>
        <v/>
      </c>
    </row>
    <row r="212" spans="1:5">
      <c r="A212">
        <v>185</v>
      </c>
      <c r="B212" t="str">
        <f t="shared" si="14"/>
        <v>¹</v>
      </c>
      <c r="C212" t="str">
        <f t="shared" si="15"/>
        <v>¹</v>
      </c>
      <c r="D212" t="e">
        <f t="shared" si="16"/>
        <v>#VALUE!</v>
      </c>
      <c r="E212" t="str">
        <f t="shared" si="17"/>
        <v/>
      </c>
    </row>
    <row r="213" spans="1:5">
      <c r="A213">
        <v>186</v>
      </c>
      <c r="B213" t="str">
        <f t="shared" si="14"/>
        <v>º</v>
      </c>
      <c r="C213" t="str">
        <f t="shared" si="15"/>
        <v>º</v>
      </c>
      <c r="D213" t="e">
        <f t="shared" si="16"/>
        <v>#VALUE!</v>
      </c>
      <c r="E213" t="str">
        <f t="shared" si="17"/>
        <v/>
      </c>
    </row>
    <row r="214" spans="1:5">
      <c r="A214">
        <v>187</v>
      </c>
      <c r="B214" t="str">
        <f t="shared" si="14"/>
        <v>»</v>
      </c>
      <c r="C214" t="str">
        <f t="shared" si="15"/>
        <v>»</v>
      </c>
      <c r="D214" t="e">
        <f t="shared" si="16"/>
        <v>#VALUE!</v>
      </c>
      <c r="E214" t="str">
        <f t="shared" si="17"/>
        <v/>
      </c>
    </row>
    <row r="215" spans="1:5">
      <c r="A215">
        <v>188</v>
      </c>
      <c r="B215" t="str">
        <f t="shared" si="14"/>
        <v>¼</v>
      </c>
      <c r="C215" t="str">
        <f t="shared" si="15"/>
        <v>¼</v>
      </c>
      <c r="D215" t="e">
        <f t="shared" si="16"/>
        <v>#VALUE!</v>
      </c>
      <c r="E215" t="str">
        <f t="shared" si="17"/>
        <v/>
      </c>
    </row>
    <row r="216" spans="1:5">
      <c r="A216">
        <v>189</v>
      </c>
      <c r="B216" t="str">
        <f t="shared" si="14"/>
        <v>½</v>
      </c>
      <c r="C216" t="str">
        <f t="shared" si="15"/>
        <v>½</v>
      </c>
      <c r="D216" t="e">
        <f t="shared" si="16"/>
        <v>#VALUE!</v>
      </c>
      <c r="E216" t="str">
        <f t="shared" si="17"/>
        <v/>
      </c>
    </row>
    <row r="217" spans="1:5">
      <c r="A217">
        <v>190</v>
      </c>
      <c r="B217" t="str">
        <f t="shared" si="14"/>
        <v>¾</v>
      </c>
      <c r="C217" t="str">
        <f t="shared" si="15"/>
        <v>¾</v>
      </c>
      <c r="D217" t="e">
        <f t="shared" si="16"/>
        <v>#VALUE!</v>
      </c>
      <c r="E217" t="str">
        <f t="shared" si="17"/>
        <v/>
      </c>
    </row>
    <row r="218" spans="1:5">
      <c r="A218">
        <v>191</v>
      </c>
      <c r="B218" t="str">
        <f t="shared" si="14"/>
        <v>¿</v>
      </c>
      <c r="C218" t="str">
        <f t="shared" si="15"/>
        <v>¿</v>
      </c>
      <c r="D218" t="e">
        <f t="shared" si="16"/>
        <v>#VALUE!</v>
      </c>
      <c r="E218" t="str">
        <f t="shared" si="17"/>
        <v/>
      </c>
    </row>
    <row r="219" spans="1:5">
      <c r="A219">
        <v>192</v>
      </c>
      <c r="B219" t="str">
        <f t="shared" si="14"/>
        <v>À</v>
      </c>
      <c r="C219" t="str">
        <f t="shared" si="15"/>
        <v>À</v>
      </c>
      <c r="D219" t="e">
        <f t="shared" si="16"/>
        <v>#VALUE!</v>
      </c>
      <c r="E219" t="str">
        <f t="shared" si="17"/>
        <v/>
      </c>
    </row>
    <row r="220" spans="1:5">
      <c r="A220">
        <v>193</v>
      </c>
      <c r="B220" t="str">
        <f t="shared" ref="B220:B283" si="18">CHAR(A220)</f>
        <v>Á</v>
      </c>
      <c r="C220" t="str">
        <f t="shared" ref="C220:C283" si="19">UPPER(B220)</f>
        <v>Á</v>
      </c>
      <c r="D220" t="e">
        <f t="shared" ref="D220:D283" si="20">FIND(C220,CodDegElegir)-1</f>
        <v>#VALUE!</v>
      </c>
      <c r="E220" t="str">
        <f t="shared" ref="E220:E283" si="21">IFERROR(D220,"")</f>
        <v/>
      </c>
    </row>
    <row r="221" spans="1:5">
      <c r="A221">
        <v>194</v>
      </c>
      <c r="B221" t="str">
        <f t="shared" si="18"/>
        <v>Â</v>
      </c>
      <c r="C221" t="str">
        <f t="shared" si="19"/>
        <v>Â</v>
      </c>
      <c r="D221" t="e">
        <f t="shared" si="20"/>
        <v>#VALUE!</v>
      </c>
      <c r="E221" t="str">
        <f t="shared" si="21"/>
        <v/>
      </c>
    </row>
    <row r="222" spans="1:5">
      <c r="A222">
        <v>195</v>
      </c>
      <c r="B222" t="str">
        <f t="shared" si="18"/>
        <v>Ã</v>
      </c>
      <c r="C222" t="str">
        <f t="shared" si="19"/>
        <v>Ã</v>
      </c>
      <c r="D222" t="e">
        <f t="shared" si="20"/>
        <v>#VALUE!</v>
      </c>
      <c r="E222" t="str">
        <f t="shared" si="21"/>
        <v/>
      </c>
    </row>
    <row r="223" spans="1:5">
      <c r="A223">
        <v>196</v>
      </c>
      <c r="B223" t="str">
        <f t="shared" si="18"/>
        <v>Ä</v>
      </c>
      <c r="C223" t="str">
        <f t="shared" si="19"/>
        <v>Ä</v>
      </c>
      <c r="D223" t="e">
        <f t="shared" si="20"/>
        <v>#VALUE!</v>
      </c>
      <c r="E223" t="str">
        <f t="shared" si="21"/>
        <v/>
      </c>
    </row>
    <row r="224" spans="1:5">
      <c r="A224">
        <v>197</v>
      </c>
      <c r="B224" t="str">
        <f t="shared" si="18"/>
        <v>Å</v>
      </c>
      <c r="C224" t="str">
        <f t="shared" si="19"/>
        <v>Å</v>
      </c>
      <c r="D224" t="e">
        <f t="shared" si="20"/>
        <v>#VALUE!</v>
      </c>
      <c r="E224" t="str">
        <f t="shared" si="21"/>
        <v/>
      </c>
    </row>
    <row r="225" spans="1:5">
      <c r="A225">
        <v>198</v>
      </c>
      <c r="B225" t="str">
        <f t="shared" si="18"/>
        <v>Æ</v>
      </c>
      <c r="C225" t="str">
        <f t="shared" si="19"/>
        <v>Æ</v>
      </c>
      <c r="D225" t="e">
        <f t="shared" si="20"/>
        <v>#VALUE!</v>
      </c>
      <c r="E225" t="str">
        <f t="shared" si="21"/>
        <v/>
      </c>
    </row>
    <row r="226" spans="1:5">
      <c r="A226">
        <v>199</v>
      </c>
      <c r="B226" t="str">
        <f t="shared" si="18"/>
        <v>Ç</v>
      </c>
      <c r="C226" t="str">
        <f t="shared" si="19"/>
        <v>Ç</v>
      </c>
      <c r="D226" t="e">
        <f t="shared" si="20"/>
        <v>#VALUE!</v>
      </c>
      <c r="E226" t="str">
        <f t="shared" si="21"/>
        <v/>
      </c>
    </row>
    <row r="227" spans="1:5">
      <c r="A227">
        <v>200</v>
      </c>
      <c r="B227" t="str">
        <f t="shared" si="18"/>
        <v>È</v>
      </c>
      <c r="C227" t="str">
        <f t="shared" si="19"/>
        <v>È</v>
      </c>
      <c r="D227" t="e">
        <f t="shared" si="20"/>
        <v>#VALUE!</v>
      </c>
      <c r="E227" t="str">
        <f t="shared" si="21"/>
        <v/>
      </c>
    </row>
    <row r="228" spans="1:5">
      <c r="A228">
        <v>201</v>
      </c>
      <c r="B228" t="str">
        <f t="shared" si="18"/>
        <v>É</v>
      </c>
      <c r="C228" t="str">
        <f t="shared" si="19"/>
        <v>É</v>
      </c>
      <c r="D228" t="e">
        <f t="shared" si="20"/>
        <v>#VALUE!</v>
      </c>
      <c r="E228" t="str">
        <f t="shared" si="21"/>
        <v/>
      </c>
    </row>
    <row r="229" spans="1:5">
      <c r="A229">
        <v>202</v>
      </c>
      <c r="B229" t="str">
        <f t="shared" si="18"/>
        <v>Ê</v>
      </c>
      <c r="C229" t="str">
        <f t="shared" si="19"/>
        <v>Ê</v>
      </c>
      <c r="D229" t="e">
        <f t="shared" si="20"/>
        <v>#VALUE!</v>
      </c>
      <c r="E229" t="str">
        <f t="shared" si="21"/>
        <v/>
      </c>
    </row>
    <row r="230" spans="1:5">
      <c r="A230">
        <v>203</v>
      </c>
      <c r="B230" t="str">
        <f t="shared" si="18"/>
        <v>Ë</v>
      </c>
      <c r="C230" t="str">
        <f t="shared" si="19"/>
        <v>Ë</v>
      </c>
      <c r="D230" t="e">
        <f t="shared" si="20"/>
        <v>#VALUE!</v>
      </c>
      <c r="E230" t="str">
        <f t="shared" si="21"/>
        <v/>
      </c>
    </row>
    <row r="231" spans="1:5">
      <c r="A231">
        <v>204</v>
      </c>
      <c r="B231" t="str">
        <f t="shared" si="18"/>
        <v>Ì</v>
      </c>
      <c r="C231" t="str">
        <f t="shared" si="19"/>
        <v>Ì</v>
      </c>
      <c r="D231" t="e">
        <f t="shared" si="20"/>
        <v>#VALUE!</v>
      </c>
      <c r="E231" t="str">
        <f t="shared" si="21"/>
        <v/>
      </c>
    </row>
    <row r="232" spans="1:5">
      <c r="A232">
        <v>205</v>
      </c>
      <c r="B232" t="str">
        <f t="shared" si="18"/>
        <v>Í</v>
      </c>
      <c r="C232" t="str">
        <f t="shared" si="19"/>
        <v>Í</v>
      </c>
      <c r="D232" t="e">
        <f t="shared" si="20"/>
        <v>#VALUE!</v>
      </c>
      <c r="E232" t="str">
        <f t="shared" si="21"/>
        <v/>
      </c>
    </row>
    <row r="233" spans="1:5">
      <c r="A233">
        <v>206</v>
      </c>
      <c r="B233" t="str">
        <f t="shared" si="18"/>
        <v>Î</v>
      </c>
      <c r="C233" t="str">
        <f t="shared" si="19"/>
        <v>Î</v>
      </c>
      <c r="D233" t="e">
        <f t="shared" si="20"/>
        <v>#VALUE!</v>
      </c>
      <c r="E233" t="str">
        <f t="shared" si="21"/>
        <v/>
      </c>
    </row>
    <row r="234" spans="1:5">
      <c r="A234">
        <v>207</v>
      </c>
      <c r="B234" t="str">
        <f t="shared" si="18"/>
        <v>Ï</v>
      </c>
      <c r="C234" t="str">
        <f t="shared" si="19"/>
        <v>Ï</v>
      </c>
      <c r="D234" t="e">
        <f t="shared" si="20"/>
        <v>#VALUE!</v>
      </c>
      <c r="E234" t="str">
        <f t="shared" si="21"/>
        <v/>
      </c>
    </row>
    <row r="235" spans="1:5">
      <c r="A235">
        <v>208</v>
      </c>
      <c r="B235" t="str">
        <f t="shared" si="18"/>
        <v>Ð</v>
      </c>
      <c r="C235" t="str">
        <f t="shared" si="19"/>
        <v>Ð</v>
      </c>
      <c r="D235" t="e">
        <f t="shared" si="20"/>
        <v>#VALUE!</v>
      </c>
      <c r="E235" t="str">
        <f t="shared" si="21"/>
        <v/>
      </c>
    </row>
    <row r="236" spans="1:5">
      <c r="A236">
        <v>209</v>
      </c>
      <c r="B236" t="str">
        <f t="shared" si="18"/>
        <v>Ñ</v>
      </c>
      <c r="C236" t="str">
        <f t="shared" si="19"/>
        <v>Ñ</v>
      </c>
      <c r="D236" t="e">
        <f t="shared" si="20"/>
        <v>#VALUE!</v>
      </c>
      <c r="E236" t="str">
        <f t="shared" si="21"/>
        <v/>
      </c>
    </row>
    <row r="237" spans="1:5">
      <c r="A237">
        <v>210</v>
      </c>
      <c r="B237" t="str">
        <f t="shared" si="18"/>
        <v>Ò</v>
      </c>
      <c r="C237" t="str">
        <f t="shared" si="19"/>
        <v>Ò</v>
      </c>
      <c r="D237" t="e">
        <f t="shared" si="20"/>
        <v>#VALUE!</v>
      </c>
      <c r="E237" t="str">
        <f t="shared" si="21"/>
        <v/>
      </c>
    </row>
    <row r="238" spans="1:5">
      <c r="A238">
        <v>211</v>
      </c>
      <c r="B238" t="str">
        <f t="shared" si="18"/>
        <v>Ó</v>
      </c>
      <c r="C238" t="str">
        <f t="shared" si="19"/>
        <v>Ó</v>
      </c>
      <c r="D238" t="e">
        <f t="shared" si="20"/>
        <v>#VALUE!</v>
      </c>
      <c r="E238" t="str">
        <f t="shared" si="21"/>
        <v/>
      </c>
    </row>
    <row r="239" spans="1:5">
      <c r="A239">
        <v>212</v>
      </c>
      <c r="B239" t="str">
        <f t="shared" si="18"/>
        <v>Ô</v>
      </c>
      <c r="C239" t="str">
        <f t="shared" si="19"/>
        <v>Ô</v>
      </c>
      <c r="D239" t="e">
        <f t="shared" si="20"/>
        <v>#VALUE!</v>
      </c>
      <c r="E239" t="str">
        <f t="shared" si="21"/>
        <v/>
      </c>
    </row>
    <row r="240" spans="1:5">
      <c r="A240">
        <v>213</v>
      </c>
      <c r="B240" t="str">
        <f t="shared" si="18"/>
        <v>Õ</v>
      </c>
      <c r="C240" t="str">
        <f t="shared" si="19"/>
        <v>Õ</v>
      </c>
      <c r="D240" t="e">
        <f t="shared" si="20"/>
        <v>#VALUE!</v>
      </c>
      <c r="E240" t="str">
        <f t="shared" si="21"/>
        <v/>
      </c>
    </row>
    <row r="241" spans="1:5">
      <c r="A241">
        <v>214</v>
      </c>
      <c r="B241" t="str">
        <f t="shared" si="18"/>
        <v>Ö</v>
      </c>
      <c r="C241" t="str">
        <f t="shared" si="19"/>
        <v>Ö</v>
      </c>
      <c r="D241" t="e">
        <f t="shared" si="20"/>
        <v>#VALUE!</v>
      </c>
      <c r="E241" t="str">
        <f t="shared" si="21"/>
        <v/>
      </c>
    </row>
    <row r="242" spans="1:5">
      <c r="A242">
        <v>215</v>
      </c>
      <c r="B242" t="str">
        <f t="shared" si="18"/>
        <v>×</v>
      </c>
      <c r="C242" t="str">
        <f t="shared" si="19"/>
        <v>×</v>
      </c>
      <c r="D242" t="e">
        <f t="shared" si="20"/>
        <v>#VALUE!</v>
      </c>
      <c r="E242" t="str">
        <f t="shared" si="21"/>
        <v/>
      </c>
    </row>
    <row r="243" spans="1:5">
      <c r="A243">
        <v>216</v>
      </c>
      <c r="B243" t="str">
        <f t="shared" si="18"/>
        <v>Ø</v>
      </c>
      <c r="C243" t="str">
        <f t="shared" si="19"/>
        <v>Ø</v>
      </c>
      <c r="D243" t="e">
        <f t="shared" si="20"/>
        <v>#VALUE!</v>
      </c>
      <c r="E243" t="str">
        <f t="shared" si="21"/>
        <v/>
      </c>
    </row>
    <row r="244" spans="1:5">
      <c r="A244">
        <v>217</v>
      </c>
      <c r="B244" t="str">
        <f t="shared" si="18"/>
        <v>Ù</v>
      </c>
      <c r="C244" t="str">
        <f t="shared" si="19"/>
        <v>Ù</v>
      </c>
      <c r="D244" t="e">
        <f t="shared" si="20"/>
        <v>#VALUE!</v>
      </c>
      <c r="E244" t="str">
        <f t="shared" si="21"/>
        <v/>
      </c>
    </row>
    <row r="245" spans="1:5">
      <c r="A245">
        <v>218</v>
      </c>
      <c r="B245" t="str">
        <f t="shared" si="18"/>
        <v>Ú</v>
      </c>
      <c r="C245" t="str">
        <f t="shared" si="19"/>
        <v>Ú</v>
      </c>
      <c r="D245" t="e">
        <f t="shared" si="20"/>
        <v>#VALUE!</v>
      </c>
      <c r="E245" t="str">
        <f t="shared" si="21"/>
        <v/>
      </c>
    </row>
    <row r="246" spans="1:5">
      <c r="A246">
        <v>219</v>
      </c>
      <c r="B246" t="str">
        <f t="shared" si="18"/>
        <v>Û</v>
      </c>
      <c r="C246" t="str">
        <f t="shared" si="19"/>
        <v>Û</v>
      </c>
      <c r="D246" t="e">
        <f t="shared" si="20"/>
        <v>#VALUE!</v>
      </c>
      <c r="E246" t="str">
        <f t="shared" si="21"/>
        <v/>
      </c>
    </row>
    <row r="247" spans="1:5">
      <c r="A247">
        <v>220</v>
      </c>
      <c r="B247" t="str">
        <f t="shared" si="18"/>
        <v>Ü</v>
      </c>
      <c r="C247" t="str">
        <f t="shared" si="19"/>
        <v>Ü</v>
      </c>
      <c r="D247" t="e">
        <f t="shared" si="20"/>
        <v>#VALUE!</v>
      </c>
      <c r="E247" t="str">
        <f t="shared" si="21"/>
        <v/>
      </c>
    </row>
    <row r="248" spans="1:5">
      <c r="A248">
        <v>221</v>
      </c>
      <c r="B248" t="str">
        <f t="shared" si="18"/>
        <v>Ý</v>
      </c>
      <c r="C248" t="str">
        <f t="shared" si="19"/>
        <v>Ý</v>
      </c>
      <c r="D248" t="e">
        <f t="shared" si="20"/>
        <v>#VALUE!</v>
      </c>
      <c r="E248" t="str">
        <f t="shared" si="21"/>
        <v/>
      </c>
    </row>
    <row r="249" spans="1:5">
      <c r="A249">
        <v>222</v>
      </c>
      <c r="B249" t="str">
        <f t="shared" si="18"/>
        <v>Þ</v>
      </c>
      <c r="C249" t="str">
        <f t="shared" si="19"/>
        <v>Þ</v>
      </c>
      <c r="D249" t="e">
        <f t="shared" si="20"/>
        <v>#VALUE!</v>
      </c>
      <c r="E249" t="str">
        <f t="shared" si="21"/>
        <v/>
      </c>
    </row>
    <row r="250" spans="1:5">
      <c r="A250">
        <v>223</v>
      </c>
      <c r="B250" t="str">
        <f t="shared" si="18"/>
        <v>ß</v>
      </c>
      <c r="C250" t="str">
        <f t="shared" si="19"/>
        <v>ß</v>
      </c>
      <c r="D250" t="e">
        <f t="shared" si="20"/>
        <v>#VALUE!</v>
      </c>
      <c r="E250" t="str">
        <f t="shared" si="21"/>
        <v/>
      </c>
    </row>
    <row r="251" spans="1:5">
      <c r="A251">
        <v>224</v>
      </c>
      <c r="B251" t="str">
        <f t="shared" si="18"/>
        <v>à</v>
      </c>
      <c r="C251" t="str">
        <f t="shared" si="19"/>
        <v>À</v>
      </c>
      <c r="D251" t="e">
        <f t="shared" si="20"/>
        <v>#VALUE!</v>
      </c>
      <c r="E251" t="str">
        <f t="shared" si="21"/>
        <v/>
      </c>
    </row>
    <row r="252" spans="1:5">
      <c r="A252">
        <v>225</v>
      </c>
      <c r="B252" t="str">
        <f t="shared" si="18"/>
        <v>á</v>
      </c>
      <c r="C252" t="str">
        <f t="shared" si="19"/>
        <v>Á</v>
      </c>
      <c r="D252" t="e">
        <f t="shared" si="20"/>
        <v>#VALUE!</v>
      </c>
      <c r="E252" t="str">
        <f t="shared" si="21"/>
        <v/>
      </c>
    </row>
    <row r="253" spans="1:5">
      <c r="A253">
        <v>226</v>
      </c>
      <c r="B253" t="str">
        <f t="shared" si="18"/>
        <v>â</v>
      </c>
      <c r="C253" t="str">
        <f t="shared" si="19"/>
        <v>Â</v>
      </c>
      <c r="D253" t="e">
        <f t="shared" si="20"/>
        <v>#VALUE!</v>
      </c>
      <c r="E253" t="str">
        <f t="shared" si="21"/>
        <v/>
      </c>
    </row>
    <row r="254" spans="1:5">
      <c r="A254">
        <v>227</v>
      </c>
      <c r="B254" t="str">
        <f t="shared" si="18"/>
        <v>ã</v>
      </c>
      <c r="C254" t="str">
        <f t="shared" si="19"/>
        <v>Ã</v>
      </c>
      <c r="D254" t="e">
        <f t="shared" si="20"/>
        <v>#VALUE!</v>
      </c>
      <c r="E254" t="str">
        <f t="shared" si="21"/>
        <v/>
      </c>
    </row>
    <row r="255" spans="1:5">
      <c r="A255">
        <v>228</v>
      </c>
      <c r="B255" t="str">
        <f t="shared" si="18"/>
        <v>ä</v>
      </c>
      <c r="C255" t="str">
        <f t="shared" si="19"/>
        <v>Ä</v>
      </c>
      <c r="D255" t="e">
        <f t="shared" si="20"/>
        <v>#VALUE!</v>
      </c>
      <c r="E255" t="str">
        <f t="shared" si="21"/>
        <v/>
      </c>
    </row>
    <row r="256" spans="1:5">
      <c r="A256">
        <v>229</v>
      </c>
      <c r="B256" t="str">
        <f t="shared" si="18"/>
        <v>å</v>
      </c>
      <c r="C256" t="str">
        <f t="shared" si="19"/>
        <v>Å</v>
      </c>
      <c r="D256" t="e">
        <f t="shared" si="20"/>
        <v>#VALUE!</v>
      </c>
      <c r="E256" t="str">
        <f t="shared" si="21"/>
        <v/>
      </c>
    </row>
    <row r="257" spans="1:5">
      <c r="A257">
        <v>230</v>
      </c>
      <c r="B257" t="str">
        <f t="shared" si="18"/>
        <v>æ</v>
      </c>
      <c r="C257" t="str">
        <f t="shared" si="19"/>
        <v>Æ</v>
      </c>
      <c r="D257" t="e">
        <f t="shared" si="20"/>
        <v>#VALUE!</v>
      </c>
      <c r="E257" t="str">
        <f t="shared" si="21"/>
        <v/>
      </c>
    </row>
    <row r="258" spans="1:5">
      <c r="A258">
        <v>231</v>
      </c>
      <c r="B258" t="str">
        <f t="shared" si="18"/>
        <v>ç</v>
      </c>
      <c r="C258" t="str">
        <f t="shared" si="19"/>
        <v>Ç</v>
      </c>
      <c r="D258" t="e">
        <f t="shared" si="20"/>
        <v>#VALUE!</v>
      </c>
      <c r="E258" t="str">
        <f t="shared" si="21"/>
        <v/>
      </c>
    </row>
    <row r="259" spans="1:5">
      <c r="A259">
        <v>232</v>
      </c>
      <c r="B259" t="str">
        <f t="shared" si="18"/>
        <v>è</v>
      </c>
      <c r="C259" t="str">
        <f t="shared" si="19"/>
        <v>È</v>
      </c>
      <c r="D259" t="e">
        <f t="shared" si="20"/>
        <v>#VALUE!</v>
      </c>
      <c r="E259" t="str">
        <f t="shared" si="21"/>
        <v/>
      </c>
    </row>
    <row r="260" spans="1:5">
      <c r="A260">
        <v>233</v>
      </c>
      <c r="B260" t="str">
        <f t="shared" si="18"/>
        <v>é</v>
      </c>
      <c r="C260" t="str">
        <f t="shared" si="19"/>
        <v>É</v>
      </c>
      <c r="D260" t="e">
        <f t="shared" si="20"/>
        <v>#VALUE!</v>
      </c>
      <c r="E260" t="str">
        <f t="shared" si="21"/>
        <v/>
      </c>
    </row>
    <row r="261" spans="1:5">
      <c r="A261">
        <v>234</v>
      </c>
      <c r="B261" t="str">
        <f t="shared" si="18"/>
        <v>ê</v>
      </c>
      <c r="C261" t="str">
        <f t="shared" si="19"/>
        <v>Ê</v>
      </c>
      <c r="D261" t="e">
        <f t="shared" si="20"/>
        <v>#VALUE!</v>
      </c>
      <c r="E261" t="str">
        <f t="shared" si="21"/>
        <v/>
      </c>
    </row>
    <row r="262" spans="1:5">
      <c r="A262">
        <v>235</v>
      </c>
      <c r="B262" t="str">
        <f t="shared" si="18"/>
        <v>ë</v>
      </c>
      <c r="C262" t="str">
        <f t="shared" si="19"/>
        <v>Ë</v>
      </c>
      <c r="D262" t="e">
        <f t="shared" si="20"/>
        <v>#VALUE!</v>
      </c>
      <c r="E262" t="str">
        <f t="shared" si="21"/>
        <v/>
      </c>
    </row>
    <row r="263" spans="1:5">
      <c r="A263">
        <v>236</v>
      </c>
      <c r="B263" t="str">
        <f t="shared" si="18"/>
        <v>ì</v>
      </c>
      <c r="C263" t="str">
        <f t="shared" si="19"/>
        <v>Ì</v>
      </c>
      <c r="D263" t="e">
        <f t="shared" si="20"/>
        <v>#VALUE!</v>
      </c>
      <c r="E263" t="str">
        <f t="shared" si="21"/>
        <v/>
      </c>
    </row>
    <row r="264" spans="1:5">
      <c r="A264">
        <v>237</v>
      </c>
      <c r="B264" t="str">
        <f t="shared" si="18"/>
        <v>í</v>
      </c>
      <c r="C264" t="str">
        <f t="shared" si="19"/>
        <v>Í</v>
      </c>
      <c r="D264" t="e">
        <f t="shared" si="20"/>
        <v>#VALUE!</v>
      </c>
      <c r="E264" t="str">
        <f t="shared" si="21"/>
        <v/>
      </c>
    </row>
    <row r="265" spans="1:5">
      <c r="A265">
        <v>238</v>
      </c>
      <c r="B265" t="str">
        <f t="shared" si="18"/>
        <v>î</v>
      </c>
      <c r="C265" t="str">
        <f t="shared" si="19"/>
        <v>Î</v>
      </c>
      <c r="D265" t="e">
        <f t="shared" si="20"/>
        <v>#VALUE!</v>
      </c>
      <c r="E265" t="str">
        <f t="shared" si="21"/>
        <v/>
      </c>
    </row>
    <row r="266" spans="1:5">
      <c r="A266">
        <v>239</v>
      </c>
      <c r="B266" t="str">
        <f t="shared" si="18"/>
        <v>ï</v>
      </c>
      <c r="C266" t="str">
        <f t="shared" si="19"/>
        <v>Ï</v>
      </c>
      <c r="D266" t="e">
        <f t="shared" si="20"/>
        <v>#VALUE!</v>
      </c>
      <c r="E266" t="str">
        <f t="shared" si="21"/>
        <v/>
      </c>
    </row>
    <row r="267" spans="1:5">
      <c r="A267">
        <v>240</v>
      </c>
      <c r="B267" t="str">
        <f t="shared" si="18"/>
        <v>ð</v>
      </c>
      <c r="C267" t="str">
        <f t="shared" si="19"/>
        <v>Ð</v>
      </c>
      <c r="D267" t="e">
        <f t="shared" si="20"/>
        <v>#VALUE!</v>
      </c>
      <c r="E267" t="str">
        <f t="shared" si="21"/>
        <v/>
      </c>
    </row>
    <row r="268" spans="1:5">
      <c r="A268">
        <v>241</v>
      </c>
      <c r="B268" t="str">
        <f t="shared" si="18"/>
        <v>ñ</v>
      </c>
      <c r="C268" t="str">
        <f t="shared" si="19"/>
        <v>Ñ</v>
      </c>
      <c r="D268" t="e">
        <f t="shared" si="20"/>
        <v>#VALUE!</v>
      </c>
      <c r="E268" t="str">
        <f t="shared" si="21"/>
        <v/>
      </c>
    </row>
    <row r="269" spans="1:5">
      <c r="A269">
        <v>242</v>
      </c>
      <c r="B269" t="str">
        <f t="shared" si="18"/>
        <v>ò</v>
      </c>
      <c r="C269" t="str">
        <f t="shared" si="19"/>
        <v>Ò</v>
      </c>
      <c r="D269" t="e">
        <f t="shared" si="20"/>
        <v>#VALUE!</v>
      </c>
      <c r="E269" t="str">
        <f t="shared" si="21"/>
        <v/>
      </c>
    </row>
    <row r="270" spans="1:5">
      <c r="A270">
        <v>243</v>
      </c>
      <c r="B270" t="str">
        <f t="shared" si="18"/>
        <v>ó</v>
      </c>
      <c r="C270" t="str">
        <f t="shared" si="19"/>
        <v>Ó</v>
      </c>
      <c r="D270" t="e">
        <f t="shared" si="20"/>
        <v>#VALUE!</v>
      </c>
      <c r="E270" t="str">
        <f t="shared" si="21"/>
        <v/>
      </c>
    </row>
    <row r="271" spans="1:5">
      <c r="A271">
        <v>244</v>
      </c>
      <c r="B271" t="str">
        <f t="shared" si="18"/>
        <v>ô</v>
      </c>
      <c r="C271" t="str">
        <f t="shared" si="19"/>
        <v>Ô</v>
      </c>
      <c r="D271" t="e">
        <f t="shared" si="20"/>
        <v>#VALUE!</v>
      </c>
      <c r="E271" t="str">
        <f t="shared" si="21"/>
        <v/>
      </c>
    </row>
    <row r="272" spans="1:5">
      <c r="A272">
        <v>245</v>
      </c>
      <c r="B272" t="str">
        <f t="shared" si="18"/>
        <v>õ</v>
      </c>
      <c r="C272" t="str">
        <f t="shared" si="19"/>
        <v>Õ</v>
      </c>
      <c r="D272" t="e">
        <f t="shared" si="20"/>
        <v>#VALUE!</v>
      </c>
      <c r="E272" t="str">
        <f t="shared" si="21"/>
        <v/>
      </c>
    </row>
    <row r="273" spans="1:5">
      <c r="A273">
        <v>246</v>
      </c>
      <c r="B273" t="str">
        <f t="shared" si="18"/>
        <v>ö</v>
      </c>
      <c r="C273" t="str">
        <f t="shared" si="19"/>
        <v>Ö</v>
      </c>
      <c r="D273" t="e">
        <f t="shared" si="20"/>
        <v>#VALUE!</v>
      </c>
      <c r="E273" t="str">
        <f t="shared" si="21"/>
        <v/>
      </c>
    </row>
    <row r="274" spans="1:5">
      <c r="A274">
        <v>247</v>
      </c>
      <c r="B274" t="str">
        <f t="shared" si="18"/>
        <v>÷</v>
      </c>
      <c r="C274" t="str">
        <f t="shared" si="19"/>
        <v>÷</v>
      </c>
      <c r="D274" t="e">
        <f t="shared" si="20"/>
        <v>#VALUE!</v>
      </c>
      <c r="E274" t="str">
        <f t="shared" si="21"/>
        <v/>
      </c>
    </row>
    <row r="275" spans="1:5">
      <c r="A275">
        <v>248</v>
      </c>
      <c r="B275" t="str">
        <f t="shared" si="18"/>
        <v>ø</v>
      </c>
      <c r="C275" t="str">
        <f t="shared" si="19"/>
        <v>Ø</v>
      </c>
      <c r="D275" t="e">
        <f t="shared" si="20"/>
        <v>#VALUE!</v>
      </c>
      <c r="E275" t="str">
        <f t="shared" si="21"/>
        <v/>
      </c>
    </row>
    <row r="276" spans="1:5">
      <c r="A276">
        <v>249</v>
      </c>
      <c r="B276" t="str">
        <f t="shared" si="18"/>
        <v>ù</v>
      </c>
      <c r="C276" t="str">
        <f t="shared" si="19"/>
        <v>Ù</v>
      </c>
      <c r="D276" t="e">
        <f t="shared" si="20"/>
        <v>#VALUE!</v>
      </c>
      <c r="E276" t="str">
        <f t="shared" si="21"/>
        <v/>
      </c>
    </row>
    <row r="277" spans="1:5">
      <c r="A277">
        <v>250</v>
      </c>
      <c r="B277" t="str">
        <f t="shared" si="18"/>
        <v>ú</v>
      </c>
      <c r="C277" t="str">
        <f t="shared" si="19"/>
        <v>Ú</v>
      </c>
      <c r="D277" t="e">
        <f t="shared" si="20"/>
        <v>#VALUE!</v>
      </c>
      <c r="E277" t="str">
        <f t="shared" si="21"/>
        <v/>
      </c>
    </row>
    <row r="278" spans="1:5">
      <c r="A278">
        <v>251</v>
      </c>
      <c r="B278" t="str">
        <f t="shared" si="18"/>
        <v>û</v>
      </c>
      <c r="C278" t="str">
        <f t="shared" si="19"/>
        <v>Û</v>
      </c>
      <c r="D278" t="e">
        <f t="shared" si="20"/>
        <v>#VALUE!</v>
      </c>
      <c r="E278" t="str">
        <f t="shared" si="21"/>
        <v/>
      </c>
    </row>
    <row r="279" spans="1:5">
      <c r="A279">
        <v>252</v>
      </c>
      <c r="B279" t="str">
        <f t="shared" si="18"/>
        <v>ü</v>
      </c>
      <c r="C279" t="str">
        <f t="shared" si="19"/>
        <v>Ü</v>
      </c>
      <c r="D279" t="e">
        <f t="shared" si="20"/>
        <v>#VALUE!</v>
      </c>
      <c r="E279" t="str">
        <f t="shared" si="21"/>
        <v/>
      </c>
    </row>
    <row r="280" spans="1:5">
      <c r="A280">
        <v>253</v>
      </c>
      <c r="B280" t="str">
        <f t="shared" si="18"/>
        <v>ý</v>
      </c>
      <c r="C280" t="str">
        <f t="shared" si="19"/>
        <v>Ý</v>
      </c>
      <c r="D280" t="e">
        <f t="shared" si="20"/>
        <v>#VALUE!</v>
      </c>
      <c r="E280" t="str">
        <f t="shared" si="21"/>
        <v/>
      </c>
    </row>
    <row r="281" spans="1:5">
      <c r="A281">
        <v>254</v>
      </c>
      <c r="B281" t="str">
        <f t="shared" si="18"/>
        <v>þ</v>
      </c>
      <c r="C281" t="str">
        <f t="shared" si="19"/>
        <v>Þ</v>
      </c>
      <c r="D281" t="e">
        <f t="shared" si="20"/>
        <v>#VALUE!</v>
      </c>
      <c r="E281" t="str">
        <f t="shared" si="21"/>
        <v/>
      </c>
    </row>
    <row r="282" spans="1:5">
      <c r="A282">
        <v>255</v>
      </c>
      <c r="B282" t="str">
        <f t="shared" si="18"/>
        <v>ÿ</v>
      </c>
      <c r="C282" t="str">
        <f t="shared" si="19"/>
        <v>Ÿ</v>
      </c>
      <c r="D282" t="e">
        <f t="shared" si="20"/>
        <v>#VALUE!</v>
      </c>
      <c r="E282" t="str">
        <f t="shared" si="21"/>
        <v/>
      </c>
    </row>
    <row r="283" spans="1:5">
      <c r="A283">
        <v>256</v>
      </c>
      <c r="B283" t="e">
        <f t="shared" si="18"/>
        <v>#VALUE!</v>
      </c>
      <c r="C283" t="e">
        <f t="shared" si="19"/>
        <v>#VALUE!</v>
      </c>
      <c r="D283" t="e">
        <f t="shared" si="20"/>
        <v>#VALUE!</v>
      </c>
      <c r="E283" t="str">
        <f t="shared" si="21"/>
        <v/>
      </c>
    </row>
    <row r="284" spans="1:5">
      <c r="A284">
        <v>257</v>
      </c>
      <c r="B284" t="e">
        <f t="shared" ref="B284:B303" si="22">CHAR(A284)</f>
        <v>#VALUE!</v>
      </c>
      <c r="C284" t="e">
        <f t="shared" ref="C284:C303" si="23">UPPER(B284)</f>
        <v>#VALUE!</v>
      </c>
      <c r="D284" t="e">
        <f t="shared" ref="D284:D303" si="24">FIND(C284,CodDegElegir)-1</f>
        <v>#VALUE!</v>
      </c>
      <c r="E284" t="str">
        <f t="shared" ref="E284:E303" si="25">IFERROR(D284,"")</f>
        <v/>
      </c>
    </row>
    <row r="285" spans="1:5">
      <c r="A285">
        <v>258</v>
      </c>
      <c r="B285" t="e">
        <f t="shared" si="22"/>
        <v>#VALUE!</v>
      </c>
      <c r="C285" t="e">
        <f t="shared" si="23"/>
        <v>#VALUE!</v>
      </c>
      <c r="D285" t="e">
        <f t="shared" si="24"/>
        <v>#VALUE!</v>
      </c>
      <c r="E285" t="str">
        <f t="shared" si="25"/>
        <v/>
      </c>
    </row>
    <row r="286" spans="1:5">
      <c r="A286">
        <v>259</v>
      </c>
      <c r="B286" t="e">
        <f t="shared" si="22"/>
        <v>#VALUE!</v>
      </c>
      <c r="C286" t="e">
        <f t="shared" si="23"/>
        <v>#VALUE!</v>
      </c>
      <c r="D286" t="e">
        <f t="shared" si="24"/>
        <v>#VALUE!</v>
      </c>
      <c r="E286" t="str">
        <f t="shared" si="25"/>
        <v/>
      </c>
    </row>
    <row r="287" spans="1:5">
      <c r="A287">
        <v>260</v>
      </c>
      <c r="B287" t="e">
        <f t="shared" si="22"/>
        <v>#VALUE!</v>
      </c>
      <c r="C287" t="e">
        <f t="shared" si="23"/>
        <v>#VALUE!</v>
      </c>
      <c r="D287" t="e">
        <f t="shared" si="24"/>
        <v>#VALUE!</v>
      </c>
      <c r="E287" t="str">
        <f t="shared" si="25"/>
        <v/>
      </c>
    </row>
    <row r="288" spans="1:5">
      <c r="A288">
        <v>261</v>
      </c>
      <c r="B288" t="e">
        <f t="shared" si="22"/>
        <v>#VALUE!</v>
      </c>
      <c r="C288" t="e">
        <f t="shared" si="23"/>
        <v>#VALUE!</v>
      </c>
      <c r="D288" t="e">
        <f t="shared" si="24"/>
        <v>#VALUE!</v>
      </c>
      <c r="E288" t="str">
        <f t="shared" si="25"/>
        <v/>
      </c>
    </row>
    <row r="289" spans="1:5">
      <c r="A289">
        <v>262</v>
      </c>
      <c r="B289" t="e">
        <f t="shared" si="22"/>
        <v>#VALUE!</v>
      </c>
      <c r="C289" t="e">
        <f t="shared" si="23"/>
        <v>#VALUE!</v>
      </c>
      <c r="D289" t="e">
        <f t="shared" si="24"/>
        <v>#VALUE!</v>
      </c>
      <c r="E289" t="str">
        <f t="shared" si="25"/>
        <v/>
      </c>
    </row>
    <row r="290" spans="1:5">
      <c r="A290">
        <v>263</v>
      </c>
      <c r="B290" t="e">
        <f t="shared" si="22"/>
        <v>#VALUE!</v>
      </c>
      <c r="C290" t="e">
        <f t="shared" si="23"/>
        <v>#VALUE!</v>
      </c>
      <c r="D290" t="e">
        <f t="shared" si="24"/>
        <v>#VALUE!</v>
      </c>
      <c r="E290" t="str">
        <f t="shared" si="25"/>
        <v/>
      </c>
    </row>
    <row r="291" spans="1:5">
      <c r="A291">
        <v>264</v>
      </c>
      <c r="B291" t="e">
        <f t="shared" si="22"/>
        <v>#VALUE!</v>
      </c>
      <c r="C291" t="e">
        <f t="shared" si="23"/>
        <v>#VALUE!</v>
      </c>
      <c r="D291" t="e">
        <f t="shared" si="24"/>
        <v>#VALUE!</v>
      </c>
      <c r="E291" t="str">
        <f t="shared" si="25"/>
        <v/>
      </c>
    </row>
    <row r="292" spans="1:5">
      <c r="A292">
        <v>265</v>
      </c>
      <c r="B292" t="e">
        <f t="shared" si="22"/>
        <v>#VALUE!</v>
      </c>
      <c r="C292" t="e">
        <f t="shared" si="23"/>
        <v>#VALUE!</v>
      </c>
      <c r="D292" t="e">
        <f t="shared" si="24"/>
        <v>#VALUE!</v>
      </c>
      <c r="E292" t="str">
        <f t="shared" si="25"/>
        <v/>
      </c>
    </row>
    <row r="293" spans="1:5">
      <c r="A293">
        <v>266</v>
      </c>
      <c r="B293" t="e">
        <f t="shared" si="22"/>
        <v>#VALUE!</v>
      </c>
      <c r="C293" t="e">
        <f t="shared" si="23"/>
        <v>#VALUE!</v>
      </c>
      <c r="D293" t="e">
        <f t="shared" si="24"/>
        <v>#VALUE!</v>
      </c>
      <c r="E293" t="str">
        <f t="shared" si="25"/>
        <v/>
      </c>
    </row>
    <row r="294" spans="1:5">
      <c r="A294">
        <v>267</v>
      </c>
      <c r="B294" t="e">
        <f t="shared" si="22"/>
        <v>#VALUE!</v>
      </c>
      <c r="C294" t="e">
        <f t="shared" si="23"/>
        <v>#VALUE!</v>
      </c>
      <c r="D294" t="e">
        <f t="shared" si="24"/>
        <v>#VALUE!</v>
      </c>
      <c r="E294" t="str">
        <f t="shared" si="25"/>
        <v/>
      </c>
    </row>
    <row r="295" spans="1:5">
      <c r="A295">
        <v>268</v>
      </c>
      <c r="B295" t="e">
        <f t="shared" si="22"/>
        <v>#VALUE!</v>
      </c>
      <c r="C295" t="e">
        <f t="shared" si="23"/>
        <v>#VALUE!</v>
      </c>
      <c r="D295" t="e">
        <f t="shared" si="24"/>
        <v>#VALUE!</v>
      </c>
      <c r="E295" t="str">
        <f t="shared" si="25"/>
        <v/>
      </c>
    </row>
    <row r="296" spans="1:5">
      <c r="A296">
        <v>269</v>
      </c>
      <c r="B296" t="e">
        <f t="shared" si="22"/>
        <v>#VALUE!</v>
      </c>
      <c r="C296" t="e">
        <f t="shared" si="23"/>
        <v>#VALUE!</v>
      </c>
      <c r="D296" t="e">
        <f t="shared" si="24"/>
        <v>#VALUE!</v>
      </c>
      <c r="E296" t="str">
        <f t="shared" si="25"/>
        <v/>
      </c>
    </row>
    <row r="297" spans="1:5">
      <c r="A297">
        <v>270</v>
      </c>
      <c r="B297" t="e">
        <f t="shared" si="22"/>
        <v>#VALUE!</v>
      </c>
      <c r="C297" t="e">
        <f t="shared" si="23"/>
        <v>#VALUE!</v>
      </c>
      <c r="D297" t="e">
        <f t="shared" si="24"/>
        <v>#VALUE!</v>
      </c>
      <c r="E297" t="str">
        <f t="shared" si="25"/>
        <v/>
      </c>
    </row>
    <row r="298" spans="1:5">
      <c r="A298">
        <v>271</v>
      </c>
      <c r="B298" t="e">
        <f t="shared" si="22"/>
        <v>#VALUE!</v>
      </c>
      <c r="C298" t="e">
        <f t="shared" si="23"/>
        <v>#VALUE!</v>
      </c>
      <c r="D298" t="e">
        <f t="shared" si="24"/>
        <v>#VALUE!</v>
      </c>
      <c r="E298" t="str">
        <f t="shared" si="25"/>
        <v/>
      </c>
    </row>
    <row r="299" spans="1:5">
      <c r="A299">
        <v>272</v>
      </c>
      <c r="B299" t="e">
        <f t="shared" si="22"/>
        <v>#VALUE!</v>
      </c>
      <c r="C299" t="e">
        <f t="shared" si="23"/>
        <v>#VALUE!</v>
      </c>
      <c r="D299" t="e">
        <f t="shared" si="24"/>
        <v>#VALUE!</v>
      </c>
      <c r="E299" t="str">
        <f t="shared" si="25"/>
        <v/>
      </c>
    </row>
    <row r="300" spans="1:5">
      <c r="A300">
        <v>273</v>
      </c>
      <c r="B300" t="e">
        <f t="shared" si="22"/>
        <v>#VALUE!</v>
      </c>
      <c r="C300" t="e">
        <f t="shared" si="23"/>
        <v>#VALUE!</v>
      </c>
      <c r="D300" t="e">
        <f t="shared" si="24"/>
        <v>#VALUE!</v>
      </c>
      <c r="E300" t="str">
        <f t="shared" si="25"/>
        <v/>
      </c>
    </row>
    <row r="301" spans="1:5">
      <c r="A301">
        <v>274</v>
      </c>
      <c r="B301" t="e">
        <f t="shared" si="22"/>
        <v>#VALUE!</v>
      </c>
      <c r="C301" t="e">
        <f t="shared" si="23"/>
        <v>#VALUE!</v>
      </c>
      <c r="D301" t="e">
        <f t="shared" si="24"/>
        <v>#VALUE!</v>
      </c>
      <c r="E301" t="str">
        <f t="shared" si="25"/>
        <v/>
      </c>
    </row>
    <row r="302" spans="1:5">
      <c r="A302">
        <v>275</v>
      </c>
      <c r="B302" t="e">
        <f t="shared" si="22"/>
        <v>#VALUE!</v>
      </c>
      <c r="C302" t="e">
        <f t="shared" si="23"/>
        <v>#VALUE!</v>
      </c>
      <c r="D302" t="e">
        <f t="shared" si="24"/>
        <v>#VALUE!</v>
      </c>
      <c r="E302" t="str">
        <f t="shared" si="25"/>
        <v/>
      </c>
    </row>
    <row r="303" spans="1:5">
      <c r="A303">
        <v>276</v>
      </c>
      <c r="B303" t="e">
        <f t="shared" si="22"/>
        <v>#VALUE!</v>
      </c>
      <c r="C303" t="e">
        <f t="shared" si="23"/>
        <v>#VALUE!</v>
      </c>
      <c r="D303" t="e">
        <f t="shared" si="24"/>
        <v>#VALUE!</v>
      </c>
      <c r="E303" t="str">
        <f t="shared" si="25"/>
        <v/>
      </c>
    </row>
  </sheetData>
  <pageMargins left="0.7" right="0.7" top="0.78740157499999996" bottom="0.78740157499999996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dH"/>
  <dimension ref="A1:CE98"/>
  <sheetViews>
    <sheetView topLeftCell="A28" zoomScale="70" zoomScaleNormal="70" workbookViewId="0">
      <selection activeCell="AJ9" sqref="AJ9"/>
    </sheetView>
  </sheetViews>
  <sheetFormatPr baseColWidth="10" defaultColWidth="4.28515625" defaultRowHeight="15"/>
  <cols>
    <col min="2" max="2" width="5.85546875" bestFit="1" customWidth="1"/>
    <col min="12" max="12" width="2.85546875" bestFit="1" customWidth="1"/>
    <col min="14" max="14" width="3" bestFit="1" customWidth="1"/>
  </cols>
  <sheetData>
    <row r="1" spans="3:76" ht="15.75" thickBot="1"/>
    <row r="2" spans="3:76">
      <c r="C2" t="s">
        <v>84</v>
      </c>
      <c r="H2" s="6">
        <v>8</v>
      </c>
      <c r="I2" s="7" t="s">
        <v>2</v>
      </c>
      <c r="J2" s="7">
        <v>0</v>
      </c>
      <c r="K2" s="7">
        <v>0</v>
      </c>
      <c r="L2" s="7">
        <v>0</v>
      </c>
      <c r="M2" s="7">
        <v>0</v>
      </c>
      <c r="N2" s="7">
        <v>0</v>
      </c>
      <c r="O2" s="7">
        <v>0</v>
      </c>
      <c r="P2" s="7">
        <v>0</v>
      </c>
      <c r="Q2" s="7">
        <v>0</v>
      </c>
      <c r="R2" s="7">
        <v>1</v>
      </c>
      <c r="S2" s="7">
        <v>1</v>
      </c>
      <c r="T2" s="7">
        <v>1</v>
      </c>
      <c r="U2" s="7">
        <v>1</v>
      </c>
      <c r="V2" s="7">
        <v>1</v>
      </c>
      <c r="W2" s="7">
        <v>1</v>
      </c>
      <c r="X2" s="7">
        <v>1</v>
      </c>
      <c r="Y2" s="8">
        <v>1</v>
      </c>
      <c r="AC2" t="s">
        <v>85</v>
      </c>
      <c r="AH2" s="6">
        <v>8</v>
      </c>
      <c r="AI2" s="7" t="s">
        <v>2</v>
      </c>
      <c r="AJ2" s="7">
        <v>0</v>
      </c>
      <c r="AK2" s="7">
        <v>0</v>
      </c>
      <c r="AL2" s="7">
        <v>0</v>
      </c>
      <c r="AM2" s="7">
        <v>0</v>
      </c>
      <c r="AN2" s="7">
        <v>0</v>
      </c>
      <c r="AO2" s="7">
        <v>0</v>
      </c>
      <c r="AP2" s="7">
        <v>0</v>
      </c>
      <c r="AQ2" s="7">
        <v>0</v>
      </c>
      <c r="AR2" s="7">
        <v>1</v>
      </c>
      <c r="AS2" s="7">
        <v>1</v>
      </c>
      <c r="AT2" s="7">
        <v>1</v>
      </c>
      <c r="AU2" s="7">
        <v>1</v>
      </c>
      <c r="AV2" s="7">
        <v>1</v>
      </c>
      <c r="AW2" s="7">
        <v>1</v>
      </c>
      <c r="AX2" s="7">
        <v>1</v>
      </c>
      <c r="AY2" s="8">
        <v>1</v>
      </c>
      <c r="BB2" t="s">
        <v>105</v>
      </c>
      <c r="BG2" s="6">
        <v>8</v>
      </c>
      <c r="BH2" s="7" t="s">
        <v>2</v>
      </c>
      <c r="BI2" s="7">
        <v>0</v>
      </c>
      <c r="BJ2" s="7">
        <v>0</v>
      </c>
      <c r="BK2" s="7">
        <v>0</v>
      </c>
      <c r="BL2" s="7">
        <v>0</v>
      </c>
      <c r="BM2" s="7">
        <v>0</v>
      </c>
      <c r="BN2" s="7">
        <v>0</v>
      </c>
      <c r="BO2" s="7">
        <v>0</v>
      </c>
      <c r="BP2" s="7">
        <v>0</v>
      </c>
      <c r="BQ2" s="7">
        <v>1</v>
      </c>
      <c r="BR2" s="7">
        <v>1</v>
      </c>
      <c r="BS2" s="7">
        <v>1</v>
      </c>
      <c r="BT2" s="7">
        <v>1</v>
      </c>
      <c r="BU2" s="7">
        <v>1</v>
      </c>
      <c r="BV2" s="7">
        <v>1</v>
      </c>
      <c r="BW2" s="7">
        <v>1</v>
      </c>
      <c r="BX2" s="8">
        <v>1</v>
      </c>
    </row>
    <row r="3" spans="3:76">
      <c r="H3" s="9">
        <v>4</v>
      </c>
      <c r="I3" s="10" t="s">
        <v>1</v>
      </c>
      <c r="J3" s="10">
        <v>0</v>
      </c>
      <c r="K3" s="10">
        <v>0</v>
      </c>
      <c r="L3" s="10">
        <v>0</v>
      </c>
      <c r="M3" s="10">
        <v>0</v>
      </c>
      <c r="N3" s="10">
        <v>1</v>
      </c>
      <c r="O3" s="10">
        <v>1</v>
      </c>
      <c r="P3" s="10">
        <v>1</v>
      </c>
      <c r="Q3" s="10">
        <v>1</v>
      </c>
      <c r="R3" s="10">
        <v>0</v>
      </c>
      <c r="S3" s="10">
        <v>0</v>
      </c>
      <c r="T3" s="10">
        <v>0</v>
      </c>
      <c r="U3" s="10">
        <v>0</v>
      </c>
      <c r="V3" s="10">
        <v>1</v>
      </c>
      <c r="W3" s="10">
        <v>1</v>
      </c>
      <c r="X3" s="10">
        <v>1</v>
      </c>
      <c r="Y3" s="11">
        <v>1</v>
      </c>
      <c r="AH3" s="9">
        <v>4</v>
      </c>
      <c r="AI3" s="10" t="s">
        <v>1</v>
      </c>
      <c r="AJ3" s="10">
        <v>0</v>
      </c>
      <c r="AK3" s="10">
        <v>0</v>
      </c>
      <c r="AL3" s="10">
        <v>0</v>
      </c>
      <c r="AM3" s="10">
        <v>0</v>
      </c>
      <c r="AN3" s="10">
        <v>1</v>
      </c>
      <c r="AO3" s="10">
        <v>1</v>
      </c>
      <c r="AP3" s="10">
        <v>1</v>
      </c>
      <c r="AQ3" s="10">
        <v>1</v>
      </c>
      <c r="AR3" s="10">
        <v>0</v>
      </c>
      <c r="AS3" s="10">
        <v>0</v>
      </c>
      <c r="AT3" s="10">
        <v>0</v>
      </c>
      <c r="AU3" s="10">
        <v>0</v>
      </c>
      <c r="AV3" s="10">
        <v>1</v>
      </c>
      <c r="AW3" s="10">
        <v>1</v>
      </c>
      <c r="AX3" s="10">
        <v>1</v>
      </c>
      <c r="AY3" s="11">
        <v>1</v>
      </c>
      <c r="BG3" s="9">
        <v>4</v>
      </c>
      <c r="BH3" s="10" t="s">
        <v>1</v>
      </c>
      <c r="BI3" s="10">
        <v>0</v>
      </c>
      <c r="BJ3" s="10">
        <v>0</v>
      </c>
      <c r="BK3" s="10">
        <v>0</v>
      </c>
      <c r="BL3" s="10">
        <v>0</v>
      </c>
      <c r="BM3" s="10">
        <v>1</v>
      </c>
      <c r="BN3" s="10">
        <v>1</v>
      </c>
      <c r="BO3" s="10">
        <v>1</v>
      </c>
      <c r="BP3" s="10">
        <v>1</v>
      </c>
      <c r="BQ3" s="10">
        <v>0</v>
      </c>
      <c r="BR3" s="10">
        <v>0</v>
      </c>
      <c r="BS3" s="10">
        <v>0</v>
      </c>
      <c r="BT3" s="10">
        <v>0</v>
      </c>
      <c r="BU3" s="10">
        <v>1</v>
      </c>
      <c r="BV3" s="10">
        <v>1</v>
      </c>
      <c r="BW3" s="10">
        <v>1</v>
      </c>
      <c r="BX3" s="11">
        <v>1</v>
      </c>
    </row>
    <row r="4" spans="3:76">
      <c r="H4" s="9">
        <v>2</v>
      </c>
      <c r="I4" s="10" t="s">
        <v>4</v>
      </c>
      <c r="J4" s="10">
        <v>0</v>
      </c>
      <c r="K4" s="10">
        <v>0</v>
      </c>
      <c r="L4" s="10">
        <v>1</v>
      </c>
      <c r="M4" s="10">
        <v>1</v>
      </c>
      <c r="N4" s="10">
        <v>0</v>
      </c>
      <c r="O4" s="10">
        <v>0</v>
      </c>
      <c r="P4" s="10">
        <v>1</v>
      </c>
      <c r="Q4" s="10">
        <v>1</v>
      </c>
      <c r="R4" s="10">
        <v>0</v>
      </c>
      <c r="S4" s="10">
        <v>0</v>
      </c>
      <c r="T4" s="10">
        <v>1</v>
      </c>
      <c r="U4" s="10">
        <v>1</v>
      </c>
      <c r="V4" s="10">
        <v>0</v>
      </c>
      <c r="W4" s="10">
        <v>0</v>
      </c>
      <c r="X4" s="10">
        <v>1</v>
      </c>
      <c r="Y4" s="11">
        <v>1</v>
      </c>
      <c r="AH4" s="9">
        <v>2</v>
      </c>
      <c r="AI4" s="10" t="s">
        <v>4</v>
      </c>
      <c r="AJ4" s="10">
        <v>0</v>
      </c>
      <c r="AK4" s="10">
        <v>0</v>
      </c>
      <c r="AL4" s="10">
        <v>1</v>
      </c>
      <c r="AM4" s="10">
        <v>1</v>
      </c>
      <c r="AN4" s="10">
        <v>0</v>
      </c>
      <c r="AO4" s="10">
        <v>0</v>
      </c>
      <c r="AP4" s="10">
        <v>1</v>
      </c>
      <c r="AQ4" s="10">
        <v>1</v>
      </c>
      <c r="AR4" s="10">
        <v>0</v>
      </c>
      <c r="AS4" s="10">
        <v>0</v>
      </c>
      <c r="AT4" s="10">
        <v>1</v>
      </c>
      <c r="AU4" s="10">
        <v>1</v>
      </c>
      <c r="AV4" s="10">
        <v>0</v>
      </c>
      <c r="AW4" s="10">
        <v>0</v>
      </c>
      <c r="AX4" s="10">
        <v>1</v>
      </c>
      <c r="AY4" s="11">
        <v>1</v>
      </c>
      <c r="BG4" s="9">
        <v>2</v>
      </c>
      <c r="BH4" s="10" t="s">
        <v>4</v>
      </c>
      <c r="BI4" s="10">
        <v>0</v>
      </c>
      <c r="BJ4" s="10">
        <v>0</v>
      </c>
      <c r="BK4" s="10">
        <v>1</v>
      </c>
      <c r="BL4" s="10">
        <v>1</v>
      </c>
      <c r="BM4" s="10">
        <v>0</v>
      </c>
      <c r="BN4" s="10">
        <v>0</v>
      </c>
      <c r="BO4" s="10">
        <v>1</v>
      </c>
      <c r="BP4" s="10">
        <v>1</v>
      </c>
      <c r="BQ4" s="10">
        <v>0</v>
      </c>
      <c r="BR4" s="10">
        <v>0</v>
      </c>
      <c r="BS4" s="10">
        <v>1</v>
      </c>
      <c r="BT4" s="10">
        <v>1</v>
      </c>
      <c r="BU4" s="10">
        <v>0</v>
      </c>
      <c r="BV4" s="10">
        <v>0</v>
      </c>
      <c r="BW4" s="10">
        <v>1</v>
      </c>
      <c r="BX4" s="11">
        <v>1</v>
      </c>
    </row>
    <row r="5" spans="3:76" ht="15.75" thickBot="1">
      <c r="H5" s="12">
        <v>1</v>
      </c>
      <c r="I5" s="13" t="s">
        <v>3</v>
      </c>
      <c r="J5" s="13">
        <v>0</v>
      </c>
      <c r="K5" s="13">
        <v>1</v>
      </c>
      <c r="L5" s="13">
        <v>0</v>
      </c>
      <c r="M5" s="13">
        <v>1</v>
      </c>
      <c r="N5" s="13">
        <v>0</v>
      </c>
      <c r="O5" s="13">
        <v>1</v>
      </c>
      <c r="P5" s="13">
        <v>0</v>
      </c>
      <c r="Q5" s="13">
        <v>1</v>
      </c>
      <c r="R5" s="13">
        <v>0</v>
      </c>
      <c r="S5" s="13">
        <v>1</v>
      </c>
      <c r="T5" s="13">
        <v>0</v>
      </c>
      <c r="U5" s="13">
        <v>1</v>
      </c>
      <c r="V5" s="13">
        <v>0</v>
      </c>
      <c r="W5" s="13">
        <v>1</v>
      </c>
      <c r="X5" s="13">
        <v>0</v>
      </c>
      <c r="Y5" s="14">
        <v>1</v>
      </c>
      <c r="AH5" s="12">
        <v>1</v>
      </c>
      <c r="AI5" s="13" t="s">
        <v>3</v>
      </c>
      <c r="AJ5" s="13">
        <v>0</v>
      </c>
      <c r="AK5" s="13">
        <v>1</v>
      </c>
      <c r="AL5" s="13">
        <v>0</v>
      </c>
      <c r="AM5" s="13">
        <v>1</v>
      </c>
      <c r="AN5" s="13">
        <v>0</v>
      </c>
      <c r="AO5" s="13">
        <v>1</v>
      </c>
      <c r="AP5" s="13">
        <v>0</v>
      </c>
      <c r="AQ5" s="13">
        <v>1</v>
      </c>
      <c r="AR5" s="13">
        <v>0</v>
      </c>
      <c r="AS5" s="13">
        <v>1</v>
      </c>
      <c r="AT5" s="13">
        <v>0</v>
      </c>
      <c r="AU5" s="13">
        <v>1</v>
      </c>
      <c r="AV5" s="13">
        <v>0</v>
      </c>
      <c r="AW5" s="13">
        <v>1</v>
      </c>
      <c r="AX5" s="13">
        <v>0</v>
      </c>
      <c r="AY5" s="14">
        <v>1</v>
      </c>
      <c r="BG5" s="12">
        <v>1</v>
      </c>
      <c r="BH5" s="13" t="s">
        <v>3</v>
      </c>
      <c r="BI5" s="13">
        <v>0</v>
      </c>
      <c r="BJ5" s="13">
        <v>1</v>
      </c>
      <c r="BK5" s="13">
        <v>0</v>
      </c>
      <c r="BL5" s="13">
        <v>1</v>
      </c>
      <c r="BM5" s="13">
        <v>0</v>
      </c>
      <c r="BN5" s="13">
        <v>1</v>
      </c>
      <c r="BO5" s="13">
        <v>0</v>
      </c>
      <c r="BP5" s="13">
        <v>1</v>
      </c>
      <c r="BQ5" s="13">
        <v>0</v>
      </c>
      <c r="BR5" s="13">
        <v>1</v>
      </c>
      <c r="BS5" s="13">
        <v>0</v>
      </c>
      <c r="BT5" s="13">
        <v>1</v>
      </c>
      <c r="BU5" s="13">
        <v>0</v>
      </c>
      <c r="BV5" s="13">
        <v>1</v>
      </c>
      <c r="BW5" s="13">
        <v>0</v>
      </c>
      <c r="BX5" s="14">
        <v>1</v>
      </c>
    </row>
    <row r="6" spans="3:76" ht="32.25" thickBot="1">
      <c r="J6" s="52" t="s">
        <v>0</v>
      </c>
      <c r="K6" s="48" t="s">
        <v>3</v>
      </c>
      <c r="L6" s="48" t="s">
        <v>4</v>
      </c>
      <c r="M6" s="48" t="s">
        <v>8</v>
      </c>
      <c r="N6" s="48" t="s">
        <v>1</v>
      </c>
      <c r="O6" s="48" t="s">
        <v>10</v>
      </c>
      <c r="P6" s="48" t="s">
        <v>11</v>
      </c>
      <c r="Q6" s="48" t="s">
        <v>13</v>
      </c>
      <c r="R6" s="48" t="s">
        <v>2</v>
      </c>
      <c r="S6" s="48" t="s">
        <v>14</v>
      </c>
      <c r="T6" s="48" t="s">
        <v>16</v>
      </c>
      <c r="U6" s="48" t="s">
        <v>18</v>
      </c>
      <c r="V6" s="48" t="s">
        <v>20</v>
      </c>
      <c r="W6" s="48" t="s">
        <v>22</v>
      </c>
      <c r="X6" s="48" t="s">
        <v>24</v>
      </c>
      <c r="Y6" s="48" t="s">
        <v>26</v>
      </c>
      <c r="AJ6" s="52" t="s">
        <v>0</v>
      </c>
      <c r="AK6" s="48" t="s">
        <v>3</v>
      </c>
      <c r="AL6" s="48" t="s">
        <v>4</v>
      </c>
      <c r="AM6" s="48" t="s">
        <v>8</v>
      </c>
      <c r="AN6" s="48" t="s">
        <v>1</v>
      </c>
      <c r="AO6" s="48" t="s">
        <v>10</v>
      </c>
      <c r="AP6" s="48" t="s">
        <v>11</v>
      </c>
      <c r="AQ6" s="48" t="s">
        <v>13</v>
      </c>
      <c r="AR6" s="48" t="s">
        <v>2</v>
      </c>
      <c r="AS6" s="48" t="s">
        <v>14</v>
      </c>
      <c r="AT6" s="48" t="s">
        <v>16</v>
      </c>
      <c r="AU6" s="48" t="s">
        <v>18</v>
      </c>
      <c r="AV6" s="48" t="s">
        <v>20</v>
      </c>
      <c r="AW6" s="48" t="s">
        <v>22</v>
      </c>
      <c r="AX6" s="48" t="s">
        <v>24</v>
      </c>
      <c r="AY6" s="48" t="s">
        <v>26</v>
      </c>
      <c r="BI6" s="52" t="s">
        <v>0</v>
      </c>
      <c r="BJ6" s="48" t="s">
        <v>3</v>
      </c>
      <c r="BK6" s="48" t="s">
        <v>4</v>
      </c>
      <c r="BL6" s="48" t="s">
        <v>8</v>
      </c>
      <c r="BM6" s="48" t="s">
        <v>1</v>
      </c>
      <c r="BN6" s="48" t="s">
        <v>10</v>
      </c>
      <c r="BO6" s="48" t="s">
        <v>11</v>
      </c>
      <c r="BP6" s="48" t="s">
        <v>13</v>
      </c>
      <c r="BQ6" s="48" t="s">
        <v>2</v>
      </c>
      <c r="BR6" s="48" t="s">
        <v>14</v>
      </c>
      <c r="BS6" s="48" t="s">
        <v>16</v>
      </c>
      <c r="BT6" s="48" t="s">
        <v>18</v>
      </c>
      <c r="BU6" s="48" t="s">
        <v>20</v>
      </c>
      <c r="BV6" s="48" t="s">
        <v>22</v>
      </c>
      <c r="BW6" s="48" t="s">
        <v>24</v>
      </c>
      <c r="BX6" s="48" t="s">
        <v>26</v>
      </c>
    </row>
    <row r="7" spans="3:76" ht="15.75" thickBot="1">
      <c r="C7" s="5">
        <v>8</v>
      </c>
      <c r="D7" s="5">
        <v>4</v>
      </c>
      <c r="E7" s="5">
        <v>2</v>
      </c>
      <c r="F7" s="5">
        <v>1</v>
      </c>
      <c r="G7" s="5"/>
      <c r="J7" s="6">
        <v>0</v>
      </c>
      <c r="K7" s="9">
        <v>1</v>
      </c>
      <c r="L7" s="9">
        <v>2</v>
      </c>
      <c r="M7" s="12">
        <v>3</v>
      </c>
      <c r="N7" s="5">
        <v>4</v>
      </c>
      <c r="O7" s="5">
        <v>5</v>
      </c>
      <c r="P7" s="5">
        <v>6</v>
      </c>
      <c r="Q7" s="5">
        <v>7</v>
      </c>
      <c r="R7" s="6">
        <v>8</v>
      </c>
      <c r="S7" s="9">
        <v>9</v>
      </c>
      <c r="T7" s="9">
        <v>10</v>
      </c>
      <c r="U7" s="12">
        <v>11</v>
      </c>
      <c r="V7" s="5">
        <v>12</v>
      </c>
      <c r="W7" s="5">
        <v>13</v>
      </c>
      <c r="X7" s="5">
        <v>14</v>
      </c>
      <c r="Y7" s="5">
        <v>15</v>
      </c>
      <c r="AC7" s="5">
        <v>8</v>
      </c>
      <c r="AD7" s="5">
        <v>4</v>
      </c>
      <c r="AE7" s="5">
        <v>2</v>
      </c>
      <c r="AF7" s="5">
        <v>1</v>
      </c>
      <c r="AG7" s="5"/>
      <c r="AJ7" s="6">
        <v>0</v>
      </c>
      <c r="AK7" s="9">
        <v>1</v>
      </c>
      <c r="AL7" s="9">
        <v>2</v>
      </c>
      <c r="AM7" s="12">
        <v>3</v>
      </c>
      <c r="AN7" s="5">
        <v>4</v>
      </c>
      <c r="AO7" s="5">
        <v>5</v>
      </c>
      <c r="AP7" s="5">
        <v>6</v>
      </c>
      <c r="AQ7" s="5">
        <v>7</v>
      </c>
      <c r="AR7" s="6">
        <v>8</v>
      </c>
      <c r="AS7" s="9">
        <v>9</v>
      </c>
      <c r="AT7" s="9">
        <v>10</v>
      </c>
      <c r="AU7" s="12">
        <v>11</v>
      </c>
      <c r="AV7" s="5">
        <v>12</v>
      </c>
      <c r="AW7" s="5">
        <v>13</v>
      </c>
      <c r="AX7" s="5">
        <v>14</v>
      </c>
      <c r="AY7" s="5">
        <v>15</v>
      </c>
      <c r="BB7" s="5">
        <v>8</v>
      </c>
      <c r="BC7" s="5">
        <v>4</v>
      </c>
      <c r="BD7" s="5">
        <v>2</v>
      </c>
      <c r="BE7" s="5">
        <v>1</v>
      </c>
      <c r="BF7" s="5"/>
      <c r="BI7" s="6">
        <v>0</v>
      </c>
      <c r="BJ7" s="9">
        <v>1</v>
      </c>
      <c r="BK7" s="9">
        <v>2</v>
      </c>
      <c r="BL7" s="12">
        <v>3</v>
      </c>
      <c r="BM7" s="5">
        <v>4</v>
      </c>
      <c r="BN7" s="5">
        <v>5</v>
      </c>
      <c r="BO7" s="5">
        <v>6</v>
      </c>
      <c r="BP7" s="5">
        <v>7</v>
      </c>
      <c r="BQ7" s="6">
        <v>8</v>
      </c>
      <c r="BR7" s="9">
        <v>9</v>
      </c>
      <c r="BS7" s="9">
        <v>10</v>
      </c>
      <c r="BT7" s="12">
        <v>11</v>
      </c>
      <c r="BU7" s="5">
        <v>12</v>
      </c>
      <c r="BV7" s="5">
        <v>13</v>
      </c>
      <c r="BW7" s="5">
        <v>14</v>
      </c>
      <c r="BX7" s="5">
        <v>15</v>
      </c>
    </row>
    <row r="8" spans="3:76" ht="15.75" thickBot="1">
      <c r="C8" s="5" t="s">
        <v>2</v>
      </c>
      <c r="D8" s="5" t="s">
        <v>1</v>
      </c>
      <c r="E8" s="5" t="s">
        <v>4</v>
      </c>
      <c r="F8" s="5" t="s">
        <v>3</v>
      </c>
      <c r="G8" s="5"/>
      <c r="J8" s="4" t="s">
        <v>0</v>
      </c>
      <c r="K8" s="3" t="s">
        <v>3</v>
      </c>
      <c r="L8" s="3" t="s">
        <v>4</v>
      </c>
      <c r="M8" s="3" t="s">
        <v>7</v>
      </c>
      <c r="N8" s="1" t="s">
        <v>1</v>
      </c>
      <c r="O8" s="1" t="s">
        <v>9</v>
      </c>
      <c r="P8" s="1" t="s">
        <v>6</v>
      </c>
      <c r="Q8" s="1" t="s">
        <v>12</v>
      </c>
      <c r="R8" s="4" t="s">
        <v>2</v>
      </c>
      <c r="S8" s="3" t="s">
        <v>5</v>
      </c>
      <c r="T8" s="3" t="s">
        <v>15</v>
      </c>
      <c r="U8" s="3" t="s">
        <v>17</v>
      </c>
      <c r="V8" s="3" t="s">
        <v>19</v>
      </c>
      <c r="W8" s="3" t="s">
        <v>21</v>
      </c>
      <c r="X8" s="3" t="s">
        <v>23</v>
      </c>
      <c r="Y8" s="1" t="s">
        <v>25</v>
      </c>
      <c r="AC8" s="5" t="s">
        <v>2</v>
      </c>
      <c r="AD8" s="5" t="s">
        <v>1</v>
      </c>
      <c r="AE8" s="5" t="s">
        <v>4</v>
      </c>
      <c r="AF8" s="5" t="s">
        <v>3</v>
      </c>
      <c r="AG8" s="5"/>
      <c r="AJ8" s="4" t="s">
        <v>0</v>
      </c>
      <c r="AK8" s="3" t="s">
        <v>3</v>
      </c>
      <c r="AL8" s="3" t="s">
        <v>4</v>
      </c>
      <c r="AM8" s="3" t="s">
        <v>7</v>
      </c>
      <c r="AN8" s="1" t="s">
        <v>1</v>
      </c>
      <c r="AO8" s="1" t="s">
        <v>9</v>
      </c>
      <c r="AP8" s="1" t="s">
        <v>6</v>
      </c>
      <c r="AQ8" s="1" t="s">
        <v>12</v>
      </c>
      <c r="AR8" s="4" t="s">
        <v>2</v>
      </c>
      <c r="AS8" s="3" t="s">
        <v>5</v>
      </c>
      <c r="AT8" s="3" t="s">
        <v>15</v>
      </c>
      <c r="AU8" s="3" t="s">
        <v>17</v>
      </c>
      <c r="AV8" s="3" t="s">
        <v>19</v>
      </c>
      <c r="AW8" s="3" t="s">
        <v>21</v>
      </c>
      <c r="AX8" s="3" t="s">
        <v>23</v>
      </c>
      <c r="AY8" s="1" t="s">
        <v>25</v>
      </c>
      <c r="BB8" s="5" t="s">
        <v>2</v>
      </c>
      <c r="BC8" s="5" t="s">
        <v>1</v>
      </c>
      <c r="BD8" s="5" t="s">
        <v>4</v>
      </c>
      <c r="BE8" s="5" t="s">
        <v>3</v>
      </c>
      <c r="BF8" s="5"/>
      <c r="BI8" s="4" t="s">
        <v>0</v>
      </c>
      <c r="BJ8" s="3" t="s">
        <v>3</v>
      </c>
      <c r="BK8" s="3" t="s">
        <v>4</v>
      </c>
      <c r="BL8" s="3" t="s">
        <v>7</v>
      </c>
      <c r="BM8" s="1" t="s">
        <v>1</v>
      </c>
      <c r="BN8" s="1" t="s">
        <v>9</v>
      </c>
      <c r="BO8" s="1" t="s">
        <v>6</v>
      </c>
      <c r="BP8" s="1" t="s">
        <v>12</v>
      </c>
      <c r="BQ8" s="4" t="s">
        <v>2</v>
      </c>
      <c r="BR8" s="3" t="s">
        <v>5</v>
      </c>
      <c r="BS8" s="3" t="s">
        <v>15</v>
      </c>
      <c r="BT8" s="3" t="s">
        <v>17</v>
      </c>
      <c r="BU8" s="3" t="s">
        <v>19</v>
      </c>
      <c r="BV8" s="3" t="s">
        <v>21</v>
      </c>
      <c r="BW8" s="3" t="s">
        <v>23</v>
      </c>
      <c r="BX8" s="1" t="s">
        <v>25</v>
      </c>
    </row>
    <row r="9" spans="3:76">
      <c r="C9" s="7">
        <v>0</v>
      </c>
      <c r="D9" s="7">
        <v>0</v>
      </c>
      <c r="E9" s="7">
        <v>0</v>
      </c>
      <c r="F9" s="8">
        <v>0</v>
      </c>
      <c r="G9" s="7" t="s">
        <v>0</v>
      </c>
      <c r="H9" s="6">
        <v>0</v>
      </c>
      <c r="I9" s="4" t="s">
        <v>0</v>
      </c>
      <c r="J9" s="83">
        <f t="shared" ref="J9:Y18" ca="1" si="0">MIN(OFFSET(dH,$H9*4,J$7*4,4,4))</f>
        <v>0</v>
      </c>
      <c r="K9" s="84">
        <f t="shared" ca="1" si="0"/>
        <v>0</v>
      </c>
      <c r="L9" s="84">
        <f t="shared" ca="1" si="0"/>
        <v>0</v>
      </c>
      <c r="M9" s="84">
        <f t="shared" ca="1" si="0"/>
        <v>0</v>
      </c>
      <c r="N9" s="83">
        <f t="shared" ca="1" si="0"/>
        <v>0</v>
      </c>
      <c r="O9" s="84">
        <f t="shared" ca="1" si="0"/>
        <v>0</v>
      </c>
      <c r="P9" s="84">
        <f t="shared" ca="1" si="0"/>
        <v>0</v>
      </c>
      <c r="Q9" s="85">
        <f t="shared" ca="1" si="0"/>
        <v>0</v>
      </c>
      <c r="R9" s="84">
        <f t="shared" ca="1" si="0"/>
        <v>0</v>
      </c>
      <c r="S9" s="84">
        <f t="shared" ca="1" si="0"/>
        <v>0</v>
      </c>
      <c r="T9" s="84">
        <f t="shared" ca="1" si="0"/>
        <v>0</v>
      </c>
      <c r="U9" s="84">
        <f t="shared" ca="1" si="0"/>
        <v>0</v>
      </c>
      <c r="V9" s="83">
        <f t="shared" ca="1" si="0"/>
        <v>0</v>
      </c>
      <c r="W9" s="84">
        <f t="shared" ca="1" si="0"/>
        <v>0</v>
      </c>
      <c r="X9" s="84">
        <f t="shared" ca="1" si="0"/>
        <v>0</v>
      </c>
      <c r="Y9" s="85">
        <f t="shared" ca="1" si="0"/>
        <v>0</v>
      </c>
      <c r="AC9" s="7">
        <v>0</v>
      </c>
      <c r="AD9" s="7">
        <v>0</v>
      </c>
      <c r="AE9" s="7">
        <v>0</v>
      </c>
      <c r="AF9" s="8">
        <v>0</v>
      </c>
      <c r="AG9" s="7" t="s">
        <v>0</v>
      </c>
      <c r="AH9" s="6">
        <v>0</v>
      </c>
      <c r="AI9" s="4" t="s">
        <v>0</v>
      </c>
      <c r="AJ9" s="83">
        <f t="shared" ref="AJ9:AY18" ca="1" si="1">MAX(OFFSET(dH,$H9*4,AJ$7*4,4,4))</f>
        <v>0</v>
      </c>
      <c r="AK9" s="84">
        <f t="shared" ca="1" si="1"/>
        <v>0</v>
      </c>
      <c r="AL9" s="84">
        <f t="shared" ca="1" si="1"/>
        <v>0</v>
      </c>
      <c r="AM9" s="84">
        <f t="shared" ca="1" si="1"/>
        <v>0</v>
      </c>
      <c r="AN9" s="83">
        <f t="shared" ca="1" si="1"/>
        <v>0</v>
      </c>
      <c r="AO9" s="84">
        <f t="shared" ca="1" si="1"/>
        <v>0</v>
      </c>
      <c r="AP9" s="84">
        <f t="shared" ca="1" si="1"/>
        <v>0</v>
      </c>
      <c r="AQ9" s="85">
        <f t="shared" ca="1" si="1"/>
        <v>0</v>
      </c>
      <c r="AR9" s="84">
        <f t="shared" ca="1" si="1"/>
        <v>0</v>
      </c>
      <c r="AS9" s="84">
        <f t="shared" ca="1" si="1"/>
        <v>0</v>
      </c>
      <c r="AT9" s="84">
        <f t="shared" ca="1" si="1"/>
        <v>0</v>
      </c>
      <c r="AU9" s="84">
        <f t="shared" ca="1" si="1"/>
        <v>0</v>
      </c>
      <c r="AV9" s="83">
        <f t="shared" ca="1" si="1"/>
        <v>0</v>
      </c>
      <c r="AW9" s="84">
        <f t="shared" ca="1" si="1"/>
        <v>0</v>
      </c>
      <c r="AX9" s="84">
        <f t="shared" ca="1" si="1"/>
        <v>0</v>
      </c>
      <c r="AY9" s="85">
        <f t="shared" ca="1" si="1"/>
        <v>0</v>
      </c>
      <c r="BB9" s="7">
        <v>0</v>
      </c>
      <c r="BC9" s="7">
        <v>0</v>
      </c>
      <c r="BD9" s="7">
        <v>0</v>
      </c>
      <c r="BE9" s="8">
        <v>0</v>
      </c>
      <c r="BF9" s="7" t="s">
        <v>0</v>
      </c>
      <c r="BG9" s="6">
        <v>0</v>
      </c>
      <c r="BH9" s="4" t="s">
        <v>0</v>
      </c>
      <c r="BI9" s="83">
        <f t="shared" ref="BI9:BI24" ca="1" si="2">AJ9-J9</f>
        <v>0</v>
      </c>
      <c r="BJ9" s="84">
        <f ca="1">AK9-K9</f>
        <v>0</v>
      </c>
      <c r="BK9" s="84">
        <f t="shared" ref="BK9:BK24" ca="1" si="3">AL9-L9</f>
        <v>0</v>
      </c>
      <c r="BL9" s="84">
        <f t="shared" ref="BL9:BL24" ca="1" si="4">AM9-M9</f>
        <v>0</v>
      </c>
      <c r="BM9" s="83">
        <f t="shared" ref="BM9:BM24" ca="1" si="5">AN9-N9</f>
        <v>0</v>
      </c>
      <c r="BN9" s="84">
        <f t="shared" ref="BN9:BN24" ca="1" si="6">AO9-O9</f>
        <v>0</v>
      </c>
      <c r="BO9" s="84">
        <f t="shared" ref="BO9:BO24" ca="1" si="7">AP9-P9</f>
        <v>0</v>
      </c>
      <c r="BP9" s="85">
        <f t="shared" ref="BP9:BP24" ca="1" si="8">AQ9-Q9</f>
        <v>0</v>
      </c>
      <c r="BQ9" s="84">
        <f t="shared" ref="BQ9:BQ24" ca="1" si="9">AR9-R9</f>
        <v>0</v>
      </c>
      <c r="BR9" s="84">
        <f t="shared" ref="BR9:BR24" ca="1" si="10">AS9-S9</f>
        <v>0</v>
      </c>
      <c r="BS9" s="84">
        <f t="shared" ref="BS9:BS24" ca="1" si="11">AT9-T9</f>
        <v>0</v>
      </c>
      <c r="BT9" s="84">
        <f t="shared" ref="BT9:BT24" ca="1" si="12">AU9-U9</f>
        <v>0</v>
      </c>
      <c r="BU9" s="83">
        <f t="shared" ref="BU9:BU24" ca="1" si="13">AV9-V9</f>
        <v>0</v>
      </c>
      <c r="BV9" s="84">
        <f t="shared" ref="BV9:BV24" ca="1" si="14">AW9-W9</f>
        <v>0</v>
      </c>
      <c r="BW9" s="84">
        <f t="shared" ref="BW9:BW24" ca="1" si="15">AX9-X9</f>
        <v>0</v>
      </c>
      <c r="BX9" s="85">
        <f t="shared" ref="BX9:BX24" ca="1" si="16">AY9-Y9</f>
        <v>0</v>
      </c>
    </row>
    <row r="10" spans="3:76">
      <c r="C10" s="10">
        <v>0</v>
      </c>
      <c r="D10" s="10">
        <v>0</v>
      </c>
      <c r="E10" s="10">
        <v>0</v>
      </c>
      <c r="F10" s="11">
        <v>1</v>
      </c>
      <c r="G10" s="5" t="s">
        <v>3</v>
      </c>
      <c r="H10" s="9">
        <v>1</v>
      </c>
      <c r="I10" s="3" t="s">
        <v>3</v>
      </c>
      <c r="J10" s="87">
        <f t="shared" ca="1" si="0"/>
        <v>0</v>
      </c>
      <c r="K10" s="32">
        <f t="shared" ca="1" si="0"/>
        <v>6.7</v>
      </c>
      <c r="L10" s="32">
        <f t="shared" ca="1" si="0"/>
        <v>11.1</v>
      </c>
      <c r="M10" s="32">
        <f t="shared" ca="1" si="0"/>
        <v>6.7</v>
      </c>
      <c r="N10" s="87">
        <f t="shared" ca="1" si="0"/>
        <v>8.6</v>
      </c>
      <c r="O10" s="32">
        <f t="shared" ca="1" si="0"/>
        <v>6.7</v>
      </c>
      <c r="P10" s="32">
        <f t="shared" ca="1" si="0"/>
        <v>8.6</v>
      </c>
      <c r="Q10" s="36">
        <f t="shared" ca="1" si="0"/>
        <v>6.7</v>
      </c>
      <c r="R10" s="32">
        <f t="shared" ca="1" si="0"/>
        <v>7.7</v>
      </c>
      <c r="S10" s="32">
        <f t="shared" ca="1" si="0"/>
        <v>6.7</v>
      </c>
      <c r="T10" s="32">
        <f t="shared" ca="1" si="0"/>
        <v>7.7</v>
      </c>
      <c r="U10" s="32">
        <f t="shared" ca="1" si="0"/>
        <v>6.7</v>
      </c>
      <c r="V10" s="87">
        <f t="shared" ca="1" si="0"/>
        <v>7.7</v>
      </c>
      <c r="W10" s="32">
        <f t="shared" ca="1" si="0"/>
        <v>6.7</v>
      </c>
      <c r="X10" s="32">
        <f t="shared" ca="1" si="0"/>
        <v>7.7</v>
      </c>
      <c r="Y10" s="36">
        <f t="shared" ca="1" si="0"/>
        <v>6.7</v>
      </c>
      <c r="AC10" s="10">
        <v>0</v>
      </c>
      <c r="AD10" s="10">
        <v>0</v>
      </c>
      <c r="AE10" s="10">
        <v>0</v>
      </c>
      <c r="AF10" s="11">
        <v>1</v>
      </c>
      <c r="AG10" s="5" t="s">
        <v>3</v>
      </c>
      <c r="AH10" s="9">
        <v>1</v>
      </c>
      <c r="AI10" s="3" t="s">
        <v>3</v>
      </c>
      <c r="AJ10" s="87">
        <f t="shared" ca="1" si="1"/>
        <v>0</v>
      </c>
      <c r="AK10" s="32">
        <f t="shared" ca="1" si="1"/>
        <v>6.7</v>
      </c>
      <c r="AL10" s="32">
        <f t="shared" ca="1" si="1"/>
        <v>11.1</v>
      </c>
      <c r="AM10" s="32">
        <f t="shared" ca="1" si="1"/>
        <v>11.1</v>
      </c>
      <c r="AN10" s="87">
        <f t="shared" ca="1" si="1"/>
        <v>8.6</v>
      </c>
      <c r="AO10" s="32">
        <f t="shared" ca="1" si="1"/>
        <v>8.6</v>
      </c>
      <c r="AP10" s="32">
        <f t="shared" ca="1" si="1"/>
        <v>11.1</v>
      </c>
      <c r="AQ10" s="36">
        <f t="shared" ca="1" si="1"/>
        <v>11.1</v>
      </c>
      <c r="AR10" s="32">
        <f t="shared" ca="1" si="1"/>
        <v>7.7</v>
      </c>
      <c r="AS10" s="32">
        <f t="shared" ca="1" si="1"/>
        <v>7.7</v>
      </c>
      <c r="AT10" s="32">
        <f t="shared" ca="1" si="1"/>
        <v>11.1</v>
      </c>
      <c r="AU10" s="32">
        <f t="shared" ca="1" si="1"/>
        <v>11.1</v>
      </c>
      <c r="AV10" s="87">
        <f t="shared" ca="1" si="1"/>
        <v>8.6</v>
      </c>
      <c r="AW10" s="32">
        <f t="shared" ca="1" si="1"/>
        <v>8.6</v>
      </c>
      <c r="AX10" s="32">
        <f t="shared" ca="1" si="1"/>
        <v>11.1</v>
      </c>
      <c r="AY10" s="36">
        <f t="shared" ca="1" si="1"/>
        <v>11.1</v>
      </c>
      <c r="BB10" s="10">
        <v>0</v>
      </c>
      <c r="BC10" s="10">
        <v>0</v>
      </c>
      <c r="BD10" s="10">
        <v>0</v>
      </c>
      <c r="BE10" s="11">
        <v>1</v>
      </c>
      <c r="BF10" s="5" t="s">
        <v>3</v>
      </c>
      <c r="BG10" s="9">
        <v>1</v>
      </c>
      <c r="BH10" s="3" t="s">
        <v>3</v>
      </c>
      <c r="BI10" s="87">
        <f t="shared" ca="1" si="2"/>
        <v>0</v>
      </c>
      <c r="BJ10" s="32">
        <f t="shared" ref="BJ10:BJ24" ca="1" si="17">AK10-K10</f>
        <v>0</v>
      </c>
      <c r="BK10" s="32">
        <f t="shared" ca="1" si="3"/>
        <v>0</v>
      </c>
      <c r="BL10" s="32">
        <f t="shared" ca="1" si="4"/>
        <v>4.3999999999999995</v>
      </c>
      <c r="BM10" s="87">
        <f t="shared" ca="1" si="5"/>
        <v>0</v>
      </c>
      <c r="BN10" s="32">
        <f t="shared" ca="1" si="6"/>
        <v>1.8999999999999995</v>
      </c>
      <c r="BO10" s="32">
        <f t="shared" ca="1" si="7"/>
        <v>2.5</v>
      </c>
      <c r="BP10" s="36">
        <f t="shared" ca="1" si="8"/>
        <v>4.3999999999999995</v>
      </c>
      <c r="BQ10" s="32">
        <f t="shared" ca="1" si="9"/>
        <v>0</v>
      </c>
      <c r="BR10" s="32">
        <f t="shared" ca="1" si="10"/>
        <v>1</v>
      </c>
      <c r="BS10" s="32">
        <f t="shared" ca="1" si="11"/>
        <v>3.3999999999999995</v>
      </c>
      <c r="BT10" s="32">
        <f t="shared" ca="1" si="12"/>
        <v>4.3999999999999995</v>
      </c>
      <c r="BU10" s="87">
        <f t="shared" ca="1" si="13"/>
        <v>0.89999999999999947</v>
      </c>
      <c r="BV10" s="32">
        <f t="shared" ca="1" si="14"/>
        <v>1.8999999999999995</v>
      </c>
      <c r="BW10" s="32">
        <f t="shared" ca="1" si="15"/>
        <v>3.3999999999999995</v>
      </c>
      <c r="BX10" s="36">
        <f t="shared" ca="1" si="16"/>
        <v>4.3999999999999995</v>
      </c>
    </row>
    <row r="11" spans="3:76">
      <c r="C11" s="10">
        <v>0</v>
      </c>
      <c r="D11" s="10">
        <v>0</v>
      </c>
      <c r="E11" s="10">
        <v>1</v>
      </c>
      <c r="F11" s="11">
        <v>0</v>
      </c>
      <c r="G11" s="5" t="s">
        <v>4</v>
      </c>
      <c r="H11" s="9">
        <v>2</v>
      </c>
      <c r="I11" s="3" t="s">
        <v>4</v>
      </c>
      <c r="J11" s="87">
        <f t="shared" ca="1" si="0"/>
        <v>0</v>
      </c>
      <c r="K11" s="32">
        <f t="shared" ca="1" si="0"/>
        <v>10.1</v>
      </c>
      <c r="L11" s="32">
        <f t="shared" ca="1" si="0"/>
        <v>6.7</v>
      </c>
      <c r="M11" s="32">
        <f t="shared" ca="1" si="0"/>
        <v>6.7</v>
      </c>
      <c r="N11" s="87">
        <f t="shared" ca="1" si="0"/>
        <v>6.1</v>
      </c>
      <c r="O11" s="32">
        <f t="shared" ca="1" si="0"/>
        <v>6.1</v>
      </c>
      <c r="P11" s="32">
        <f t="shared" ca="1" si="0"/>
        <v>6.1</v>
      </c>
      <c r="Q11" s="36">
        <f t="shared" ca="1" si="0"/>
        <v>6.1</v>
      </c>
      <c r="R11" s="32">
        <f t="shared" ca="1" si="0"/>
        <v>7.4</v>
      </c>
      <c r="S11" s="32">
        <f t="shared" ca="1" si="0"/>
        <v>7.4</v>
      </c>
      <c r="T11" s="32">
        <f t="shared" ca="1" si="0"/>
        <v>6.7</v>
      </c>
      <c r="U11" s="32">
        <f t="shared" ca="1" si="0"/>
        <v>6.7</v>
      </c>
      <c r="V11" s="87">
        <f t="shared" ca="1" si="0"/>
        <v>6.1</v>
      </c>
      <c r="W11" s="32">
        <f t="shared" ca="1" si="0"/>
        <v>6.1</v>
      </c>
      <c r="X11" s="32">
        <f t="shared" ca="1" si="0"/>
        <v>6.1</v>
      </c>
      <c r="Y11" s="36">
        <f t="shared" ca="1" si="0"/>
        <v>6.1</v>
      </c>
      <c r="AC11" s="10">
        <v>0</v>
      </c>
      <c r="AD11" s="10">
        <v>0</v>
      </c>
      <c r="AE11" s="10">
        <v>1</v>
      </c>
      <c r="AF11" s="11">
        <v>0</v>
      </c>
      <c r="AG11" s="5" t="s">
        <v>4</v>
      </c>
      <c r="AH11" s="9">
        <v>2</v>
      </c>
      <c r="AI11" s="3" t="s">
        <v>4</v>
      </c>
      <c r="AJ11" s="87">
        <f t="shared" ca="1" si="1"/>
        <v>0</v>
      </c>
      <c r="AK11" s="32">
        <f t="shared" ca="1" si="1"/>
        <v>10.1</v>
      </c>
      <c r="AL11" s="32">
        <f t="shared" ca="1" si="1"/>
        <v>6.7</v>
      </c>
      <c r="AM11" s="32">
        <f t="shared" ca="1" si="1"/>
        <v>10.1</v>
      </c>
      <c r="AN11" s="87">
        <f t="shared" ca="1" si="1"/>
        <v>6.1</v>
      </c>
      <c r="AO11" s="32">
        <f t="shared" ca="1" si="1"/>
        <v>10.1</v>
      </c>
      <c r="AP11" s="32">
        <f t="shared" ca="1" si="1"/>
        <v>6.7</v>
      </c>
      <c r="AQ11" s="36">
        <f t="shared" ca="1" si="1"/>
        <v>10.1</v>
      </c>
      <c r="AR11" s="32">
        <f t="shared" ca="1" si="1"/>
        <v>7.4</v>
      </c>
      <c r="AS11" s="32">
        <f t="shared" ca="1" si="1"/>
        <v>10.1</v>
      </c>
      <c r="AT11" s="32">
        <f t="shared" ca="1" si="1"/>
        <v>7.4</v>
      </c>
      <c r="AU11" s="32">
        <f t="shared" ca="1" si="1"/>
        <v>10.1</v>
      </c>
      <c r="AV11" s="87">
        <f t="shared" ca="1" si="1"/>
        <v>7.4</v>
      </c>
      <c r="AW11" s="32">
        <f t="shared" ca="1" si="1"/>
        <v>10.1</v>
      </c>
      <c r="AX11" s="32">
        <f t="shared" ca="1" si="1"/>
        <v>7.4</v>
      </c>
      <c r="AY11" s="36">
        <f t="shared" ca="1" si="1"/>
        <v>10.1</v>
      </c>
      <c r="BB11" s="10">
        <v>0</v>
      </c>
      <c r="BC11" s="10">
        <v>0</v>
      </c>
      <c r="BD11" s="10">
        <v>1</v>
      </c>
      <c r="BE11" s="11">
        <v>0</v>
      </c>
      <c r="BF11" s="5" t="s">
        <v>4</v>
      </c>
      <c r="BG11" s="9">
        <v>2</v>
      </c>
      <c r="BH11" s="3" t="s">
        <v>4</v>
      </c>
      <c r="BI11" s="87">
        <f t="shared" ca="1" si="2"/>
        <v>0</v>
      </c>
      <c r="BJ11" s="32">
        <f t="shared" ca="1" si="17"/>
        <v>0</v>
      </c>
      <c r="BK11" s="32">
        <f t="shared" ca="1" si="3"/>
        <v>0</v>
      </c>
      <c r="BL11" s="32">
        <f t="shared" ca="1" si="4"/>
        <v>3.3999999999999995</v>
      </c>
      <c r="BM11" s="87">
        <f t="shared" ca="1" si="5"/>
        <v>0</v>
      </c>
      <c r="BN11" s="32">
        <f t="shared" ca="1" si="6"/>
        <v>4</v>
      </c>
      <c r="BO11" s="32">
        <f t="shared" ca="1" si="7"/>
        <v>0.60000000000000053</v>
      </c>
      <c r="BP11" s="36">
        <f t="shared" ca="1" si="8"/>
        <v>4</v>
      </c>
      <c r="BQ11" s="32">
        <f t="shared" ca="1" si="9"/>
        <v>0</v>
      </c>
      <c r="BR11" s="32">
        <f t="shared" ca="1" si="10"/>
        <v>2.6999999999999993</v>
      </c>
      <c r="BS11" s="32">
        <f t="shared" ca="1" si="11"/>
        <v>0.70000000000000018</v>
      </c>
      <c r="BT11" s="32">
        <f t="shared" ca="1" si="12"/>
        <v>3.3999999999999995</v>
      </c>
      <c r="BU11" s="87">
        <f t="shared" ca="1" si="13"/>
        <v>1.3000000000000007</v>
      </c>
      <c r="BV11" s="32">
        <f t="shared" ca="1" si="14"/>
        <v>4</v>
      </c>
      <c r="BW11" s="32">
        <f t="shared" ca="1" si="15"/>
        <v>1.3000000000000007</v>
      </c>
      <c r="BX11" s="36">
        <f t="shared" ca="1" si="16"/>
        <v>4</v>
      </c>
    </row>
    <row r="12" spans="3:76" ht="15.75" thickBot="1">
      <c r="C12" s="13">
        <v>0</v>
      </c>
      <c r="D12" s="13">
        <v>0</v>
      </c>
      <c r="E12" s="13">
        <v>1</v>
      </c>
      <c r="F12" s="14">
        <v>1</v>
      </c>
      <c r="G12" s="5" t="s">
        <v>8</v>
      </c>
      <c r="H12" s="12">
        <v>3</v>
      </c>
      <c r="I12" s="2" t="s">
        <v>7</v>
      </c>
      <c r="J12" s="87">
        <f t="shared" ca="1" si="0"/>
        <v>0</v>
      </c>
      <c r="K12" s="32">
        <f t="shared" ca="1" si="0"/>
        <v>6.7</v>
      </c>
      <c r="L12" s="32">
        <f t="shared" ca="1" si="0"/>
        <v>6.7</v>
      </c>
      <c r="M12" s="32">
        <f t="shared" ca="1" si="0"/>
        <v>6.7</v>
      </c>
      <c r="N12" s="87">
        <f t="shared" ca="1" si="0"/>
        <v>6.1</v>
      </c>
      <c r="O12" s="32">
        <f t="shared" ca="1" si="0"/>
        <v>6.1</v>
      </c>
      <c r="P12" s="32">
        <f t="shared" ca="1" si="0"/>
        <v>6.1</v>
      </c>
      <c r="Q12" s="36">
        <f t="shared" ca="1" si="0"/>
        <v>6.1</v>
      </c>
      <c r="R12" s="32">
        <f t="shared" ca="1" si="0"/>
        <v>7.4</v>
      </c>
      <c r="S12" s="32">
        <f t="shared" ca="1" si="0"/>
        <v>6.7</v>
      </c>
      <c r="T12" s="32">
        <f t="shared" ca="1" si="0"/>
        <v>6.7</v>
      </c>
      <c r="U12" s="32">
        <f t="shared" ca="1" si="0"/>
        <v>6.7</v>
      </c>
      <c r="V12" s="87">
        <f t="shared" ca="1" si="0"/>
        <v>6.1</v>
      </c>
      <c r="W12" s="32">
        <f t="shared" ca="1" si="0"/>
        <v>6.1</v>
      </c>
      <c r="X12" s="32">
        <f t="shared" ca="1" si="0"/>
        <v>6.1</v>
      </c>
      <c r="Y12" s="36">
        <f t="shared" ca="1" si="0"/>
        <v>6.1</v>
      </c>
      <c r="AC12" s="13">
        <v>0</v>
      </c>
      <c r="AD12" s="13">
        <v>0</v>
      </c>
      <c r="AE12" s="13">
        <v>1</v>
      </c>
      <c r="AF12" s="14">
        <v>1</v>
      </c>
      <c r="AG12" s="5" t="s">
        <v>8</v>
      </c>
      <c r="AH12" s="12">
        <v>3</v>
      </c>
      <c r="AI12" s="2" t="s">
        <v>7</v>
      </c>
      <c r="AJ12" s="87">
        <f t="shared" ca="1" si="1"/>
        <v>0</v>
      </c>
      <c r="AK12" s="32">
        <f t="shared" ca="1" si="1"/>
        <v>10.1</v>
      </c>
      <c r="AL12" s="32">
        <f t="shared" ca="1" si="1"/>
        <v>11.1</v>
      </c>
      <c r="AM12" s="32">
        <f t="shared" ca="1" si="1"/>
        <v>11.1</v>
      </c>
      <c r="AN12" s="87">
        <f t="shared" ca="1" si="1"/>
        <v>8.6</v>
      </c>
      <c r="AO12" s="32">
        <f t="shared" ca="1" si="1"/>
        <v>10.1</v>
      </c>
      <c r="AP12" s="32">
        <f t="shared" ca="1" si="1"/>
        <v>11.1</v>
      </c>
      <c r="AQ12" s="36">
        <f t="shared" ca="1" si="1"/>
        <v>11.1</v>
      </c>
      <c r="AR12" s="32">
        <f t="shared" ca="1" si="1"/>
        <v>7.7</v>
      </c>
      <c r="AS12" s="32">
        <f t="shared" ca="1" si="1"/>
        <v>10.1</v>
      </c>
      <c r="AT12" s="32">
        <f t="shared" ca="1" si="1"/>
        <v>11.1</v>
      </c>
      <c r="AU12" s="32">
        <f t="shared" ca="1" si="1"/>
        <v>11.1</v>
      </c>
      <c r="AV12" s="87">
        <f t="shared" ca="1" si="1"/>
        <v>8.6</v>
      </c>
      <c r="AW12" s="32">
        <f t="shared" ca="1" si="1"/>
        <v>10.1</v>
      </c>
      <c r="AX12" s="32">
        <f t="shared" ca="1" si="1"/>
        <v>11.1</v>
      </c>
      <c r="AY12" s="36">
        <f t="shared" ca="1" si="1"/>
        <v>11.1</v>
      </c>
      <c r="BB12" s="13">
        <v>0</v>
      </c>
      <c r="BC12" s="13">
        <v>0</v>
      </c>
      <c r="BD12" s="13">
        <v>1</v>
      </c>
      <c r="BE12" s="14">
        <v>1</v>
      </c>
      <c r="BF12" s="5" t="s">
        <v>8</v>
      </c>
      <c r="BG12" s="12">
        <v>3</v>
      </c>
      <c r="BH12" s="2" t="s">
        <v>7</v>
      </c>
      <c r="BI12" s="87">
        <f t="shared" ca="1" si="2"/>
        <v>0</v>
      </c>
      <c r="BJ12" s="32">
        <f t="shared" ca="1" si="17"/>
        <v>3.3999999999999995</v>
      </c>
      <c r="BK12" s="32">
        <f t="shared" ca="1" si="3"/>
        <v>4.3999999999999995</v>
      </c>
      <c r="BL12" s="32">
        <f t="shared" ca="1" si="4"/>
        <v>4.3999999999999995</v>
      </c>
      <c r="BM12" s="87">
        <f t="shared" ca="1" si="5"/>
        <v>2.5</v>
      </c>
      <c r="BN12" s="32">
        <f t="shared" ca="1" si="6"/>
        <v>4</v>
      </c>
      <c r="BO12" s="32">
        <f t="shared" ca="1" si="7"/>
        <v>5</v>
      </c>
      <c r="BP12" s="36">
        <f t="shared" ca="1" si="8"/>
        <v>5</v>
      </c>
      <c r="BQ12" s="32">
        <f t="shared" ca="1" si="9"/>
        <v>0.29999999999999982</v>
      </c>
      <c r="BR12" s="32">
        <f t="shared" ca="1" si="10"/>
        <v>3.3999999999999995</v>
      </c>
      <c r="BS12" s="32">
        <f t="shared" ca="1" si="11"/>
        <v>4.3999999999999995</v>
      </c>
      <c r="BT12" s="32">
        <f t="shared" ca="1" si="12"/>
        <v>4.3999999999999995</v>
      </c>
      <c r="BU12" s="87">
        <f t="shared" ca="1" si="13"/>
        <v>2.5</v>
      </c>
      <c r="BV12" s="32">
        <f t="shared" ca="1" si="14"/>
        <v>4</v>
      </c>
      <c r="BW12" s="32">
        <f t="shared" ca="1" si="15"/>
        <v>5</v>
      </c>
      <c r="BX12" s="36">
        <f t="shared" ca="1" si="16"/>
        <v>5</v>
      </c>
    </row>
    <row r="13" spans="3:76">
      <c r="C13" s="5">
        <v>0</v>
      </c>
      <c r="D13" s="5">
        <v>1</v>
      </c>
      <c r="E13" s="5">
        <v>0</v>
      </c>
      <c r="F13" s="5">
        <v>0</v>
      </c>
      <c r="G13" s="5" t="s">
        <v>1</v>
      </c>
      <c r="H13" s="5">
        <v>4</v>
      </c>
      <c r="I13" s="1" t="s">
        <v>1</v>
      </c>
      <c r="J13" s="83">
        <f t="shared" ca="1" si="0"/>
        <v>0</v>
      </c>
      <c r="K13" s="84">
        <f t="shared" ca="1" si="0"/>
        <v>7.4</v>
      </c>
      <c r="L13" s="84">
        <f t="shared" ca="1" si="0"/>
        <v>7.7</v>
      </c>
      <c r="M13" s="84">
        <f t="shared" ca="1" si="0"/>
        <v>7.4</v>
      </c>
      <c r="N13" s="83">
        <f t="shared" ca="1" si="0"/>
        <v>8.4</v>
      </c>
      <c r="O13" s="84">
        <f t="shared" ca="1" si="0"/>
        <v>7.4</v>
      </c>
      <c r="P13" s="84">
        <f t="shared" ca="1" si="0"/>
        <v>7.7</v>
      </c>
      <c r="Q13" s="85">
        <f t="shared" ca="1" si="0"/>
        <v>7.4</v>
      </c>
      <c r="R13" s="84">
        <f t="shared" ca="1" si="0"/>
        <v>6.3</v>
      </c>
      <c r="S13" s="84">
        <f t="shared" ca="1" si="0"/>
        <v>6.3</v>
      </c>
      <c r="T13" s="84">
        <f t="shared" ca="1" si="0"/>
        <v>6.3</v>
      </c>
      <c r="U13" s="84">
        <f t="shared" ca="1" si="0"/>
        <v>6.3</v>
      </c>
      <c r="V13" s="83">
        <f t="shared" ca="1" si="0"/>
        <v>6.3</v>
      </c>
      <c r="W13" s="84">
        <f t="shared" ca="1" si="0"/>
        <v>6.3</v>
      </c>
      <c r="X13" s="84">
        <f t="shared" ca="1" si="0"/>
        <v>6.3</v>
      </c>
      <c r="Y13" s="85">
        <f t="shared" ca="1" si="0"/>
        <v>6.3</v>
      </c>
      <c r="AC13" s="5">
        <v>0</v>
      </c>
      <c r="AD13" s="5">
        <v>1</v>
      </c>
      <c r="AE13" s="5">
        <v>0</v>
      </c>
      <c r="AF13" s="5">
        <v>0</v>
      </c>
      <c r="AG13" s="5" t="s">
        <v>1</v>
      </c>
      <c r="AH13" s="5">
        <v>4</v>
      </c>
      <c r="AI13" s="1" t="s">
        <v>1</v>
      </c>
      <c r="AJ13" s="83">
        <f t="shared" ca="1" si="1"/>
        <v>0</v>
      </c>
      <c r="AK13" s="84">
        <f t="shared" ca="1" si="1"/>
        <v>7.4</v>
      </c>
      <c r="AL13" s="84">
        <f t="shared" ca="1" si="1"/>
        <v>7.7</v>
      </c>
      <c r="AM13" s="84">
        <f t="shared" ca="1" si="1"/>
        <v>7.7</v>
      </c>
      <c r="AN13" s="83">
        <f t="shared" ca="1" si="1"/>
        <v>8.4</v>
      </c>
      <c r="AO13" s="84">
        <f t="shared" ca="1" si="1"/>
        <v>8.4</v>
      </c>
      <c r="AP13" s="84">
        <f t="shared" ca="1" si="1"/>
        <v>8.4</v>
      </c>
      <c r="AQ13" s="85">
        <f t="shared" ca="1" si="1"/>
        <v>8.4</v>
      </c>
      <c r="AR13" s="84">
        <f t="shared" ca="1" si="1"/>
        <v>6.3</v>
      </c>
      <c r="AS13" s="84">
        <f t="shared" ca="1" si="1"/>
        <v>7.4</v>
      </c>
      <c r="AT13" s="84">
        <f t="shared" ca="1" si="1"/>
        <v>7.7</v>
      </c>
      <c r="AU13" s="84">
        <f t="shared" ca="1" si="1"/>
        <v>7.7</v>
      </c>
      <c r="AV13" s="83">
        <f t="shared" ca="1" si="1"/>
        <v>8.4</v>
      </c>
      <c r="AW13" s="84">
        <f t="shared" ca="1" si="1"/>
        <v>8.4</v>
      </c>
      <c r="AX13" s="84">
        <f t="shared" ca="1" si="1"/>
        <v>8.4</v>
      </c>
      <c r="AY13" s="85">
        <f t="shared" ca="1" si="1"/>
        <v>8.4</v>
      </c>
      <c r="BB13" s="5">
        <v>0</v>
      </c>
      <c r="BC13" s="5">
        <v>1</v>
      </c>
      <c r="BD13" s="5">
        <v>0</v>
      </c>
      <c r="BE13" s="5">
        <v>0</v>
      </c>
      <c r="BF13" s="5" t="s">
        <v>1</v>
      </c>
      <c r="BG13" s="5">
        <v>4</v>
      </c>
      <c r="BH13" s="1" t="s">
        <v>1</v>
      </c>
      <c r="BI13" s="83">
        <f t="shared" ca="1" si="2"/>
        <v>0</v>
      </c>
      <c r="BJ13" s="84">
        <f t="shared" ca="1" si="17"/>
        <v>0</v>
      </c>
      <c r="BK13" s="84">
        <f t="shared" ca="1" si="3"/>
        <v>0</v>
      </c>
      <c r="BL13" s="84">
        <f t="shared" ca="1" si="4"/>
        <v>0.29999999999999982</v>
      </c>
      <c r="BM13" s="83">
        <f t="shared" ca="1" si="5"/>
        <v>0</v>
      </c>
      <c r="BN13" s="84">
        <f t="shared" ca="1" si="6"/>
        <v>1</v>
      </c>
      <c r="BO13" s="84">
        <f t="shared" ca="1" si="7"/>
        <v>0.70000000000000018</v>
      </c>
      <c r="BP13" s="85">
        <f t="shared" ca="1" si="8"/>
        <v>1</v>
      </c>
      <c r="BQ13" s="84">
        <f t="shared" ca="1" si="9"/>
        <v>0</v>
      </c>
      <c r="BR13" s="84">
        <f t="shared" ca="1" si="10"/>
        <v>1.1000000000000005</v>
      </c>
      <c r="BS13" s="84">
        <f t="shared" ca="1" si="11"/>
        <v>1.4000000000000004</v>
      </c>
      <c r="BT13" s="84">
        <f t="shared" ca="1" si="12"/>
        <v>1.4000000000000004</v>
      </c>
      <c r="BU13" s="83">
        <f t="shared" ca="1" si="13"/>
        <v>2.1000000000000005</v>
      </c>
      <c r="BV13" s="84">
        <f t="shared" ca="1" si="14"/>
        <v>2.1000000000000005</v>
      </c>
      <c r="BW13" s="84">
        <f t="shared" ca="1" si="15"/>
        <v>2.1000000000000005</v>
      </c>
      <c r="BX13" s="85">
        <f t="shared" ca="1" si="16"/>
        <v>2.1000000000000005</v>
      </c>
    </row>
    <row r="14" spans="3:76">
      <c r="C14" s="5">
        <v>0</v>
      </c>
      <c r="D14" s="5">
        <v>1</v>
      </c>
      <c r="E14" s="5">
        <v>0</v>
      </c>
      <c r="F14" s="5">
        <v>1</v>
      </c>
      <c r="G14" s="5" t="s">
        <v>10</v>
      </c>
      <c r="H14" s="5">
        <v>5</v>
      </c>
      <c r="I14" s="1" t="s">
        <v>9</v>
      </c>
      <c r="J14" s="87">
        <f t="shared" ca="1" si="0"/>
        <v>0</v>
      </c>
      <c r="K14" s="32">
        <f t="shared" ca="1" si="0"/>
        <v>6.7</v>
      </c>
      <c r="L14" s="32">
        <f t="shared" ca="1" si="0"/>
        <v>7.7</v>
      </c>
      <c r="M14" s="32">
        <f t="shared" ca="1" si="0"/>
        <v>6.7</v>
      </c>
      <c r="N14" s="87">
        <f t="shared" ca="1" si="0"/>
        <v>8.4</v>
      </c>
      <c r="O14" s="32">
        <f t="shared" ca="1" si="0"/>
        <v>6.7</v>
      </c>
      <c r="P14" s="32">
        <f t="shared" ca="1" si="0"/>
        <v>7.7</v>
      </c>
      <c r="Q14" s="36">
        <f t="shared" ca="1" si="0"/>
        <v>6.7</v>
      </c>
      <c r="R14" s="32">
        <f t="shared" ca="1" si="0"/>
        <v>6.3</v>
      </c>
      <c r="S14" s="32">
        <f t="shared" ca="1" si="0"/>
        <v>6.3</v>
      </c>
      <c r="T14" s="32">
        <f t="shared" ca="1" si="0"/>
        <v>6.3</v>
      </c>
      <c r="U14" s="32">
        <f t="shared" ca="1" si="0"/>
        <v>6.3</v>
      </c>
      <c r="V14" s="87">
        <f t="shared" ca="1" si="0"/>
        <v>6.3</v>
      </c>
      <c r="W14" s="32">
        <f t="shared" ca="1" si="0"/>
        <v>6.3</v>
      </c>
      <c r="X14" s="32">
        <f t="shared" ca="1" si="0"/>
        <v>6.3</v>
      </c>
      <c r="Y14" s="36">
        <f t="shared" ca="1" si="0"/>
        <v>6.3</v>
      </c>
      <c r="AC14" s="5">
        <v>0</v>
      </c>
      <c r="AD14" s="5">
        <v>1</v>
      </c>
      <c r="AE14" s="5">
        <v>0</v>
      </c>
      <c r="AF14" s="5">
        <v>1</v>
      </c>
      <c r="AG14" s="5" t="s">
        <v>10</v>
      </c>
      <c r="AH14" s="5">
        <v>5</v>
      </c>
      <c r="AI14" s="1" t="s">
        <v>9</v>
      </c>
      <c r="AJ14" s="87">
        <f t="shared" ca="1" si="1"/>
        <v>0</v>
      </c>
      <c r="AK14" s="32">
        <f t="shared" ca="1" si="1"/>
        <v>7.4</v>
      </c>
      <c r="AL14" s="32">
        <f t="shared" ca="1" si="1"/>
        <v>11.1</v>
      </c>
      <c r="AM14" s="32">
        <f t="shared" ca="1" si="1"/>
        <v>11.1</v>
      </c>
      <c r="AN14" s="87">
        <f t="shared" ca="1" si="1"/>
        <v>8.6</v>
      </c>
      <c r="AO14" s="32">
        <f t="shared" ca="1" si="1"/>
        <v>8.6</v>
      </c>
      <c r="AP14" s="32">
        <f t="shared" ca="1" si="1"/>
        <v>11.1</v>
      </c>
      <c r="AQ14" s="36">
        <f t="shared" ca="1" si="1"/>
        <v>11.1</v>
      </c>
      <c r="AR14" s="32">
        <f t="shared" ca="1" si="1"/>
        <v>7.7</v>
      </c>
      <c r="AS14" s="32">
        <f t="shared" ca="1" si="1"/>
        <v>7.7</v>
      </c>
      <c r="AT14" s="32">
        <f t="shared" ca="1" si="1"/>
        <v>11.1</v>
      </c>
      <c r="AU14" s="32">
        <f t="shared" ca="1" si="1"/>
        <v>11.1</v>
      </c>
      <c r="AV14" s="87">
        <f t="shared" ca="1" si="1"/>
        <v>8.6</v>
      </c>
      <c r="AW14" s="32">
        <f t="shared" ca="1" si="1"/>
        <v>8.6</v>
      </c>
      <c r="AX14" s="32">
        <f t="shared" ca="1" si="1"/>
        <v>11.1</v>
      </c>
      <c r="AY14" s="36">
        <f t="shared" ca="1" si="1"/>
        <v>11.1</v>
      </c>
      <c r="BB14" s="5">
        <v>0</v>
      </c>
      <c r="BC14" s="5">
        <v>1</v>
      </c>
      <c r="BD14" s="5">
        <v>0</v>
      </c>
      <c r="BE14" s="5">
        <v>1</v>
      </c>
      <c r="BF14" s="5" t="s">
        <v>10</v>
      </c>
      <c r="BG14" s="5">
        <v>5</v>
      </c>
      <c r="BH14" s="1" t="s">
        <v>9</v>
      </c>
      <c r="BI14" s="87">
        <f t="shared" ca="1" si="2"/>
        <v>0</v>
      </c>
      <c r="BJ14" s="32">
        <f t="shared" ca="1" si="17"/>
        <v>0.70000000000000018</v>
      </c>
      <c r="BK14" s="32">
        <f t="shared" ca="1" si="3"/>
        <v>3.3999999999999995</v>
      </c>
      <c r="BL14" s="32">
        <f t="shared" ca="1" si="4"/>
        <v>4.3999999999999995</v>
      </c>
      <c r="BM14" s="87">
        <f t="shared" ca="1" si="5"/>
        <v>0.19999999999999929</v>
      </c>
      <c r="BN14" s="32">
        <f t="shared" ca="1" si="6"/>
        <v>1.8999999999999995</v>
      </c>
      <c r="BO14" s="32">
        <f t="shared" ca="1" si="7"/>
        <v>3.3999999999999995</v>
      </c>
      <c r="BP14" s="36">
        <f t="shared" ca="1" si="8"/>
        <v>4.3999999999999995</v>
      </c>
      <c r="BQ14" s="32">
        <f t="shared" ca="1" si="9"/>
        <v>1.4000000000000004</v>
      </c>
      <c r="BR14" s="32">
        <f t="shared" ca="1" si="10"/>
        <v>1.4000000000000004</v>
      </c>
      <c r="BS14" s="32">
        <f t="shared" ca="1" si="11"/>
        <v>4.8</v>
      </c>
      <c r="BT14" s="32">
        <f t="shared" ca="1" si="12"/>
        <v>4.8</v>
      </c>
      <c r="BU14" s="87">
        <f t="shared" ca="1" si="13"/>
        <v>2.2999999999999998</v>
      </c>
      <c r="BV14" s="32">
        <f t="shared" ca="1" si="14"/>
        <v>2.2999999999999998</v>
      </c>
      <c r="BW14" s="32">
        <f t="shared" ca="1" si="15"/>
        <v>4.8</v>
      </c>
      <c r="BX14" s="36">
        <f t="shared" ca="1" si="16"/>
        <v>4.8</v>
      </c>
    </row>
    <row r="15" spans="3:76">
      <c r="C15" s="5">
        <v>0</v>
      </c>
      <c r="D15" s="5">
        <v>1</v>
      </c>
      <c r="E15" s="5">
        <v>1</v>
      </c>
      <c r="F15" s="5">
        <v>0</v>
      </c>
      <c r="G15" s="5" t="s">
        <v>11</v>
      </c>
      <c r="H15" s="5">
        <v>6</v>
      </c>
      <c r="I15" s="1" t="s">
        <v>6</v>
      </c>
      <c r="J15" s="87">
        <f t="shared" ca="1" si="0"/>
        <v>0</v>
      </c>
      <c r="K15" s="32">
        <f t="shared" ca="1" si="0"/>
        <v>7.4</v>
      </c>
      <c r="L15" s="32">
        <f t="shared" ca="1" si="0"/>
        <v>6.7</v>
      </c>
      <c r="M15" s="32">
        <f t="shared" ca="1" si="0"/>
        <v>6.7</v>
      </c>
      <c r="N15" s="87">
        <f t="shared" ca="1" si="0"/>
        <v>6.1</v>
      </c>
      <c r="O15" s="32">
        <f t="shared" ca="1" si="0"/>
        <v>6.1</v>
      </c>
      <c r="P15" s="32">
        <f t="shared" ca="1" si="0"/>
        <v>6.1</v>
      </c>
      <c r="Q15" s="36">
        <f t="shared" ca="1" si="0"/>
        <v>6.1</v>
      </c>
      <c r="R15" s="32">
        <f t="shared" ca="1" si="0"/>
        <v>6.3</v>
      </c>
      <c r="S15" s="32">
        <f t="shared" ca="1" si="0"/>
        <v>6.3</v>
      </c>
      <c r="T15" s="32">
        <f t="shared" ca="1" si="0"/>
        <v>6.3</v>
      </c>
      <c r="U15" s="32">
        <f t="shared" ca="1" si="0"/>
        <v>6.3</v>
      </c>
      <c r="V15" s="87">
        <f t="shared" ca="1" si="0"/>
        <v>6.1</v>
      </c>
      <c r="W15" s="32">
        <f t="shared" ca="1" si="0"/>
        <v>6.1</v>
      </c>
      <c r="X15" s="32">
        <f t="shared" ca="1" si="0"/>
        <v>6.1</v>
      </c>
      <c r="Y15" s="36">
        <f t="shared" ca="1" si="0"/>
        <v>6.1</v>
      </c>
      <c r="AC15" s="5">
        <v>0</v>
      </c>
      <c r="AD15" s="5">
        <v>1</v>
      </c>
      <c r="AE15" s="5">
        <v>1</v>
      </c>
      <c r="AF15" s="5">
        <v>0</v>
      </c>
      <c r="AG15" s="5" t="s">
        <v>11</v>
      </c>
      <c r="AH15" s="5">
        <v>6</v>
      </c>
      <c r="AI15" s="1" t="s">
        <v>6</v>
      </c>
      <c r="AJ15" s="87">
        <f t="shared" ca="1" si="1"/>
        <v>0</v>
      </c>
      <c r="AK15" s="32">
        <f t="shared" ca="1" si="1"/>
        <v>10.1</v>
      </c>
      <c r="AL15" s="32">
        <f t="shared" ca="1" si="1"/>
        <v>7.7</v>
      </c>
      <c r="AM15" s="32">
        <f t="shared" ca="1" si="1"/>
        <v>10.1</v>
      </c>
      <c r="AN15" s="87">
        <f t="shared" ca="1" si="1"/>
        <v>8.4</v>
      </c>
      <c r="AO15" s="32">
        <f t="shared" ca="1" si="1"/>
        <v>10.1</v>
      </c>
      <c r="AP15" s="32">
        <f t="shared" ca="1" si="1"/>
        <v>8.4</v>
      </c>
      <c r="AQ15" s="36">
        <f t="shared" ca="1" si="1"/>
        <v>10.1</v>
      </c>
      <c r="AR15" s="32">
        <f t="shared" ca="1" si="1"/>
        <v>7.4</v>
      </c>
      <c r="AS15" s="32">
        <f t="shared" ca="1" si="1"/>
        <v>10.1</v>
      </c>
      <c r="AT15" s="32">
        <f t="shared" ca="1" si="1"/>
        <v>7.7</v>
      </c>
      <c r="AU15" s="32">
        <f t="shared" ca="1" si="1"/>
        <v>10.1</v>
      </c>
      <c r="AV15" s="87">
        <f t="shared" ca="1" si="1"/>
        <v>8.4</v>
      </c>
      <c r="AW15" s="32">
        <f t="shared" ca="1" si="1"/>
        <v>10.1</v>
      </c>
      <c r="AX15" s="32">
        <f t="shared" ca="1" si="1"/>
        <v>8.4</v>
      </c>
      <c r="AY15" s="36">
        <f t="shared" ca="1" si="1"/>
        <v>10.1</v>
      </c>
      <c r="BB15" s="5">
        <v>0</v>
      </c>
      <c r="BC15" s="5">
        <v>1</v>
      </c>
      <c r="BD15" s="5">
        <v>1</v>
      </c>
      <c r="BE15" s="5">
        <v>0</v>
      </c>
      <c r="BF15" s="5" t="s">
        <v>11</v>
      </c>
      <c r="BG15" s="5">
        <v>6</v>
      </c>
      <c r="BH15" s="1" t="s">
        <v>6</v>
      </c>
      <c r="BI15" s="87">
        <f t="shared" ca="1" si="2"/>
        <v>0</v>
      </c>
      <c r="BJ15" s="32">
        <f t="shared" ca="1" si="17"/>
        <v>2.6999999999999993</v>
      </c>
      <c r="BK15" s="32">
        <f t="shared" ca="1" si="3"/>
        <v>1</v>
      </c>
      <c r="BL15" s="32">
        <f t="shared" ca="1" si="4"/>
        <v>3.3999999999999995</v>
      </c>
      <c r="BM15" s="87">
        <f t="shared" ca="1" si="5"/>
        <v>2.3000000000000007</v>
      </c>
      <c r="BN15" s="32">
        <f t="shared" ca="1" si="6"/>
        <v>4</v>
      </c>
      <c r="BO15" s="32">
        <f t="shared" ca="1" si="7"/>
        <v>2.3000000000000007</v>
      </c>
      <c r="BP15" s="36">
        <f t="shared" ca="1" si="8"/>
        <v>4</v>
      </c>
      <c r="BQ15" s="32">
        <f t="shared" ca="1" si="9"/>
        <v>1.1000000000000005</v>
      </c>
      <c r="BR15" s="32">
        <f t="shared" ca="1" si="10"/>
        <v>3.8</v>
      </c>
      <c r="BS15" s="32">
        <f t="shared" ca="1" si="11"/>
        <v>1.4000000000000004</v>
      </c>
      <c r="BT15" s="32">
        <f t="shared" ca="1" si="12"/>
        <v>3.8</v>
      </c>
      <c r="BU15" s="87">
        <f t="shared" ca="1" si="13"/>
        <v>2.3000000000000007</v>
      </c>
      <c r="BV15" s="32">
        <f t="shared" ca="1" si="14"/>
        <v>4</v>
      </c>
      <c r="BW15" s="32">
        <f t="shared" ca="1" si="15"/>
        <v>2.3000000000000007</v>
      </c>
      <c r="BX15" s="36">
        <f t="shared" ca="1" si="16"/>
        <v>4</v>
      </c>
    </row>
    <row r="16" spans="3:76" ht="15.75" thickBot="1">
      <c r="C16" s="5">
        <v>0</v>
      </c>
      <c r="D16" s="5">
        <v>1</v>
      </c>
      <c r="E16" s="5">
        <v>1</v>
      </c>
      <c r="F16" s="5">
        <v>1</v>
      </c>
      <c r="G16" s="5" t="s">
        <v>13</v>
      </c>
      <c r="H16" s="5">
        <v>7</v>
      </c>
      <c r="I16" s="1" t="s">
        <v>12</v>
      </c>
      <c r="J16" s="86">
        <f t="shared" ca="1" si="0"/>
        <v>0</v>
      </c>
      <c r="K16" s="35">
        <f t="shared" ca="1" si="0"/>
        <v>6.7</v>
      </c>
      <c r="L16" s="35">
        <f t="shared" ca="1" si="0"/>
        <v>6.7</v>
      </c>
      <c r="M16" s="35">
        <f t="shared" ca="1" si="0"/>
        <v>6.7</v>
      </c>
      <c r="N16" s="86">
        <f t="shared" ca="1" si="0"/>
        <v>6.1</v>
      </c>
      <c r="O16" s="35">
        <f t="shared" ca="1" si="0"/>
        <v>6.1</v>
      </c>
      <c r="P16" s="35">
        <f t="shared" ca="1" si="0"/>
        <v>6.1</v>
      </c>
      <c r="Q16" s="37">
        <f t="shared" ca="1" si="0"/>
        <v>6.1</v>
      </c>
      <c r="R16" s="35">
        <f t="shared" ca="1" si="0"/>
        <v>6.3</v>
      </c>
      <c r="S16" s="35">
        <f t="shared" ca="1" si="0"/>
        <v>6.3</v>
      </c>
      <c r="T16" s="35">
        <f t="shared" ca="1" si="0"/>
        <v>6.3</v>
      </c>
      <c r="U16" s="35">
        <f t="shared" ca="1" si="0"/>
        <v>6.3</v>
      </c>
      <c r="V16" s="86">
        <f t="shared" ca="1" si="0"/>
        <v>6.1</v>
      </c>
      <c r="W16" s="35">
        <f t="shared" ca="1" si="0"/>
        <v>6.1</v>
      </c>
      <c r="X16" s="35">
        <f t="shared" ca="1" si="0"/>
        <v>6.1</v>
      </c>
      <c r="Y16" s="37">
        <f t="shared" ca="1" si="0"/>
        <v>6.1</v>
      </c>
      <c r="AC16" s="5">
        <v>0</v>
      </c>
      <c r="AD16" s="5">
        <v>1</v>
      </c>
      <c r="AE16" s="5">
        <v>1</v>
      </c>
      <c r="AF16" s="5">
        <v>1</v>
      </c>
      <c r="AG16" s="5" t="s">
        <v>13</v>
      </c>
      <c r="AH16" s="5">
        <v>7</v>
      </c>
      <c r="AI16" s="1" t="s">
        <v>12</v>
      </c>
      <c r="AJ16" s="86">
        <f t="shared" ca="1" si="1"/>
        <v>0</v>
      </c>
      <c r="AK16" s="35">
        <f t="shared" ca="1" si="1"/>
        <v>10.1</v>
      </c>
      <c r="AL16" s="35">
        <f t="shared" ca="1" si="1"/>
        <v>11.1</v>
      </c>
      <c r="AM16" s="35">
        <f t="shared" ca="1" si="1"/>
        <v>11.1</v>
      </c>
      <c r="AN16" s="86">
        <f t="shared" ca="1" si="1"/>
        <v>8.6</v>
      </c>
      <c r="AO16" s="35">
        <f t="shared" ca="1" si="1"/>
        <v>10.1</v>
      </c>
      <c r="AP16" s="35">
        <f t="shared" ca="1" si="1"/>
        <v>11.1</v>
      </c>
      <c r="AQ16" s="37">
        <f t="shared" ca="1" si="1"/>
        <v>11.1</v>
      </c>
      <c r="AR16" s="35">
        <f t="shared" ca="1" si="1"/>
        <v>7.7</v>
      </c>
      <c r="AS16" s="35">
        <f t="shared" ca="1" si="1"/>
        <v>10.1</v>
      </c>
      <c r="AT16" s="35">
        <f t="shared" ca="1" si="1"/>
        <v>11.1</v>
      </c>
      <c r="AU16" s="35">
        <f t="shared" ca="1" si="1"/>
        <v>11.1</v>
      </c>
      <c r="AV16" s="86">
        <f t="shared" ca="1" si="1"/>
        <v>8.6</v>
      </c>
      <c r="AW16" s="35">
        <f t="shared" ca="1" si="1"/>
        <v>10.1</v>
      </c>
      <c r="AX16" s="35">
        <f t="shared" ca="1" si="1"/>
        <v>11.1</v>
      </c>
      <c r="AY16" s="37">
        <f t="shared" ca="1" si="1"/>
        <v>11.1</v>
      </c>
      <c r="BB16" s="5">
        <v>0</v>
      </c>
      <c r="BC16" s="5">
        <v>1</v>
      </c>
      <c r="BD16" s="5">
        <v>1</v>
      </c>
      <c r="BE16" s="5">
        <v>1</v>
      </c>
      <c r="BF16" s="5" t="s">
        <v>13</v>
      </c>
      <c r="BG16" s="5">
        <v>7</v>
      </c>
      <c r="BH16" s="1" t="s">
        <v>12</v>
      </c>
      <c r="BI16" s="86">
        <f t="shared" ca="1" si="2"/>
        <v>0</v>
      </c>
      <c r="BJ16" s="35">
        <f t="shared" ca="1" si="17"/>
        <v>3.3999999999999995</v>
      </c>
      <c r="BK16" s="35">
        <f t="shared" ca="1" si="3"/>
        <v>4.3999999999999995</v>
      </c>
      <c r="BL16" s="35">
        <f t="shared" ca="1" si="4"/>
        <v>4.3999999999999995</v>
      </c>
      <c r="BM16" s="86">
        <f t="shared" ca="1" si="5"/>
        <v>2.5</v>
      </c>
      <c r="BN16" s="35">
        <f t="shared" ca="1" si="6"/>
        <v>4</v>
      </c>
      <c r="BO16" s="35">
        <f t="shared" ca="1" si="7"/>
        <v>5</v>
      </c>
      <c r="BP16" s="37">
        <f t="shared" ca="1" si="8"/>
        <v>5</v>
      </c>
      <c r="BQ16" s="35">
        <f t="shared" ca="1" si="9"/>
        <v>1.4000000000000004</v>
      </c>
      <c r="BR16" s="35">
        <f t="shared" ca="1" si="10"/>
        <v>3.8</v>
      </c>
      <c r="BS16" s="35">
        <f t="shared" ca="1" si="11"/>
        <v>4.8</v>
      </c>
      <c r="BT16" s="35">
        <f t="shared" ca="1" si="12"/>
        <v>4.8</v>
      </c>
      <c r="BU16" s="86">
        <f t="shared" ca="1" si="13"/>
        <v>2.5</v>
      </c>
      <c r="BV16" s="35">
        <f t="shared" ca="1" si="14"/>
        <v>4</v>
      </c>
      <c r="BW16" s="35">
        <f t="shared" ca="1" si="15"/>
        <v>5</v>
      </c>
      <c r="BX16" s="37">
        <f t="shared" ca="1" si="16"/>
        <v>5</v>
      </c>
    </row>
    <row r="17" spans="1:83">
      <c r="C17" s="7">
        <v>1</v>
      </c>
      <c r="D17" s="7">
        <v>0</v>
      </c>
      <c r="E17" s="7">
        <v>0</v>
      </c>
      <c r="F17" s="8">
        <v>0</v>
      </c>
      <c r="G17" s="5" t="s">
        <v>2</v>
      </c>
      <c r="H17" s="6">
        <v>8</v>
      </c>
      <c r="I17" s="4" t="s">
        <v>2</v>
      </c>
      <c r="J17" s="87">
        <f t="shared" ca="1" si="0"/>
        <v>0</v>
      </c>
      <c r="K17" s="32">
        <f t="shared" ca="1" si="0"/>
        <v>6.1</v>
      </c>
      <c r="L17" s="32">
        <f t="shared" ca="1" si="0"/>
        <v>8.6</v>
      </c>
      <c r="M17" s="32">
        <f t="shared" ca="1" si="0"/>
        <v>6.1</v>
      </c>
      <c r="N17" s="87">
        <f t="shared" ca="1" si="0"/>
        <v>6.5</v>
      </c>
      <c r="O17" s="32">
        <f t="shared" ca="1" si="0"/>
        <v>6.1</v>
      </c>
      <c r="P17" s="32">
        <f t="shared" ca="1" si="0"/>
        <v>6.5</v>
      </c>
      <c r="Q17" s="36">
        <f t="shared" ca="1" si="0"/>
        <v>6.1</v>
      </c>
      <c r="R17" s="32">
        <f t="shared" ca="1" si="0"/>
        <v>8.4</v>
      </c>
      <c r="S17" s="32">
        <f t="shared" ca="1" si="0"/>
        <v>6.1</v>
      </c>
      <c r="T17" s="32">
        <f t="shared" ca="1" si="0"/>
        <v>8.4</v>
      </c>
      <c r="U17" s="32">
        <f t="shared" ca="1" si="0"/>
        <v>6.1</v>
      </c>
      <c r="V17" s="87">
        <f t="shared" ca="1" si="0"/>
        <v>6.5</v>
      </c>
      <c r="W17" s="32">
        <f t="shared" ca="1" si="0"/>
        <v>6.1</v>
      </c>
      <c r="X17" s="32">
        <f t="shared" ca="1" si="0"/>
        <v>6.5</v>
      </c>
      <c r="Y17" s="36">
        <f t="shared" ca="1" si="0"/>
        <v>6.1</v>
      </c>
      <c r="AC17" s="7">
        <v>1</v>
      </c>
      <c r="AD17" s="7">
        <v>0</v>
      </c>
      <c r="AE17" s="7">
        <v>0</v>
      </c>
      <c r="AF17" s="8">
        <v>0</v>
      </c>
      <c r="AG17" s="5" t="s">
        <v>2</v>
      </c>
      <c r="AH17" s="6">
        <v>8</v>
      </c>
      <c r="AI17" s="4" t="s">
        <v>2</v>
      </c>
      <c r="AJ17" s="87">
        <f t="shared" ca="1" si="1"/>
        <v>0</v>
      </c>
      <c r="AK17" s="32">
        <f t="shared" ca="1" si="1"/>
        <v>6.1</v>
      </c>
      <c r="AL17" s="32">
        <f t="shared" ca="1" si="1"/>
        <v>8.6</v>
      </c>
      <c r="AM17" s="32">
        <f t="shared" ca="1" si="1"/>
        <v>8.6</v>
      </c>
      <c r="AN17" s="87">
        <f t="shared" ca="1" si="1"/>
        <v>6.5</v>
      </c>
      <c r="AO17" s="32">
        <f t="shared" ca="1" si="1"/>
        <v>6.5</v>
      </c>
      <c r="AP17" s="32">
        <f t="shared" ca="1" si="1"/>
        <v>8.6</v>
      </c>
      <c r="AQ17" s="36">
        <f t="shared" ca="1" si="1"/>
        <v>8.6</v>
      </c>
      <c r="AR17" s="32">
        <f t="shared" ca="1" si="1"/>
        <v>8.4</v>
      </c>
      <c r="AS17" s="32">
        <f t="shared" ca="1" si="1"/>
        <v>8.4</v>
      </c>
      <c r="AT17" s="32">
        <f t="shared" ca="1" si="1"/>
        <v>8.6</v>
      </c>
      <c r="AU17" s="32">
        <f t="shared" ca="1" si="1"/>
        <v>8.6</v>
      </c>
      <c r="AV17" s="87">
        <f t="shared" ca="1" si="1"/>
        <v>8.4</v>
      </c>
      <c r="AW17" s="32">
        <f t="shared" ca="1" si="1"/>
        <v>8.4</v>
      </c>
      <c r="AX17" s="32">
        <f t="shared" ca="1" si="1"/>
        <v>8.6</v>
      </c>
      <c r="AY17" s="36">
        <f t="shared" ca="1" si="1"/>
        <v>8.6</v>
      </c>
      <c r="BB17" s="7">
        <v>1</v>
      </c>
      <c r="BC17" s="7">
        <v>0</v>
      </c>
      <c r="BD17" s="7">
        <v>0</v>
      </c>
      <c r="BE17" s="8">
        <v>0</v>
      </c>
      <c r="BF17" s="5" t="s">
        <v>2</v>
      </c>
      <c r="BG17" s="6">
        <v>8</v>
      </c>
      <c r="BH17" s="4" t="s">
        <v>2</v>
      </c>
      <c r="BI17" s="87">
        <f t="shared" ca="1" si="2"/>
        <v>0</v>
      </c>
      <c r="BJ17" s="32">
        <f t="shared" ca="1" si="17"/>
        <v>0</v>
      </c>
      <c r="BK17" s="32">
        <f t="shared" ca="1" si="3"/>
        <v>0</v>
      </c>
      <c r="BL17" s="32">
        <f t="shared" ca="1" si="4"/>
        <v>2.5</v>
      </c>
      <c r="BM17" s="87">
        <f t="shared" ca="1" si="5"/>
        <v>0</v>
      </c>
      <c r="BN17" s="32">
        <f t="shared" ca="1" si="6"/>
        <v>0.40000000000000036</v>
      </c>
      <c r="BO17" s="32">
        <f t="shared" ca="1" si="7"/>
        <v>2.0999999999999996</v>
      </c>
      <c r="BP17" s="36">
        <f t="shared" ca="1" si="8"/>
        <v>2.5</v>
      </c>
      <c r="BQ17" s="32">
        <f t="shared" ca="1" si="9"/>
        <v>0</v>
      </c>
      <c r="BR17" s="32">
        <f t="shared" ca="1" si="10"/>
        <v>2.3000000000000007</v>
      </c>
      <c r="BS17" s="32">
        <f t="shared" ca="1" si="11"/>
        <v>0.19999999999999929</v>
      </c>
      <c r="BT17" s="32">
        <f t="shared" ca="1" si="12"/>
        <v>2.5</v>
      </c>
      <c r="BU17" s="87">
        <f t="shared" ca="1" si="13"/>
        <v>1.9000000000000004</v>
      </c>
      <c r="BV17" s="32">
        <f t="shared" ca="1" si="14"/>
        <v>2.3000000000000007</v>
      </c>
      <c r="BW17" s="32">
        <f t="shared" ca="1" si="15"/>
        <v>2.0999999999999996</v>
      </c>
      <c r="BX17" s="36">
        <f t="shared" ca="1" si="16"/>
        <v>2.5</v>
      </c>
    </row>
    <row r="18" spans="1:83">
      <c r="C18" s="10">
        <v>1</v>
      </c>
      <c r="D18" s="10">
        <v>0</v>
      </c>
      <c r="E18" s="10">
        <v>0</v>
      </c>
      <c r="F18" s="11">
        <v>1</v>
      </c>
      <c r="G18" s="5" t="s">
        <v>14</v>
      </c>
      <c r="H18" s="9">
        <v>9</v>
      </c>
      <c r="I18" s="3" t="s">
        <v>5</v>
      </c>
      <c r="J18" s="87">
        <f t="shared" ca="1" si="0"/>
        <v>0</v>
      </c>
      <c r="K18" s="32">
        <f t="shared" ca="1" si="0"/>
        <v>6.1</v>
      </c>
      <c r="L18" s="32">
        <f t="shared" ca="1" si="0"/>
        <v>8.6</v>
      </c>
      <c r="M18" s="32">
        <f t="shared" ca="1" si="0"/>
        <v>6.1</v>
      </c>
      <c r="N18" s="87">
        <f t="shared" ca="1" si="0"/>
        <v>6.5</v>
      </c>
      <c r="O18" s="32">
        <f t="shared" ca="1" si="0"/>
        <v>6.1</v>
      </c>
      <c r="P18" s="32">
        <f t="shared" ca="1" si="0"/>
        <v>6.5</v>
      </c>
      <c r="Q18" s="36">
        <f t="shared" ca="1" si="0"/>
        <v>6.1</v>
      </c>
      <c r="R18" s="32">
        <f t="shared" ca="1" si="0"/>
        <v>7.7</v>
      </c>
      <c r="S18" s="32">
        <f t="shared" ca="1" si="0"/>
        <v>6.1</v>
      </c>
      <c r="T18" s="32">
        <f t="shared" ca="1" si="0"/>
        <v>7.7</v>
      </c>
      <c r="U18" s="32">
        <f t="shared" ca="1" si="0"/>
        <v>6.1</v>
      </c>
      <c r="V18" s="87">
        <f t="shared" ca="1" si="0"/>
        <v>6.5</v>
      </c>
      <c r="W18" s="32">
        <f t="shared" ca="1" si="0"/>
        <v>6.1</v>
      </c>
      <c r="X18" s="32">
        <f t="shared" ca="1" si="0"/>
        <v>6.5</v>
      </c>
      <c r="Y18" s="36">
        <f t="shared" ca="1" si="0"/>
        <v>6.1</v>
      </c>
      <c r="AC18" s="10">
        <v>1</v>
      </c>
      <c r="AD18" s="10">
        <v>0</v>
      </c>
      <c r="AE18" s="10">
        <v>0</v>
      </c>
      <c r="AF18" s="11">
        <v>1</v>
      </c>
      <c r="AG18" s="5" t="s">
        <v>14</v>
      </c>
      <c r="AH18" s="9">
        <v>9</v>
      </c>
      <c r="AI18" s="3" t="s">
        <v>5</v>
      </c>
      <c r="AJ18" s="87">
        <f t="shared" ca="1" si="1"/>
        <v>0</v>
      </c>
      <c r="AK18" s="32">
        <f t="shared" ca="1" si="1"/>
        <v>6.7</v>
      </c>
      <c r="AL18" s="32">
        <f t="shared" ca="1" si="1"/>
        <v>11.1</v>
      </c>
      <c r="AM18" s="32">
        <f t="shared" ca="1" si="1"/>
        <v>11.1</v>
      </c>
      <c r="AN18" s="87">
        <f t="shared" ca="1" si="1"/>
        <v>8.6</v>
      </c>
      <c r="AO18" s="32">
        <f t="shared" ca="1" si="1"/>
        <v>8.6</v>
      </c>
      <c r="AP18" s="32">
        <f t="shared" ca="1" si="1"/>
        <v>11.1</v>
      </c>
      <c r="AQ18" s="36">
        <f t="shared" ca="1" si="1"/>
        <v>11.1</v>
      </c>
      <c r="AR18" s="32">
        <f t="shared" ca="1" si="1"/>
        <v>8.4</v>
      </c>
      <c r="AS18" s="32">
        <f t="shared" ca="1" si="1"/>
        <v>8.4</v>
      </c>
      <c r="AT18" s="32">
        <f t="shared" ca="1" si="1"/>
        <v>11.1</v>
      </c>
      <c r="AU18" s="32">
        <f t="shared" ca="1" si="1"/>
        <v>11.1</v>
      </c>
      <c r="AV18" s="87">
        <f t="shared" ca="1" si="1"/>
        <v>8.6</v>
      </c>
      <c r="AW18" s="32">
        <f t="shared" ca="1" si="1"/>
        <v>8.6</v>
      </c>
      <c r="AX18" s="32">
        <f t="shared" ca="1" si="1"/>
        <v>11.1</v>
      </c>
      <c r="AY18" s="36">
        <f t="shared" ca="1" si="1"/>
        <v>11.1</v>
      </c>
      <c r="BB18" s="10">
        <v>1</v>
      </c>
      <c r="BC18" s="10">
        <v>0</v>
      </c>
      <c r="BD18" s="10">
        <v>0</v>
      </c>
      <c r="BE18" s="11">
        <v>1</v>
      </c>
      <c r="BF18" s="5" t="s">
        <v>14</v>
      </c>
      <c r="BG18" s="9">
        <v>9</v>
      </c>
      <c r="BH18" s="3" t="s">
        <v>5</v>
      </c>
      <c r="BI18" s="87">
        <f t="shared" ca="1" si="2"/>
        <v>0</v>
      </c>
      <c r="BJ18" s="32">
        <f t="shared" ca="1" si="17"/>
        <v>0.60000000000000053</v>
      </c>
      <c r="BK18" s="32">
        <f t="shared" ca="1" si="3"/>
        <v>2.5</v>
      </c>
      <c r="BL18" s="32">
        <f t="shared" ca="1" si="4"/>
        <v>5</v>
      </c>
      <c r="BM18" s="87">
        <f t="shared" ca="1" si="5"/>
        <v>2.0999999999999996</v>
      </c>
      <c r="BN18" s="32">
        <f t="shared" ca="1" si="6"/>
        <v>2.5</v>
      </c>
      <c r="BO18" s="32">
        <f t="shared" ca="1" si="7"/>
        <v>4.5999999999999996</v>
      </c>
      <c r="BP18" s="36">
        <f t="shared" ca="1" si="8"/>
        <v>5</v>
      </c>
      <c r="BQ18" s="32">
        <f t="shared" ca="1" si="9"/>
        <v>0.70000000000000018</v>
      </c>
      <c r="BR18" s="32">
        <f t="shared" ca="1" si="10"/>
        <v>2.3000000000000007</v>
      </c>
      <c r="BS18" s="32">
        <f t="shared" ca="1" si="11"/>
        <v>3.3999999999999995</v>
      </c>
      <c r="BT18" s="32">
        <f t="shared" ca="1" si="12"/>
        <v>5</v>
      </c>
      <c r="BU18" s="87">
        <f t="shared" ca="1" si="13"/>
        <v>2.0999999999999996</v>
      </c>
      <c r="BV18" s="32">
        <f t="shared" ca="1" si="14"/>
        <v>2.5</v>
      </c>
      <c r="BW18" s="32">
        <f t="shared" ca="1" si="15"/>
        <v>4.5999999999999996</v>
      </c>
      <c r="BX18" s="36">
        <f t="shared" ca="1" si="16"/>
        <v>5</v>
      </c>
    </row>
    <row r="19" spans="1:83">
      <c r="C19" s="10">
        <v>1</v>
      </c>
      <c r="D19" s="10">
        <v>0</v>
      </c>
      <c r="E19" s="10">
        <v>1</v>
      </c>
      <c r="F19" s="11">
        <v>0</v>
      </c>
      <c r="G19" s="5" t="s">
        <v>16</v>
      </c>
      <c r="H19" s="9">
        <v>10</v>
      </c>
      <c r="I19" s="3" t="s">
        <v>15</v>
      </c>
      <c r="J19" s="87">
        <f t="shared" ref="J19:Y24" ca="1" si="18">MIN(OFFSET(dH,$H19*4,J$7*4,4,4))</f>
        <v>0</v>
      </c>
      <c r="K19" s="32">
        <f t="shared" ca="1" si="18"/>
        <v>6.1</v>
      </c>
      <c r="L19" s="32">
        <f t="shared" ca="1" si="18"/>
        <v>6.7</v>
      </c>
      <c r="M19" s="32">
        <f t="shared" ca="1" si="18"/>
        <v>6.1</v>
      </c>
      <c r="N19" s="87">
        <f t="shared" ca="1" si="18"/>
        <v>6.1</v>
      </c>
      <c r="O19" s="32">
        <f t="shared" ca="1" si="18"/>
        <v>6.1</v>
      </c>
      <c r="P19" s="32">
        <f t="shared" ca="1" si="18"/>
        <v>6.1</v>
      </c>
      <c r="Q19" s="36">
        <f t="shared" ca="1" si="18"/>
        <v>6.1</v>
      </c>
      <c r="R19" s="32">
        <f t="shared" ca="1" si="18"/>
        <v>7.4</v>
      </c>
      <c r="S19" s="32">
        <f t="shared" ca="1" si="18"/>
        <v>6.1</v>
      </c>
      <c r="T19" s="32">
        <f t="shared" ca="1" si="18"/>
        <v>6.7</v>
      </c>
      <c r="U19" s="32">
        <f t="shared" ca="1" si="18"/>
        <v>6.1</v>
      </c>
      <c r="V19" s="87">
        <f t="shared" ca="1" si="18"/>
        <v>6.1</v>
      </c>
      <c r="W19" s="32">
        <f t="shared" ca="1" si="18"/>
        <v>6.1</v>
      </c>
      <c r="X19" s="32">
        <f t="shared" ca="1" si="18"/>
        <v>6.1</v>
      </c>
      <c r="Y19" s="36">
        <f t="shared" ca="1" si="18"/>
        <v>6.1</v>
      </c>
      <c r="AC19" s="10">
        <v>1</v>
      </c>
      <c r="AD19" s="10">
        <v>0</v>
      </c>
      <c r="AE19" s="10">
        <v>1</v>
      </c>
      <c r="AF19" s="11">
        <v>0</v>
      </c>
      <c r="AG19" s="5" t="s">
        <v>16</v>
      </c>
      <c r="AH19" s="9">
        <v>10</v>
      </c>
      <c r="AI19" s="3" t="s">
        <v>15</v>
      </c>
      <c r="AJ19" s="87">
        <f t="shared" ref="AJ19:AY24" ca="1" si="19">MAX(OFFSET(dH,$H19*4,AJ$7*4,4,4))</f>
        <v>0</v>
      </c>
      <c r="AK19" s="32">
        <f t="shared" ca="1" si="19"/>
        <v>10.1</v>
      </c>
      <c r="AL19" s="32">
        <f t="shared" ca="1" si="19"/>
        <v>8.6</v>
      </c>
      <c r="AM19" s="32">
        <f t="shared" ca="1" si="19"/>
        <v>10.1</v>
      </c>
      <c r="AN19" s="87">
        <f t="shared" ca="1" si="19"/>
        <v>6.5</v>
      </c>
      <c r="AO19" s="32">
        <f t="shared" ca="1" si="19"/>
        <v>10.1</v>
      </c>
      <c r="AP19" s="32">
        <f t="shared" ca="1" si="19"/>
        <v>8.6</v>
      </c>
      <c r="AQ19" s="36">
        <f t="shared" ca="1" si="19"/>
        <v>10.1</v>
      </c>
      <c r="AR19" s="32">
        <f t="shared" ca="1" si="19"/>
        <v>8.4</v>
      </c>
      <c r="AS19" s="32">
        <f t="shared" ca="1" si="19"/>
        <v>10.1</v>
      </c>
      <c r="AT19" s="32">
        <f t="shared" ca="1" si="19"/>
        <v>8.6</v>
      </c>
      <c r="AU19" s="32">
        <f t="shared" ca="1" si="19"/>
        <v>10.1</v>
      </c>
      <c r="AV19" s="87">
        <f t="shared" ca="1" si="19"/>
        <v>8.4</v>
      </c>
      <c r="AW19" s="32">
        <f t="shared" ca="1" si="19"/>
        <v>10.1</v>
      </c>
      <c r="AX19" s="32">
        <f t="shared" ca="1" si="19"/>
        <v>8.6</v>
      </c>
      <c r="AY19" s="36">
        <f t="shared" ca="1" si="19"/>
        <v>10.1</v>
      </c>
      <c r="BB19" s="10">
        <v>1</v>
      </c>
      <c r="BC19" s="10">
        <v>0</v>
      </c>
      <c r="BD19" s="10">
        <v>1</v>
      </c>
      <c r="BE19" s="11">
        <v>0</v>
      </c>
      <c r="BF19" s="5" t="s">
        <v>16</v>
      </c>
      <c r="BG19" s="9">
        <v>10</v>
      </c>
      <c r="BH19" s="3" t="s">
        <v>15</v>
      </c>
      <c r="BI19" s="87">
        <f t="shared" ca="1" si="2"/>
        <v>0</v>
      </c>
      <c r="BJ19" s="32">
        <f t="shared" ca="1" si="17"/>
        <v>4</v>
      </c>
      <c r="BK19" s="32">
        <f t="shared" ca="1" si="3"/>
        <v>1.8999999999999995</v>
      </c>
      <c r="BL19" s="32">
        <f t="shared" ca="1" si="4"/>
        <v>4</v>
      </c>
      <c r="BM19" s="87">
        <f t="shared" ca="1" si="5"/>
        <v>0.40000000000000036</v>
      </c>
      <c r="BN19" s="32">
        <f t="shared" ca="1" si="6"/>
        <v>4</v>
      </c>
      <c r="BO19" s="32">
        <f t="shared" ca="1" si="7"/>
        <v>2.5</v>
      </c>
      <c r="BP19" s="36">
        <f t="shared" ca="1" si="8"/>
        <v>4</v>
      </c>
      <c r="BQ19" s="32">
        <f t="shared" ca="1" si="9"/>
        <v>1</v>
      </c>
      <c r="BR19" s="32">
        <f t="shared" ca="1" si="10"/>
        <v>4</v>
      </c>
      <c r="BS19" s="32">
        <f t="shared" ca="1" si="11"/>
        <v>1.8999999999999995</v>
      </c>
      <c r="BT19" s="32">
        <f t="shared" ca="1" si="12"/>
        <v>4</v>
      </c>
      <c r="BU19" s="87">
        <f t="shared" ca="1" si="13"/>
        <v>2.3000000000000007</v>
      </c>
      <c r="BV19" s="32">
        <f t="shared" ca="1" si="14"/>
        <v>4</v>
      </c>
      <c r="BW19" s="32">
        <f t="shared" ca="1" si="15"/>
        <v>2.5</v>
      </c>
      <c r="BX19" s="36">
        <f t="shared" ca="1" si="16"/>
        <v>4</v>
      </c>
    </row>
    <row r="20" spans="1:83" ht="15.75" thickBot="1">
      <c r="C20" s="13">
        <v>1</v>
      </c>
      <c r="D20" s="13">
        <v>0</v>
      </c>
      <c r="E20" s="13">
        <v>1</v>
      </c>
      <c r="F20" s="14">
        <v>1</v>
      </c>
      <c r="G20" s="5" t="s">
        <v>18</v>
      </c>
      <c r="H20" s="12">
        <v>11</v>
      </c>
      <c r="I20" s="2" t="s">
        <v>17</v>
      </c>
      <c r="J20" s="87">
        <f t="shared" ca="1" si="18"/>
        <v>0</v>
      </c>
      <c r="K20" s="32">
        <f t="shared" ca="1" si="18"/>
        <v>6.1</v>
      </c>
      <c r="L20" s="32">
        <f t="shared" ca="1" si="18"/>
        <v>6.7</v>
      </c>
      <c r="M20" s="32">
        <f t="shared" ca="1" si="18"/>
        <v>6.1</v>
      </c>
      <c r="N20" s="87">
        <f t="shared" ca="1" si="18"/>
        <v>6.1</v>
      </c>
      <c r="O20" s="32">
        <f t="shared" ca="1" si="18"/>
        <v>6.1</v>
      </c>
      <c r="P20" s="32">
        <f t="shared" ca="1" si="18"/>
        <v>6.1</v>
      </c>
      <c r="Q20" s="36">
        <f t="shared" ca="1" si="18"/>
        <v>6.1</v>
      </c>
      <c r="R20" s="32">
        <f t="shared" ca="1" si="18"/>
        <v>7.4</v>
      </c>
      <c r="S20" s="32">
        <f t="shared" ca="1" si="18"/>
        <v>6.1</v>
      </c>
      <c r="T20" s="32">
        <f t="shared" ca="1" si="18"/>
        <v>6.7</v>
      </c>
      <c r="U20" s="32">
        <f t="shared" ca="1" si="18"/>
        <v>6.1</v>
      </c>
      <c r="V20" s="87">
        <f t="shared" ca="1" si="18"/>
        <v>6.1</v>
      </c>
      <c r="W20" s="32">
        <f t="shared" ca="1" si="18"/>
        <v>6.1</v>
      </c>
      <c r="X20" s="32">
        <f t="shared" ca="1" si="18"/>
        <v>6.1</v>
      </c>
      <c r="Y20" s="36">
        <f t="shared" ca="1" si="18"/>
        <v>6.1</v>
      </c>
      <c r="AC20" s="13">
        <v>1</v>
      </c>
      <c r="AD20" s="13">
        <v>0</v>
      </c>
      <c r="AE20" s="13">
        <v>1</v>
      </c>
      <c r="AF20" s="14">
        <v>1</v>
      </c>
      <c r="AG20" s="5" t="s">
        <v>18</v>
      </c>
      <c r="AH20" s="12">
        <v>11</v>
      </c>
      <c r="AI20" s="2" t="s">
        <v>17</v>
      </c>
      <c r="AJ20" s="87">
        <f t="shared" ca="1" si="19"/>
        <v>0</v>
      </c>
      <c r="AK20" s="32">
        <f t="shared" ca="1" si="19"/>
        <v>10.1</v>
      </c>
      <c r="AL20" s="32">
        <f t="shared" ca="1" si="19"/>
        <v>11.1</v>
      </c>
      <c r="AM20" s="32">
        <f t="shared" ca="1" si="19"/>
        <v>11.1</v>
      </c>
      <c r="AN20" s="87">
        <f t="shared" ca="1" si="19"/>
        <v>8.6</v>
      </c>
      <c r="AO20" s="32">
        <f t="shared" ca="1" si="19"/>
        <v>10.1</v>
      </c>
      <c r="AP20" s="32">
        <f t="shared" ca="1" si="19"/>
        <v>11.1</v>
      </c>
      <c r="AQ20" s="36">
        <f t="shared" ca="1" si="19"/>
        <v>11.1</v>
      </c>
      <c r="AR20" s="32">
        <f t="shared" ca="1" si="19"/>
        <v>8.4</v>
      </c>
      <c r="AS20" s="32">
        <f t="shared" ca="1" si="19"/>
        <v>10.1</v>
      </c>
      <c r="AT20" s="32">
        <f t="shared" ca="1" si="19"/>
        <v>11.1</v>
      </c>
      <c r="AU20" s="32">
        <f t="shared" ca="1" si="19"/>
        <v>11.1</v>
      </c>
      <c r="AV20" s="87">
        <f t="shared" ca="1" si="19"/>
        <v>8.6</v>
      </c>
      <c r="AW20" s="32">
        <f t="shared" ca="1" si="19"/>
        <v>10.1</v>
      </c>
      <c r="AX20" s="32">
        <f t="shared" ca="1" si="19"/>
        <v>11.1</v>
      </c>
      <c r="AY20" s="36">
        <f t="shared" ca="1" si="19"/>
        <v>11.1</v>
      </c>
      <c r="BB20" s="13">
        <v>1</v>
      </c>
      <c r="BC20" s="13">
        <v>0</v>
      </c>
      <c r="BD20" s="13">
        <v>1</v>
      </c>
      <c r="BE20" s="14">
        <v>1</v>
      </c>
      <c r="BF20" s="5" t="s">
        <v>18</v>
      </c>
      <c r="BG20" s="12">
        <v>11</v>
      </c>
      <c r="BH20" s="2" t="s">
        <v>17</v>
      </c>
      <c r="BI20" s="87">
        <f t="shared" ca="1" si="2"/>
        <v>0</v>
      </c>
      <c r="BJ20" s="32">
        <f t="shared" ca="1" si="17"/>
        <v>4</v>
      </c>
      <c r="BK20" s="32">
        <f t="shared" ca="1" si="3"/>
        <v>4.3999999999999995</v>
      </c>
      <c r="BL20" s="32">
        <f t="shared" ca="1" si="4"/>
        <v>5</v>
      </c>
      <c r="BM20" s="87">
        <f t="shared" ca="1" si="5"/>
        <v>2.5</v>
      </c>
      <c r="BN20" s="32">
        <f t="shared" ca="1" si="6"/>
        <v>4</v>
      </c>
      <c r="BO20" s="32">
        <f t="shared" ca="1" si="7"/>
        <v>5</v>
      </c>
      <c r="BP20" s="36">
        <f t="shared" ca="1" si="8"/>
        <v>5</v>
      </c>
      <c r="BQ20" s="32">
        <f t="shared" ca="1" si="9"/>
        <v>1</v>
      </c>
      <c r="BR20" s="32">
        <f t="shared" ca="1" si="10"/>
        <v>4</v>
      </c>
      <c r="BS20" s="32">
        <f t="shared" ca="1" si="11"/>
        <v>4.3999999999999995</v>
      </c>
      <c r="BT20" s="32">
        <f t="shared" ca="1" si="12"/>
        <v>5</v>
      </c>
      <c r="BU20" s="87">
        <f t="shared" ca="1" si="13"/>
        <v>2.5</v>
      </c>
      <c r="BV20" s="32">
        <f t="shared" ca="1" si="14"/>
        <v>4</v>
      </c>
      <c r="BW20" s="32">
        <f t="shared" ca="1" si="15"/>
        <v>5</v>
      </c>
      <c r="BX20" s="36">
        <f t="shared" ca="1" si="16"/>
        <v>5</v>
      </c>
    </row>
    <row r="21" spans="1:83">
      <c r="C21" s="5">
        <v>1</v>
      </c>
      <c r="D21" s="5">
        <v>1</v>
      </c>
      <c r="E21" s="5">
        <v>0</v>
      </c>
      <c r="F21" s="5">
        <v>0</v>
      </c>
      <c r="G21" s="5" t="s">
        <v>20</v>
      </c>
      <c r="H21" s="5">
        <v>12</v>
      </c>
      <c r="I21" s="3" t="s">
        <v>19</v>
      </c>
      <c r="J21" s="83">
        <f t="shared" ca="1" si="18"/>
        <v>0</v>
      </c>
      <c r="K21" s="84">
        <f t="shared" ca="1" si="18"/>
        <v>6.1</v>
      </c>
      <c r="L21" s="84">
        <f t="shared" ca="1" si="18"/>
        <v>7.7</v>
      </c>
      <c r="M21" s="84">
        <f t="shared" ca="1" si="18"/>
        <v>6.1</v>
      </c>
      <c r="N21" s="83">
        <f t="shared" ca="1" si="18"/>
        <v>6.5</v>
      </c>
      <c r="O21" s="84">
        <f t="shared" ca="1" si="18"/>
        <v>6.1</v>
      </c>
      <c r="P21" s="84">
        <f t="shared" ca="1" si="18"/>
        <v>6.5</v>
      </c>
      <c r="Q21" s="85">
        <f t="shared" ca="1" si="18"/>
        <v>6.1</v>
      </c>
      <c r="R21" s="84">
        <f t="shared" ca="1" si="18"/>
        <v>6.3</v>
      </c>
      <c r="S21" s="84">
        <f t="shared" ca="1" si="18"/>
        <v>6.1</v>
      </c>
      <c r="T21" s="84">
        <f t="shared" ca="1" si="18"/>
        <v>6.3</v>
      </c>
      <c r="U21" s="84">
        <f t="shared" ca="1" si="18"/>
        <v>6.1</v>
      </c>
      <c r="V21" s="83">
        <f t="shared" ca="1" si="18"/>
        <v>6.3</v>
      </c>
      <c r="W21" s="84">
        <f t="shared" ca="1" si="18"/>
        <v>6.1</v>
      </c>
      <c r="X21" s="84">
        <f t="shared" ca="1" si="18"/>
        <v>6.3</v>
      </c>
      <c r="Y21" s="85">
        <f t="shared" ca="1" si="18"/>
        <v>6.1</v>
      </c>
      <c r="AC21" s="5">
        <v>1</v>
      </c>
      <c r="AD21" s="5">
        <v>1</v>
      </c>
      <c r="AE21" s="5">
        <v>0</v>
      </c>
      <c r="AF21" s="5">
        <v>0</v>
      </c>
      <c r="AG21" s="5" t="s">
        <v>20</v>
      </c>
      <c r="AH21" s="5">
        <v>12</v>
      </c>
      <c r="AI21" s="3" t="s">
        <v>19</v>
      </c>
      <c r="AJ21" s="83">
        <f t="shared" ca="1" si="19"/>
        <v>0</v>
      </c>
      <c r="AK21" s="84">
        <f t="shared" ca="1" si="19"/>
        <v>7.4</v>
      </c>
      <c r="AL21" s="84">
        <f t="shared" ca="1" si="19"/>
        <v>8.6</v>
      </c>
      <c r="AM21" s="84">
        <f t="shared" ca="1" si="19"/>
        <v>8.6</v>
      </c>
      <c r="AN21" s="83">
        <f t="shared" ca="1" si="19"/>
        <v>8.4</v>
      </c>
      <c r="AO21" s="84">
        <f t="shared" ca="1" si="19"/>
        <v>8.4</v>
      </c>
      <c r="AP21" s="84">
        <f t="shared" ca="1" si="19"/>
        <v>8.6</v>
      </c>
      <c r="AQ21" s="85">
        <f t="shared" ca="1" si="19"/>
        <v>8.6</v>
      </c>
      <c r="AR21" s="84">
        <f t="shared" ca="1" si="19"/>
        <v>8.4</v>
      </c>
      <c r="AS21" s="84">
        <f t="shared" ca="1" si="19"/>
        <v>8.4</v>
      </c>
      <c r="AT21" s="84">
        <f t="shared" ca="1" si="19"/>
        <v>8.6</v>
      </c>
      <c r="AU21" s="84">
        <f t="shared" ca="1" si="19"/>
        <v>8.6</v>
      </c>
      <c r="AV21" s="83">
        <f t="shared" ca="1" si="19"/>
        <v>8.4</v>
      </c>
      <c r="AW21" s="84">
        <f t="shared" ca="1" si="19"/>
        <v>8.4</v>
      </c>
      <c r="AX21" s="84">
        <f t="shared" ca="1" si="19"/>
        <v>8.6</v>
      </c>
      <c r="AY21" s="85">
        <f t="shared" ca="1" si="19"/>
        <v>8.6</v>
      </c>
      <c r="BB21" s="5">
        <v>1</v>
      </c>
      <c r="BC21" s="5">
        <v>1</v>
      </c>
      <c r="BD21" s="5">
        <v>0</v>
      </c>
      <c r="BE21" s="5">
        <v>0</v>
      </c>
      <c r="BF21" s="5" t="s">
        <v>20</v>
      </c>
      <c r="BG21" s="5">
        <v>12</v>
      </c>
      <c r="BH21" s="3" t="s">
        <v>19</v>
      </c>
      <c r="BI21" s="83">
        <f t="shared" ca="1" si="2"/>
        <v>0</v>
      </c>
      <c r="BJ21" s="84">
        <f t="shared" ca="1" si="17"/>
        <v>1.3000000000000007</v>
      </c>
      <c r="BK21" s="84">
        <f t="shared" ca="1" si="3"/>
        <v>0.89999999999999947</v>
      </c>
      <c r="BL21" s="84">
        <f t="shared" ca="1" si="4"/>
        <v>2.5</v>
      </c>
      <c r="BM21" s="83">
        <f t="shared" ca="1" si="5"/>
        <v>1.9000000000000004</v>
      </c>
      <c r="BN21" s="84">
        <f t="shared" ca="1" si="6"/>
        <v>2.3000000000000007</v>
      </c>
      <c r="BO21" s="84">
        <f t="shared" ca="1" si="7"/>
        <v>2.0999999999999996</v>
      </c>
      <c r="BP21" s="85">
        <f t="shared" ca="1" si="8"/>
        <v>2.5</v>
      </c>
      <c r="BQ21" s="84">
        <f t="shared" ca="1" si="9"/>
        <v>2.1000000000000005</v>
      </c>
      <c r="BR21" s="84">
        <f t="shared" ca="1" si="10"/>
        <v>2.3000000000000007</v>
      </c>
      <c r="BS21" s="84">
        <f t="shared" ca="1" si="11"/>
        <v>2.2999999999999998</v>
      </c>
      <c r="BT21" s="84">
        <f t="shared" ca="1" si="12"/>
        <v>2.5</v>
      </c>
      <c r="BU21" s="83">
        <f t="shared" ca="1" si="13"/>
        <v>2.1000000000000005</v>
      </c>
      <c r="BV21" s="84">
        <f t="shared" ca="1" si="14"/>
        <v>2.3000000000000007</v>
      </c>
      <c r="BW21" s="84">
        <f t="shared" ca="1" si="15"/>
        <v>2.2999999999999998</v>
      </c>
      <c r="BX21" s="85">
        <f t="shared" ca="1" si="16"/>
        <v>2.5</v>
      </c>
    </row>
    <row r="22" spans="1:83">
      <c r="C22" s="5">
        <v>1</v>
      </c>
      <c r="D22" s="5">
        <v>1</v>
      </c>
      <c r="E22" s="5">
        <v>0</v>
      </c>
      <c r="F22" s="5">
        <v>1</v>
      </c>
      <c r="G22" s="5" t="s">
        <v>22</v>
      </c>
      <c r="H22" s="5">
        <v>13</v>
      </c>
      <c r="I22" s="3" t="s">
        <v>21</v>
      </c>
      <c r="J22" s="87">
        <f t="shared" ca="1" si="18"/>
        <v>0</v>
      </c>
      <c r="K22" s="32">
        <f t="shared" ca="1" si="18"/>
        <v>6.1</v>
      </c>
      <c r="L22" s="32">
        <f t="shared" ca="1" si="18"/>
        <v>7.7</v>
      </c>
      <c r="M22" s="32">
        <f t="shared" ca="1" si="18"/>
        <v>6.1</v>
      </c>
      <c r="N22" s="87">
        <f t="shared" ca="1" si="18"/>
        <v>6.5</v>
      </c>
      <c r="O22" s="32">
        <f t="shared" ca="1" si="18"/>
        <v>6.1</v>
      </c>
      <c r="P22" s="32">
        <f t="shared" ca="1" si="18"/>
        <v>6.5</v>
      </c>
      <c r="Q22" s="36">
        <f t="shared" ca="1" si="18"/>
        <v>6.1</v>
      </c>
      <c r="R22" s="32">
        <f t="shared" ca="1" si="18"/>
        <v>6.3</v>
      </c>
      <c r="S22" s="32">
        <f t="shared" ca="1" si="18"/>
        <v>6.1</v>
      </c>
      <c r="T22" s="32">
        <f t="shared" ca="1" si="18"/>
        <v>6.3</v>
      </c>
      <c r="U22" s="32">
        <f t="shared" ca="1" si="18"/>
        <v>6.1</v>
      </c>
      <c r="V22" s="87">
        <f t="shared" ca="1" si="18"/>
        <v>6.3</v>
      </c>
      <c r="W22" s="32">
        <f t="shared" ca="1" si="18"/>
        <v>6.1</v>
      </c>
      <c r="X22" s="32">
        <f t="shared" ca="1" si="18"/>
        <v>6.3</v>
      </c>
      <c r="Y22" s="36">
        <f t="shared" ca="1" si="18"/>
        <v>6.1</v>
      </c>
      <c r="AC22" s="5">
        <v>1</v>
      </c>
      <c r="AD22" s="5">
        <v>1</v>
      </c>
      <c r="AE22" s="5">
        <v>0</v>
      </c>
      <c r="AF22" s="5">
        <v>1</v>
      </c>
      <c r="AG22" s="5" t="s">
        <v>22</v>
      </c>
      <c r="AH22" s="5">
        <v>13</v>
      </c>
      <c r="AI22" s="3" t="s">
        <v>21</v>
      </c>
      <c r="AJ22" s="87">
        <f t="shared" ca="1" si="19"/>
        <v>0</v>
      </c>
      <c r="AK22" s="32">
        <f t="shared" ca="1" si="19"/>
        <v>7.4</v>
      </c>
      <c r="AL22" s="32">
        <f t="shared" ca="1" si="19"/>
        <v>11.1</v>
      </c>
      <c r="AM22" s="32">
        <f t="shared" ca="1" si="19"/>
        <v>11.1</v>
      </c>
      <c r="AN22" s="87">
        <f t="shared" ca="1" si="19"/>
        <v>8.6</v>
      </c>
      <c r="AO22" s="32">
        <f t="shared" ca="1" si="19"/>
        <v>8.6</v>
      </c>
      <c r="AP22" s="32">
        <f t="shared" ca="1" si="19"/>
        <v>11.1</v>
      </c>
      <c r="AQ22" s="36">
        <f t="shared" ca="1" si="19"/>
        <v>11.1</v>
      </c>
      <c r="AR22" s="32">
        <f t="shared" ca="1" si="19"/>
        <v>8.4</v>
      </c>
      <c r="AS22" s="32">
        <f t="shared" ca="1" si="19"/>
        <v>8.4</v>
      </c>
      <c r="AT22" s="32">
        <f t="shared" ca="1" si="19"/>
        <v>11.1</v>
      </c>
      <c r="AU22" s="32">
        <f t="shared" ca="1" si="19"/>
        <v>11.1</v>
      </c>
      <c r="AV22" s="87">
        <f t="shared" ca="1" si="19"/>
        <v>8.6</v>
      </c>
      <c r="AW22" s="32">
        <f t="shared" ca="1" si="19"/>
        <v>8.6</v>
      </c>
      <c r="AX22" s="32">
        <f t="shared" ca="1" si="19"/>
        <v>11.1</v>
      </c>
      <c r="AY22" s="36">
        <f t="shared" ca="1" si="19"/>
        <v>11.1</v>
      </c>
      <c r="BB22" s="5">
        <v>1</v>
      </c>
      <c r="BC22" s="5">
        <v>1</v>
      </c>
      <c r="BD22" s="5">
        <v>0</v>
      </c>
      <c r="BE22" s="5">
        <v>1</v>
      </c>
      <c r="BF22" s="5" t="s">
        <v>22</v>
      </c>
      <c r="BG22" s="5">
        <v>13</v>
      </c>
      <c r="BH22" s="3" t="s">
        <v>21</v>
      </c>
      <c r="BI22" s="87">
        <f t="shared" ca="1" si="2"/>
        <v>0</v>
      </c>
      <c r="BJ22" s="32">
        <f t="shared" ca="1" si="17"/>
        <v>1.3000000000000007</v>
      </c>
      <c r="BK22" s="32">
        <f t="shared" ca="1" si="3"/>
        <v>3.3999999999999995</v>
      </c>
      <c r="BL22" s="32">
        <f t="shared" ca="1" si="4"/>
        <v>5</v>
      </c>
      <c r="BM22" s="87">
        <f t="shared" ca="1" si="5"/>
        <v>2.0999999999999996</v>
      </c>
      <c r="BN22" s="32">
        <f t="shared" ca="1" si="6"/>
        <v>2.5</v>
      </c>
      <c r="BO22" s="32">
        <f t="shared" ca="1" si="7"/>
        <v>4.5999999999999996</v>
      </c>
      <c r="BP22" s="36">
        <f t="shared" ca="1" si="8"/>
        <v>5</v>
      </c>
      <c r="BQ22" s="32">
        <f t="shared" ca="1" si="9"/>
        <v>2.1000000000000005</v>
      </c>
      <c r="BR22" s="32">
        <f t="shared" ca="1" si="10"/>
        <v>2.3000000000000007</v>
      </c>
      <c r="BS22" s="32">
        <f t="shared" ca="1" si="11"/>
        <v>4.8</v>
      </c>
      <c r="BT22" s="32">
        <f t="shared" ca="1" si="12"/>
        <v>5</v>
      </c>
      <c r="BU22" s="87">
        <f t="shared" ca="1" si="13"/>
        <v>2.2999999999999998</v>
      </c>
      <c r="BV22" s="32">
        <f t="shared" ca="1" si="14"/>
        <v>2.5</v>
      </c>
      <c r="BW22" s="32">
        <f t="shared" ca="1" si="15"/>
        <v>4.8</v>
      </c>
      <c r="BX22" s="36">
        <f t="shared" ca="1" si="16"/>
        <v>5</v>
      </c>
    </row>
    <row r="23" spans="1:83">
      <c r="C23" s="5">
        <v>1</v>
      </c>
      <c r="D23" s="5">
        <v>1</v>
      </c>
      <c r="E23" s="5">
        <v>1</v>
      </c>
      <c r="F23" s="5">
        <v>0</v>
      </c>
      <c r="G23" s="5" t="s">
        <v>24</v>
      </c>
      <c r="H23" s="5">
        <v>14</v>
      </c>
      <c r="I23" s="3" t="s">
        <v>23</v>
      </c>
      <c r="J23" s="87">
        <f t="shared" ca="1" si="18"/>
        <v>0</v>
      </c>
      <c r="K23" s="32">
        <f t="shared" ca="1" si="18"/>
        <v>6.1</v>
      </c>
      <c r="L23" s="32">
        <f t="shared" ca="1" si="18"/>
        <v>6.7</v>
      </c>
      <c r="M23" s="32">
        <f t="shared" ca="1" si="18"/>
        <v>6.1</v>
      </c>
      <c r="N23" s="87">
        <f t="shared" ca="1" si="18"/>
        <v>6.1</v>
      </c>
      <c r="O23" s="32">
        <f t="shared" ca="1" si="18"/>
        <v>6.1</v>
      </c>
      <c r="P23" s="32">
        <f t="shared" ca="1" si="18"/>
        <v>6.1</v>
      </c>
      <c r="Q23" s="36">
        <f t="shared" ca="1" si="18"/>
        <v>6.1</v>
      </c>
      <c r="R23" s="32">
        <f t="shared" ca="1" si="18"/>
        <v>6.3</v>
      </c>
      <c r="S23" s="32">
        <f t="shared" ca="1" si="18"/>
        <v>6.1</v>
      </c>
      <c r="T23" s="32">
        <f t="shared" ca="1" si="18"/>
        <v>6.3</v>
      </c>
      <c r="U23" s="32">
        <f t="shared" ca="1" si="18"/>
        <v>6.1</v>
      </c>
      <c r="V23" s="87">
        <f t="shared" ca="1" si="18"/>
        <v>6.1</v>
      </c>
      <c r="W23" s="32">
        <f t="shared" ca="1" si="18"/>
        <v>6.1</v>
      </c>
      <c r="X23" s="32">
        <f t="shared" ca="1" si="18"/>
        <v>6.1</v>
      </c>
      <c r="Y23" s="36">
        <f t="shared" ca="1" si="18"/>
        <v>6.1</v>
      </c>
      <c r="AC23" s="5">
        <v>1</v>
      </c>
      <c r="AD23" s="5">
        <v>1</v>
      </c>
      <c r="AE23" s="5">
        <v>1</v>
      </c>
      <c r="AF23" s="5">
        <v>0</v>
      </c>
      <c r="AG23" s="5" t="s">
        <v>24</v>
      </c>
      <c r="AH23" s="5">
        <v>14</v>
      </c>
      <c r="AI23" s="3" t="s">
        <v>23</v>
      </c>
      <c r="AJ23" s="87">
        <f t="shared" ca="1" si="19"/>
        <v>0</v>
      </c>
      <c r="AK23" s="32">
        <f t="shared" ca="1" si="19"/>
        <v>10.1</v>
      </c>
      <c r="AL23" s="32">
        <f t="shared" ca="1" si="19"/>
        <v>8.6</v>
      </c>
      <c r="AM23" s="32">
        <f t="shared" ca="1" si="19"/>
        <v>10.1</v>
      </c>
      <c r="AN23" s="87">
        <f t="shared" ca="1" si="19"/>
        <v>8.4</v>
      </c>
      <c r="AO23" s="32">
        <f t="shared" ca="1" si="19"/>
        <v>10.1</v>
      </c>
      <c r="AP23" s="32">
        <f t="shared" ca="1" si="19"/>
        <v>8.6</v>
      </c>
      <c r="AQ23" s="36">
        <f t="shared" ca="1" si="19"/>
        <v>10.1</v>
      </c>
      <c r="AR23" s="32">
        <f t="shared" ca="1" si="19"/>
        <v>8.4</v>
      </c>
      <c r="AS23" s="32">
        <f t="shared" ca="1" si="19"/>
        <v>10.1</v>
      </c>
      <c r="AT23" s="32">
        <f t="shared" ca="1" si="19"/>
        <v>8.6</v>
      </c>
      <c r="AU23" s="32">
        <f t="shared" ca="1" si="19"/>
        <v>10.1</v>
      </c>
      <c r="AV23" s="87">
        <f t="shared" ca="1" si="19"/>
        <v>8.4</v>
      </c>
      <c r="AW23" s="32">
        <f t="shared" ca="1" si="19"/>
        <v>10.1</v>
      </c>
      <c r="AX23" s="32">
        <f t="shared" ca="1" si="19"/>
        <v>8.6</v>
      </c>
      <c r="AY23" s="36">
        <f t="shared" ca="1" si="19"/>
        <v>10.1</v>
      </c>
      <c r="BB23" s="5">
        <v>1</v>
      </c>
      <c r="BC23" s="5">
        <v>1</v>
      </c>
      <c r="BD23" s="5">
        <v>1</v>
      </c>
      <c r="BE23" s="5">
        <v>0</v>
      </c>
      <c r="BF23" s="5" t="s">
        <v>24</v>
      </c>
      <c r="BG23" s="5">
        <v>14</v>
      </c>
      <c r="BH23" s="3" t="s">
        <v>23</v>
      </c>
      <c r="BI23" s="87">
        <f t="shared" ca="1" si="2"/>
        <v>0</v>
      </c>
      <c r="BJ23" s="32">
        <f t="shared" ca="1" si="17"/>
        <v>4</v>
      </c>
      <c r="BK23" s="32">
        <f t="shared" ca="1" si="3"/>
        <v>1.8999999999999995</v>
      </c>
      <c r="BL23" s="32">
        <f t="shared" ca="1" si="4"/>
        <v>4</v>
      </c>
      <c r="BM23" s="87">
        <f t="shared" ca="1" si="5"/>
        <v>2.3000000000000007</v>
      </c>
      <c r="BN23" s="32">
        <f t="shared" ca="1" si="6"/>
        <v>4</v>
      </c>
      <c r="BO23" s="32">
        <f t="shared" ca="1" si="7"/>
        <v>2.5</v>
      </c>
      <c r="BP23" s="36">
        <f t="shared" ca="1" si="8"/>
        <v>4</v>
      </c>
      <c r="BQ23" s="32">
        <f t="shared" ca="1" si="9"/>
        <v>2.1000000000000005</v>
      </c>
      <c r="BR23" s="32">
        <f t="shared" ca="1" si="10"/>
        <v>4</v>
      </c>
      <c r="BS23" s="32">
        <f t="shared" ca="1" si="11"/>
        <v>2.2999999999999998</v>
      </c>
      <c r="BT23" s="32">
        <f t="shared" ca="1" si="12"/>
        <v>4</v>
      </c>
      <c r="BU23" s="87">
        <f t="shared" ca="1" si="13"/>
        <v>2.3000000000000007</v>
      </c>
      <c r="BV23" s="32">
        <f t="shared" ca="1" si="14"/>
        <v>4</v>
      </c>
      <c r="BW23" s="32">
        <f t="shared" ca="1" si="15"/>
        <v>2.5</v>
      </c>
      <c r="BX23" s="36">
        <f t="shared" ca="1" si="16"/>
        <v>4</v>
      </c>
    </row>
    <row r="24" spans="1:83">
      <c r="C24" s="5">
        <v>1</v>
      </c>
      <c r="D24" s="5">
        <v>1</v>
      </c>
      <c r="E24" s="5">
        <v>1</v>
      </c>
      <c r="F24" s="5">
        <v>1</v>
      </c>
      <c r="G24" s="5" t="s">
        <v>26</v>
      </c>
      <c r="H24" s="5">
        <v>15</v>
      </c>
      <c r="I24" s="1" t="s">
        <v>25</v>
      </c>
      <c r="J24" s="86">
        <f t="shared" ca="1" si="18"/>
        <v>0</v>
      </c>
      <c r="K24" s="35">
        <f t="shared" ca="1" si="18"/>
        <v>6.1</v>
      </c>
      <c r="L24" s="35">
        <f t="shared" ca="1" si="18"/>
        <v>6.7</v>
      </c>
      <c r="M24" s="35">
        <f t="shared" ca="1" si="18"/>
        <v>6.1</v>
      </c>
      <c r="N24" s="86">
        <f t="shared" ca="1" si="18"/>
        <v>6.1</v>
      </c>
      <c r="O24" s="35">
        <f t="shared" ca="1" si="18"/>
        <v>6.1</v>
      </c>
      <c r="P24" s="35">
        <f t="shared" ca="1" si="18"/>
        <v>6.1</v>
      </c>
      <c r="Q24" s="37">
        <f t="shared" ca="1" si="18"/>
        <v>6.1</v>
      </c>
      <c r="R24" s="35">
        <f t="shared" ca="1" si="18"/>
        <v>6.3</v>
      </c>
      <c r="S24" s="35">
        <f t="shared" ca="1" si="18"/>
        <v>6.1</v>
      </c>
      <c r="T24" s="35">
        <f t="shared" ca="1" si="18"/>
        <v>6.3</v>
      </c>
      <c r="U24" s="35">
        <f t="shared" ca="1" si="18"/>
        <v>6.1</v>
      </c>
      <c r="V24" s="86">
        <f t="shared" ca="1" si="18"/>
        <v>6.1</v>
      </c>
      <c r="W24" s="35">
        <f t="shared" ca="1" si="18"/>
        <v>6.1</v>
      </c>
      <c r="X24" s="35">
        <f t="shared" ca="1" si="18"/>
        <v>6.1</v>
      </c>
      <c r="Y24" s="37">
        <f t="shared" ca="1" si="18"/>
        <v>6.1</v>
      </c>
      <c r="AC24" s="5">
        <v>1</v>
      </c>
      <c r="AD24" s="5">
        <v>1</v>
      </c>
      <c r="AE24" s="5">
        <v>1</v>
      </c>
      <c r="AF24" s="5">
        <v>1</v>
      </c>
      <c r="AG24" s="5" t="s">
        <v>26</v>
      </c>
      <c r="AH24" s="5">
        <v>15</v>
      </c>
      <c r="AI24" s="1" t="s">
        <v>25</v>
      </c>
      <c r="AJ24" s="86">
        <f t="shared" ca="1" si="19"/>
        <v>0</v>
      </c>
      <c r="AK24" s="35">
        <f t="shared" ca="1" si="19"/>
        <v>10.1</v>
      </c>
      <c r="AL24" s="35">
        <f t="shared" ca="1" si="19"/>
        <v>11.1</v>
      </c>
      <c r="AM24" s="35">
        <f t="shared" ca="1" si="19"/>
        <v>11.1</v>
      </c>
      <c r="AN24" s="86">
        <f t="shared" ca="1" si="19"/>
        <v>8.6</v>
      </c>
      <c r="AO24" s="35">
        <f t="shared" ca="1" si="19"/>
        <v>10.1</v>
      </c>
      <c r="AP24" s="35">
        <f t="shared" ca="1" si="19"/>
        <v>11.1</v>
      </c>
      <c r="AQ24" s="37">
        <f t="shared" ca="1" si="19"/>
        <v>11.1</v>
      </c>
      <c r="AR24" s="35">
        <f t="shared" ca="1" si="19"/>
        <v>8.4</v>
      </c>
      <c r="AS24" s="35">
        <f t="shared" ca="1" si="19"/>
        <v>10.1</v>
      </c>
      <c r="AT24" s="35">
        <f t="shared" ca="1" si="19"/>
        <v>11.1</v>
      </c>
      <c r="AU24" s="35">
        <f t="shared" ca="1" si="19"/>
        <v>11.1</v>
      </c>
      <c r="AV24" s="86">
        <f t="shared" ca="1" si="19"/>
        <v>8.6</v>
      </c>
      <c r="AW24" s="35">
        <f t="shared" ca="1" si="19"/>
        <v>10.1</v>
      </c>
      <c r="AX24" s="35">
        <f t="shared" ca="1" si="19"/>
        <v>11.1</v>
      </c>
      <c r="AY24" s="37">
        <f t="shared" ca="1" si="19"/>
        <v>11.1</v>
      </c>
      <c r="BB24" s="5">
        <v>1</v>
      </c>
      <c r="BC24" s="5">
        <v>1</v>
      </c>
      <c r="BD24" s="5">
        <v>1</v>
      </c>
      <c r="BE24" s="5">
        <v>1</v>
      </c>
      <c r="BF24" s="5" t="s">
        <v>26</v>
      </c>
      <c r="BG24" s="5">
        <v>15</v>
      </c>
      <c r="BH24" s="1" t="s">
        <v>25</v>
      </c>
      <c r="BI24" s="86">
        <f t="shared" ca="1" si="2"/>
        <v>0</v>
      </c>
      <c r="BJ24" s="35">
        <f t="shared" ca="1" si="17"/>
        <v>4</v>
      </c>
      <c r="BK24" s="35">
        <f t="shared" ca="1" si="3"/>
        <v>4.3999999999999995</v>
      </c>
      <c r="BL24" s="35">
        <f t="shared" ca="1" si="4"/>
        <v>5</v>
      </c>
      <c r="BM24" s="86">
        <f t="shared" ca="1" si="5"/>
        <v>2.5</v>
      </c>
      <c r="BN24" s="35">
        <f t="shared" ca="1" si="6"/>
        <v>4</v>
      </c>
      <c r="BO24" s="35">
        <f t="shared" ca="1" si="7"/>
        <v>5</v>
      </c>
      <c r="BP24" s="37">
        <f t="shared" ca="1" si="8"/>
        <v>5</v>
      </c>
      <c r="BQ24" s="35">
        <f t="shared" ca="1" si="9"/>
        <v>2.1000000000000005</v>
      </c>
      <c r="BR24" s="35">
        <f t="shared" ca="1" si="10"/>
        <v>4</v>
      </c>
      <c r="BS24" s="35">
        <f t="shared" ca="1" si="11"/>
        <v>4.8</v>
      </c>
      <c r="BT24" s="35">
        <f t="shared" ca="1" si="12"/>
        <v>5</v>
      </c>
      <c r="BU24" s="86">
        <f t="shared" ca="1" si="13"/>
        <v>2.5</v>
      </c>
      <c r="BV24" s="35">
        <f t="shared" ca="1" si="14"/>
        <v>4</v>
      </c>
      <c r="BW24" s="35">
        <f t="shared" ca="1" si="15"/>
        <v>5</v>
      </c>
      <c r="BX24" s="37">
        <f t="shared" ca="1" si="16"/>
        <v>5</v>
      </c>
    </row>
    <row r="25" spans="1:83" ht="15.75" thickBot="1"/>
    <row r="26" spans="1:83" ht="15.75" thickBot="1">
      <c r="B26" s="79" t="s">
        <v>81</v>
      </c>
      <c r="C26" s="80">
        <v>1</v>
      </c>
    </row>
    <row r="27" spans="1:83">
      <c r="B27" s="79"/>
      <c r="C27" s="79">
        <v>-1</v>
      </c>
      <c r="P27" s="83" t="str">
        <f>MID(CodDegElegir,P29+1,1)</f>
        <v>-</v>
      </c>
      <c r="Q27" s="84"/>
      <c r="R27" s="84"/>
      <c r="S27" s="85"/>
      <c r="T27" s="83" t="str">
        <f>MID(CodDegElegir,T29+1,1)</f>
        <v>G</v>
      </c>
      <c r="U27" s="84"/>
      <c r="V27" s="84"/>
      <c r="W27" s="85"/>
      <c r="X27" s="83" t="str">
        <f>MID(CodDegElegir,X29+1,1)</f>
        <v>C</v>
      </c>
      <c r="Y27" s="84"/>
      <c r="Z27" s="84"/>
      <c r="AA27" s="85"/>
      <c r="AB27" s="83" t="str">
        <f>MID(CodDegElegir,AB29+1,1)</f>
        <v>S</v>
      </c>
      <c r="AC27" s="84"/>
      <c r="AD27" s="84"/>
      <c r="AE27" s="85"/>
      <c r="AF27" s="83" t="str">
        <f>MID(CodDegElegir,AF29+1,1)</f>
        <v>T</v>
      </c>
      <c r="AG27" s="84"/>
      <c r="AH27" s="84"/>
      <c r="AI27" s="85"/>
      <c r="AJ27" s="83" t="str">
        <f>MID(CodDegElegir,AJ29+1,1)</f>
        <v>K</v>
      </c>
      <c r="AK27" s="84"/>
      <c r="AL27" s="84"/>
      <c r="AM27" s="85"/>
      <c r="AN27" s="83" t="str">
        <f>MID(CodDegElegir,AN29+1,1)</f>
        <v>Y</v>
      </c>
      <c r="AO27" s="84"/>
      <c r="AP27" s="84"/>
      <c r="AQ27" s="85"/>
      <c r="AR27" s="83" t="str">
        <f>MID(CodDegElegir,AR29+1,1)</f>
        <v>B</v>
      </c>
      <c r="AS27" s="84"/>
      <c r="AT27" s="84"/>
      <c r="AU27" s="85"/>
      <c r="AV27" s="83" t="str">
        <f>MID(CodDegElegir,AV29+1,1)</f>
        <v>A</v>
      </c>
      <c r="AW27" s="84"/>
      <c r="AX27" s="84"/>
      <c r="AY27" s="85"/>
      <c r="AZ27" s="83" t="str">
        <f>MID(CodDegElegir,AZ29+1,1)</f>
        <v>R</v>
      </c>
      <c r="BA27" s="84"/>
      <c r="BB27" s="84"/>
      <c r="BC27" s="85"/>
      <c r="BD27" s="83" t="str">
        <f>MID(CodDegElegir,BD29+1,1)</f>
        <v>M</v>
      </c>
      <c r="BE27" s="84"/>
      <c r="BF27" s="84"/>
      <c r="BG27" s="85"/>
      <c r="BH27" s="83" t="str">
        <f>MID(CodDegElegir,BH29+1,1)</f>
        <v>V</v>
      </c>
      <c r="BI27" s="84"/>
      <c r="BJ27" s="84"/>
      <c r="BK27" s="85"/>
      <c r="BL27" s="83" t="str">
        <f>MID(CodDegElegir,BL29+1,1)</f>
        <v>W</v>
      </c>
      <c r="BM27" s="84"/>
      <c r="BN27" s="84"/>
      <c r="BO27" s="85"/>
      <c r="BP27" s="83" t="str">
        <f>MID(CodDegElegir,BP29+1,1)</f>
        <v>D</v>
      </c>
      <c r="BQ27" s="84"/>
      <c r="BR27" s="84"/>
      <c r="BS27" s="85"/>
      <c r="BT27" s="83" t="str">
        <f>MID(CodDegElegir,BT29+1,1)</f>
        <v>H</v>
      </c>
      <c r="BU27" s="84"/>
      <c r="BV27" s="84"/>
      <c r="BW27" s="85"/>
      <c r="BX27" s="83" t="str">
        <f>MID(CodDegElegir,BX29+1,1)</f>
        <v>N</v>
      </c>
      <c r="BY27" s="84"/>
      <c r="BZ27" s="84"/>
      <c r="CA27" s="85"/>
      <c r="CB27" s="83" t="str">
        <f>MID(CodDegElegir,CB29+1,1)</f>
        <v/>
      </c>
      <c r="CC27" s="84"/>
      <c r="CD27" s="84"/>
      <c r="CE27" s="85"/>
    </row>
    <row r="28" spans="1:83">
      <c r="A28" t="s">
        <v>103</v>
      </c>
      <c r="C28" s="5">
        <v>8</v>
      </c>
      <c r="D28" s="5">
        <v>4</v>
      </c>
      <c r="E28" s="5">
        <v>2</v>
      </c>
      <c r="F28" s="5">
        <v>1</v>
      </c>
      <c r="P28" s="86" t="str">
        <f>MID(CodDegElegir,P30+1,1)</f>
        <v>-</v>
      </c>
      <c r="Q28" s="35" t="str">
        <f>MID(CodDegElegir,Q30+1,1)</f>
        <v>-</v>
      </c>
      <c r="R28" s="35" t="str">
        <f>MID(CodDegElegir,R30+1,1)</f>
        <v>-</v>
      </c>
      <c r="S28" s="37" t="str">
        <f>MID(CodDegElegir,S30+1,1)</f>
        <v>-</v>
      </c>
      <c r="T28" s="86" t="str">
        <f>MID(CodDegElegir,T30+1,1)</f>
        <v>-</v>
      </c>
      <c r="U28" s="35" t="str">
        <f>MID(CodDegElegir,U30+1,1)</f>
        <v>-</v>
      </c>
      <c r="V28" s="35" t="str">
        <f>MID(CodDegElegir,V30+1,1)</f>
        <v>-</v>
      </c>
      <c r="W28" s="37" t="str">
        <f>MID(CodDegElegir,W30+1,1)</f>
        <v>G</v>
      </c>
      <c r="X28" s="86" t="str">
        <f>MID(CodDegElegir,X30+1,1)</f>
        <v>-</v>
      </c>
      <c r="Y28" s="35" t="str">
        <f>MID(CodDegElegir,Y30+1,1)</f>
        <v>-</v>
      </c>
      <c r="Z28" s="35" t="str">
        <f>MID(CodDegElegir,Z30+1,1)</f>
        <v>C</v>
      </c>
      <c r="AA28" s="37" t="str">
        <f>MID(CodDegElegir,AA30+1,1)</f>
        <v>-</v>
      </c>
      <c r="AB28" s="86" t="str">
        <f>MID(CodDegElegir,AB30+1,1)</f>
        <v>-</v>
      </c>
      <c r="AC28" s="35" t="str">
        <f>MID(CodDegElegir,AC30+1,1)</f>
        <v>-</v>
      </c>
      <c r="AD28" s="35" t="str">
        <f>MID(CodDegElegir,AD30+1,1)</f>
        <v>C</v>
      </c>
      <c r="AE28" s="37" t="str">
        <f>MID(CodDegElegir,AE30+1,1)</f>
        <v>G</v>
      </c>
      <c r="AF28" s="86" t="str">
        <f>MID(CodDegElegir,AF30+1,1)</f>
        <v>-</v>
      </c>
      <c r="AG28" s="35" t="str">
        <f>MID(CodDegElegir,AG30+1,1)</f>
        <v>T</v>
      </c>
      <c r="AH28" s="35" t="str">
        <f>MID(CodDegElegir,AH30+1,1)</f>
        <v>-</v>
      </c>
      <c r="AI28" s="37" t="str">
        <f>MID(CodDegElegir,AI30+1,1)</f>
        <v>-</v>
      </c>
      <c r="AJ28" s="86" t="str">
        <f>MID(CodDegElegir,AJ30+1,1)</f>
        <v>-</v>
      </c>
      <c r="AK28" s="35" t="str">
        <f>MID(CodDegElegir,AK30+1,1)</f>
        <v>T</v>
      </c>
      <c r="AL28" s="35" t="str">
        <f>MID(CodDegElegir,AL30+1,1)</f>
        <v>-</v>
      </c>
      <c r="AM28" s="37" t="str">
        <f>MID(CodDegElegir,AM30+1,1)</f>
        <v>G</v>
      </c>
      <c r="AN28" s="86" t="str">
        <f>MID(CodDegElegir,AN30+1,1)</f>
        <v>-</v>
      </c>
      <c r="AO28" s="35" t="str">
        <f>MID(CodDegElegir,AO30+1,1)</f>
        <v>T</v>
      </c>
      <c r="AP28" s="35" t="str">
        <f>MID(CodDegElegir,AP30+1,1)</f>
        <v>C</v>
      </c>
      <c r="AQ28" s="37" t="str">
        <f>MID(CodDegElegir,AQ30+1,1)</f>
        <v>-</v>
      </c>
      <c r="AR28" s="86" t="str">
        <f>MID(CodDegElegir,AR30+1,1)</f>
        <v>-</v>
      </c>
      <c r="AS28" s="35" t="str">
        <f>MID(CodDegElegir,AS30+1,1)</f>
        <v>T</v>
      </c>
      <c r="AT28" s="35" t="str">
        <f>MID(CodDegElegir,AT30+1,1)</f>
        <v>C</v>
      </c>
      <c r="AU28" s="37" t="str">
        <f>MID(CodDegElegir,AU30+1,1)</f>
        <v>G</v>
      </c>
      <c r="AV28" s="86" t="str">
        <f>MID(CodDegElegir,AV30+1,1)</f>
        <v>A</v>
      </c>
      <c r="AW28" s="35" t="str">
        <f>MID(CodDegElegir,AW30+1,1)</f>
        <v>-</v>
      </c>
      <c r="AX28" s="35" t="str">
        <f>MID(CodDegElegir,AX30+1,1)</f>
        <v>-</v>
      </c>
      <c r="AY28" s="37" t="str">
        <f>MID(CodDegElegir,AY30+1,1)</f>
        <v>-</v>
      </c>
      <c r="AZ28" s="86" t="str">
        <f>MID(CodDegElegir,AZ30+1,1)</f>
        <v>A</v>
      </c>
      <c r="BA28" s="35" t="str">
        <f>MID(CodDegElegir,BA30+1,1)</f>
        <v>-</v>
      </c>
      <c r="BB28" s="35" t="str">
        <f>MID(CodDegElegir,BB30+1,1)</f>
        <v>-</v>
      </c>
      <c r="BC28" s="37" t="str">
        <f>MID(CodDegElegir,BC30+1,1)</f>
        <v>G</v>
      </c>
      <c r="BD28" s="86" t="str">
        <f>MID(CodDegElegir,BD30+1,1)</f>
        <v>A</v>
      </c>
      <c r="BE28" s="35" t="str">
        <f>MID(CodDegElegir,BE30+1,1)</f>
        <v>-</v>
      </c>
      <c r="BF28" s="35" t="str">
        <f>MID(CodDegElegir,BF30+1,1)</f>
        <v>C</v>
      </c>
      <c r="BG28" s="37" t="str">
        <f>MID(CodDegElegir,BG30+1,1)</f>
        <v>-</v>
      </c>
      <c r="BH28" s="86" t="str">
        <f>MID(CodDegElegir,BH30+1,1)</f>
        <v>A</v>
      </c>
      <c r="BI28" s="35" t="str">
        <f>MID(CodDegElegir,BI30+1,1)</f>
        <v>-</v>
      </c>
      <c r="BJ28" s="35" t="str">
        <f>MID(CodDegElegir,BJ30+1,1)</f>
        <v>C</v>
      </c>
      <c r="BK28" s="37" t="str">
        <f>MID(CodDegElegir,BK30+1,1)</f>
        <v>G</v>
      </c>
      <c r="BL28" s="86" t="str">
        <f>MID(CodDegElegir,BL30+1,1)</f>
        <v>A</v>
      </c>
      <c r="BM28" s="35" t="str">
        <f>MID(CodDegElegir,BM30+1,1)</f>
        <v>T</v>
      </c>
      <c r="BN28" s="35" t="str">
        <f>MID(CodDegElegir,BN30+1,1)</f>
        <v>-</v>
      </c>
      <c r="BO28" s="37" t="str">
        <f>MID(CodDegElegir,BO30+1,1)</f>
        <v>-</v>
      </c>
      <c r="BP28" s="86" t="str">
        <f>MID(CodDegElegir,BP30+1,1)</f>
        <v>A</v>
      </c>
      <c r="BQ28" s="35" t="str">
        <f>MID(CodDegElegir,BQ30+1,1)</f>
        <v>T</v>
      </c>
      <c r="BR28" s="35" t="str">
        <f>MID(CodDegElegir,BR30+1,1)</f>
        <v>-</v>
      </c>
      <c r="BS28" s="37" t="str">
        <f>MID(CodDegElegir,BS30+1,1)</f>
        <v>G</v>
      </c>
      <c r="BT28" s="86" t="str">
        <f>MID(CodDegElegir,BT30+1,1)</f>
        <v>A</v>
      </c>
      <c r="BU28" s="35" t="str">
        <f>MID(CodDegElegir,BU30+1,1)</f>
        <v>T</v>
      </c>
      <c r="BV28" s="35" t="str">
        <f>MID(CodDegElegir,BV30+1,1)</f>
        <v>C</v>
      </c>
      <c r="BW28" s="37" t="str">
        <f>MID(CodDegElegir,BW30+1,1)</f>
        <v>-</v>
      </c>
      <c r="BX28" s="86" t="str">
        <f>MID(CodDegElegir,BX30+1,1)</f>
        <v>A</v>
      </c>
      <c r="BY28" s="35" t="str">
        <f>MID(CodDegElegir,BY30+1,1)</f>
        <v>T</v>
      </c>
      <c r="BZ28" s="35" t="str">
        <f>MID(CodDegElegir,BZ30+1,1)</f>
        <v>C</v>
      </c>
      <c r="CA28" s="37" t="str">
        <f>MID(CodDegElegir,CA30+1,1)</f>
        <v>G</v>
      </c>
      <c r="CB28" s="86" t="str">
        <f>MID(CodDegElegir,CB30+1,1)</f>
        <v>-</v>
      </c>
      <c r="CC28" s="35" t="str">
        <f>MID(CodDegElegir,CC30+1,1)</f>
        <v>-</v>
      </c>
      <c r="CD28" s="35" t="str">
        <f>MID(CodDegElegir,CD30+1,1)</f>
        <v>-</v>
      </c>
      <c r="CE28" s="37" t="str">
        <f>MID(CodDegElegir,CE30+1,1)</f>
        <v>-</v>
      </c>
    </row>
    <row r="29" spans="1:83" ht="15.75" thickBot="1">
      <c r="C29" s="5" t="s">
        <v>2</v>
      </c>
      <c r="D29" s="5" t="s">
        <v>1</v>
      </c>
      <c r="E29" s="5" t="s">
        <v>4</v>
      </c>
      <c r="F29" s="5" t="s">
        <v>3</v>
      </c>
      <c r="P29">
        <v>0</v>
      </c>
      <c r="T29">
        <v>1</v>
      </c>
      <c r="X29">
        <v>2</v>
      </c>
      <c r="AB29">
        <v>3</v>
      </c>
      <c r="AF29">
        <v>4</v>
      </c>
      <c r="AJ29">
        <v>5</v>
      </c>
      <c r="AN29">
        <v>6</v>
      </c>
      <c r="AR29">
        <v>7</v>
      </c>
      <c r="AV29">
        <v>8</v>
      </c>
      <c r="AZ29">
        <v>9</v>
      </c>
      <c r="BD29">
        <v>10</v>
      </c>
      <c r="BH29">
        <v>11</v>
      </c>
      <c r="BL29">
        <v>12</v>
      </c>
      <c r="BP29">
        <v>13</v>
      </c>
      <c r="BT29">
        <v>14</v>
      </c>
      <c r="BX29">
        <v>15</v>
      </c>
      <c r="CB29">
        <v>16</v>
      </c>
    </row>
    <row r="30" spans="1:83" ht="15.75" thickBot="1">
      <c r="A30" s="6">
        <v>8</v>
      </c>
      <c r="B30" s="7" t="s">
        <v>2</v>
      </c>
      <c r="C30" s="64">
        <f>-$C$26*NNparam!$C$5</f>
        <v>8.4</v>
      </c>
      <c r="D30" s="65">
        <f>-$C$26*NNparam!$C$6</f>
        <v>6.5</v>
      </c>
      <c r="E30" s="66">
        <f>$D$33</f>
        <v>8.6</v>
      </c>
      <c r="F30" s="67">
        <f>$D$32</f>
        <v>6.1</v>
      </c>
      <c r="P30" s="76">
        <f>BinAnd(P29,A)</f>
        <v>0</v>
      </c>
      <c r="Q30" s="77">
        <f>BinAnd(P29,T)</f>
        <v>0</v>
      </c>
      <c r="R30" s="77">
        <f>BinAnd(P29,Ce)</f>
        <v>0</v>
      </c>
      <c r="S30" s="78">
        <f>BinAnd(P29,G)</f>
        <v>0</v>
      </c>
      <c r="T30" s="76">
        <f>BinAnd(T29,A)</f>
        <v>0</v>
      </c>
      <c r="U30" s="77">
        <f>BinAnd(T29,T)</f>
        <v>0</v>
      </c>
      <c r="V30" s="77">
        <f>BinAnd(T29,Ce)</f>
        <v>0</v>
      </c>
      <c r="W30" s="78">
        <f>BinAnd(T29,G)</f>
        <v>1</v>
      </c>
      <c r="X30" s="76">
        <f>BinAnd(X29,A)</f>
        <v>0</v>
      </c>
      <c r="Y30" s="77">
        <f>BinAnd(X29,T)</f>
        <v>0</v>
      </c>
      <c r="Z30" s="77">
        <f>BinAnd(X29,Ce)</f>
        <v>2</v>
      </c>
      <c r="AA30" s="78">
        <f>BinAnd(X29,G)</f>
        <v>0</v>
      </c>
      <c r="AB30" s="76">
        <f>BinAnd(AB29,A)</f>
        <v>0</v>
      </c>
      <c r="AC30" s="77">
        <f>BinAnd(AB29,T)</f>
        <v>0</v>
      </c>
      <c r="AD30" s="77">
        <f>BinAnd(AB29,Ce)</f>
        <v>2</v>
      </c>
      <c r="AE30" s="78">
        <f>BinAnd(AB29,G)</f>
        <v>1</v>
      </c>
      <c r="AF30" s="76">
        <f>BinAnd(AF29,A)</f>
        <v>0</v>
      </c>
      <c r="AG30" s="77">
        <f>BinAnd(AF29,T)</f>
        <v>4</v>
      </c>
      <c r="AH30" s="77">
        <f>BinAnd(AF29,Ce)</f>
        <v>0</v>
      </c>
      <c r="AI30" s="78">
        <f>BinAnd(AF29,G)</f>
        <v>0</v>
      </c>
      <c r="AJ30" s="76">
        <f>BinAnd(AJ29,A)</f>
        <v>0</v>
      </c>
      <c r="AK30" s="77">
        <f>BinAnd(AJ29,T)</f>
        <v>4</v>
      </c>
      <c r="AL30" s="77">
        <f>BinAnd(AJ29,Ce)</f>
        <v>0</v>
      </c>
      <c r="AM30" s="78">
        <f>BinAnd(AJ29,G)</f>
        <v>1</v>
      </c>
      <c r="AN30" s="76">
        <f>BinAnd(AN29,A)</f>
        <v>0</v>
      </c>
      <c r="AO30" s="77">
        <f>BinAnd(AN29,T)</f>
        <v>4</v>
      </c>
      <c r="AP30" s="77">
        <f>BinAnd(AN29,Ce)</f>
        <v>2</v>
      </c>
      <c r="AQ30" s="78">
        <f>BinAnd(AN29,G)</f>
        <v>0</v>
      </c>
      <c r="AR30" s="76">
        <f>BinAnd(AR29,A)</f>
        <v>0</v>
      </c>
      <c r="AS30" s="77">
        <f>BinAnd(AR29,T)</f>
        <v>4</v>
      </c>
      <c r="AT30" s="77">
        <f>BinAnd(AR29,Ce)</f>
        <v>2</v>
      </c>
      <c r="AU30" s="78">
        <f>BinAnd(AR29,G)</f>
        <v>1</v>
      </c>
      <c r="AV30" s="76">
        <f>BinAnd(AV29,A)</f>
        <v>8</v>
      </c>
      <c r="AW30" s="77">
        <f>BinAnd(AV29,T)</f>
        <v>0</v>
      </c>
      <c r="AX30" s="77">
        <f>BinAnd(AV29,Ce)</f>
        <v>0</v>
      </c>
      <c r="AY30" s="78">
        <f>BinAnd(AV29,G)</f>
        <v>0</v>
      </c>
      <c r="AZ30" s="76">
        <f>BinAnd(AZ29,A)</f>
        <v>8</v>
      </c>
      <c r="BA30" s="77">
        <f>BinAnd(AZ29,T)</f>
        <v>0</v>
      </c>
      <c r="BB30" s="77">
        <f>BinAnd(AZ29,Ce)</f>
        <v>0</v>
      </c>
      <c r="BC30" s="78">
        <f>BinAnd(AZ29,G)</f>
        <v>1</v>
      </c>
      <c r="BD30" s="76">
        <f>BinAnd(BD29,A)</f>
        <v>8</v>
      </c>
      <c r="BE30" s="77">
        <f>BinAnd(BD29,T)</f>
        <v>0</v>
      </c>
      <c r="BF30" s="77">
        <f>BinAnd(BD29,Ce)</f>
        <v>2</v>
      </c>
      <c r="BG30" s="78">
        <f>BinAnd(BD29,G)</f>
        <v>0</v>
      </c>
      <c r="BH30" s="76">
        <f>BinAnd(BH29,A)</f>
        <v>8</v>
      </c>
      <c r="BI30" s="77">
        <f>BinAnd(BH29,T)</f>
        <v>0</v>
      </c>
      <c r="BJ30" s="77">
        <f>BinAnd(BH29,Ce)</f>
        <v>2</v>
      </c>
      <c r="BK30" s="78">
        <f>BinAnd(BH29,G)</f>
        <v>1</v>
      </c>
      <c r="BL30" s="76">
        <f>BinAnd(BL29,A)</f>
        <v>8</v>
      </c>
      <c r="BM30" s="77">
        <f>BinAnd(BL29,T)</f>
        <v>4</v>
      </c>
      <c r="BN30" s="77">
        <f>BinAnd(BL29,Ce)</f>
        <v>0</v>
      </c>
      <c r="BO30" s="78">
        <f>BinAnd(BL29,G)</f>
        <v>0</v>
      </c>
      <c r="BP30" s="76">
        <f>BinAnd(BP29,A)</f>
        <v>8</v>
      </c>
      <c r="BQ30" s="77">
        <f>BinAnd(BP29,T)</f>
        <v>4</v>
      </c>
      <c r="BR30" s="77">
        <f>BinAnd(BP29,Ce)</f>
        <v>0</v>
      </c>
      <c r="BS30" s="78">
        <f>BinAnd(BP29,G)</f>
        <v>1</v>
      </c>
      <c r="BT30" s="76">
        <f>BinAnd(BT29,A)</f>
        <v>8</v>
      </c>
      <c r="BU30" s="77">
        <f>BinAnd(BT29,T)</f>
        <v>4</v>
      </c>
      <c r="BV30" s="77">
        <f>BinAnd(BT29,Ce)</f>
        <v>2</v>
      </c>
      <c r="BW30" s="78">
        <f>BinAnd(BT29,G)</f>
        <v>0</v>
      </c>
      <c r="BX30" s="76">
        <f>BinAnd(BX29,A)</f>
        <v>8</v>
      </c>
      <c r="BY30" s="77">
        <f>BinAnd(BX29,T)</f>
        <v>4</v>
      </c>
      <c r="BZ30" s="77">
        <f>BinAnd(BX29,Ce)</f>
        <v>2</v>
      </c>
      <c r="CA30" s="78">
        <f>BinAnd(BX29,G)</f>
        <v>1</v>
      </c>
      <c r="CB30" s="76">
        <f>BinAnd(CB29,A)</f>
        <v>0</v>
      </c>
      <c r="CC30" s="77">
        <f>BinAnd(CB29,T)</f>
        <v>0</v>
      </c>
      <c r="CD30" s="77">
        <f>BinAnd(CB29,Ce)</f>
        <v>0</v>
      </c>
      <c r="CE30" s="78">
        <f>BinAnd(CB29,G)</f>
        <v>0</v>
      </c>
    </row>
    <row r="31" spans="1:83">
      <c r="A31" s="9">
        <v>4</v>
      </c>
      <c r="B31" s="10" t="s">
        <v>1</v>
      </c>
      <c r="C31" s="68">
        <f>-$C$26*NNparam!$C$7</f>
        <v>6.3</v>
      </c>
      <c r="D31" s="69">
        <f>$C$30</f>
        <v>8.4</v>
      </c>
      <c r="E31" s="69">
        <f>$C$33</f>
        <v>7.7</v>
      </c>
      <c r="F31" s="70">
        <f>$C$32</f>
        <v>7.4</v>
      </c>
      <c r="L31" s="83" t="str">
        <f>MID(CodDegElegir,N31+1,1)</f>
        <v>-</v>
      </c>
      <c r="M31" s="85" t="str">
        <f>MID(CodDegElegir,O31+1,1)</f>
        <v>-</v>
      </c>
      <c r="N31">
        <v>0</v>
      </c>
      <c r="O31" s="81">
        <f>BinAnd(N31,A)</f>
        <v>0</v>
      </c>
      <c r="P31" s="29" t="str">
        <f>IF(AND(P$30,$O31),$C$30,"")</f>
        <v/>
      </c>
      <c r="Q31" s="30" t="str">
        <f>IF(AND(Q$30,$O31),$D$30,"")</f>
        <v/>
      </c>
      <c r="R31" s="30" t="str">
        <f>IF(AND(R$30,$O31),$E$30,"")</f>
        <v/>
      </c>
      <c r="S31" s="53" t="str">
        <f>IF(AND(S$30,$O31),$F$30,"")</f>
        <v/>
      </c>
      <c r="T31" s="29" t="str">
        <f>IF(AND(T$30,$O31),$C$30,"")</f>
        <v/>
      </c>
      <c r="U31" s="30" t="str">
        <f>IF(AND(U$30,$O31),$D$30,"")</f>
        <v/>
      </c>
      <c r="V31" s="30" t="str">
        <f>IF(AND(V$30,$O31),$E$30,"")</f>
        <v/>
      </c>
      <c r="W31" s="53" t="str">
        <f>IF(AND(W$30,$O31),$F$30,"")</f>
        <v/>
      </c>
      <c r="X31" s="29" t="str">
        <f>IF(AND(X$30,$O31),$C$30,"")</f>
        <v/>
      </c>
      <c r="Y31" s="30" t="str">
        <f>IF(AND(Y$30,$O31),$D$30,"")</f>
        <v/>
      </c>
      <c r="Z31" s="30" t="str">
        <f>IF(AND(Z$30,$O31),$E$30,"")</f>
        <v/>
      </c>
      <c r="AA31" s="53" t="str">
        <f>IF(AND(AA$30,$O31),$F$30,"")</f>
        <v/>
      </c>
      <c r="AB31" s="29" t="str">
        <f>IF(AND(AB$30,$O31),$C$30,"")</f>
        <v/>
      </c>
      <c r="AC31" s="30" t="str">
        <f>IF(AND(AC$30,$O31),$D$30,"")</f>
        <v/>
      </c>
      <c r="AD31" s="30" t="str">
        <f>IF(AND(AD$30,$O31),$E$30,"")</f>
        <v/>
      </c>
      <c r="AE31" s="53" t="str">
        <f>IF(AND(AE$30,$O31),$F$30,"")</f>
        <v/>
      </c>
      <c r="AF31" s="29" t="str">
        <f>IF(AND(AF$30,$O31),$C$30,"")</f>
        <v/>
      </c>
      <c r="AG31" s="30" t="str">
        <f>IF(AND(AG$30,$O31),$D$30,"")</f>
        <v/>
      </c>
      <c r="AH31" s="30" t="str">
        <f>IF(AND(AH$30,$O31),$E$30,"")</f>
        <v/>
      </c>
      <c r="AI31" s="53" t="str">
        <f>IF(AND(AI$30,$O31),$F$30,"")</f>
        <v/>
      </c>
      <c r="AJ31" s="29" t="str">
        <f>IF(AND(AJ$30,$O31),$C$30,"")</f>
        <v/>
      </c>
      <c r="AK31" s="30" t="str">
        <f>IF(AND(AK$30,$O31),$D$30,"")</f>
        <v/>
      </c>
      <c r="AL31" s="30" t="str">
        <f>IF(AND(AL$30,$O31),$E$30,"")</f>
        <v/>
      </c>
      <c r="AM31" s="53" t="str">
        <f>IF(AND(AM$30,$O31),$F$30,"")</f>
        <v/>
      </c>
      <c r="AN31" s="29" t="str">
        <f>IF(AND(AN$30,$O31),$C$30,"")</f>
        <v/>
      </c>
      <c r="AO31" s="30" t="str">
        <f>IF(AND(AO$30,$O31),$D$30,"")</f>
        <v/>
      </c>
      <c r="AP31" s="30" t="str">
        <f>IF(AND(AP$30,$O31),$E$30,"")</f>
        <v/>
      </c>
      <c r="AQ31" s="53" t="str">
        <f>IF(AND(AQ$30,$O31),$F$30,"")</f>
        <v/>
      </c>
      <c r="AR31" s="29" t="str">
        <f>IF(AND(AR$30,$O31),$C$30,"")</f>
        <v/>
      </c>
      <c r="AS31" s="30" t="str">
        <f>IF(AND(AS$30,$O31),$D$30,"")</f>
        <v/>
      </c>
      <c r="AT31" s="30" t="str">
        <f>IF(AND(AT$30,$O31),$E$30,"")</f>
        <v/>
      </c>
      <c r="AU31" s="53" t="str">
        <f>IF(AND(AU$30,$O31),$F$30,"")</f>
        <v/>
      </c>
      <c r="AV31" s="29" t="str">
        <f>IF(AND(AV$30,$O31),$C$30,"")</f>
        <v/>
      </c>
      <c r="AW31" s="30" t="str">
        <f>IF(AND(AW$30,$O31),$D$30,"")</f>
        <v/>
      </c>
      <c r="AX31" s="30" t="str">
        <f>IF(AND(AX$30,$O31),$E$30,"")</f>
        <v/>
      </c>
      <c r="AY31" s="53" t="str">
        <f>IF(AND(AY$30,$O31),$F$30,"")</f>
        <v/>
      </c>
      <c r="AZ31" s="29" t="str">
        <f>IF(AND(AZ$30,$O31),$C$30,"")</f>
        <v/>
      </c>
      <c r="BA31" s="30" t="str">
        <f>IF(AND(BA$30,$O31),$D$30,"")</f>
        <v/>
      </c>
      <c r="BB31" s="30" t="str">
        <f>IF(AND(BB$30,$O31),$E$30,"")</f>
        <v/>
      </c>
      <c r="BC31" s="53" t="str">
        <f>IF(AND(BC$30,$O31),$F$30,"")</f>
        <v/>
      </c>
      <c r="BD31" s="29" t="str">
        <f>IF(AND(BD$30,$O31),$C$30,"")</f>
        <v/>
      </c>
      <c r="BE31" s="30" t="str">
        <f>IF(AND(BE$30,$O31),$D$30,"")</f>
        <v/>
      </c>
      <c r="BF31" s="30" t="str">
        <f>IF(AND(BF$30,$O31),$E$30,"")</f>
        <v/>
      </c>
      <c r="BG31" s="53" t="str">
        <f>IF(AND(BG$30,$O31),$F$30,"")</f>
        <v/>
      </c>
      <c r="BH31" s="29" t="str">
        <f>IF(AND(BH$30,$O31),$C$30,"")</f>
        <v/>
      </c>
      <c r="BI31" s="30" t="str">
        <f>IF(AND(BI$30,$O31),$D$30,"")</f>
        <v/>
      </c>
      <c r="BJ31" s="30" t="str">
        <f>IF(AND(BJ$30,$O31),$E$30,"")</f>
        <v/>
      </c>
      <c r="BK31" s="53" t="str">
        <f>IF(AND(BK$30,$O31),$F$30,"")</f>
        <v/>
      </c>
      <c r="BL31" s="29" t="str">
        <f>IF(AND(BL$30,$O31),$C$30,"")</f>
        <v/>
      </c>
      <c r="BM31" s="30" t="str">
        <f>IF(AND(BM$30,$O31),$D$30,"")</f>
        <v/>
      </c>
      <c r="BN31" s="30" t="str">
        <f>IF(AND(BN$30,$O31),$E$30,"")</f>
        <v/>
      </c>
      <c r="BO31" s="53" t="str">
        <f>IF(AND(BO$30,$O31),$F$30,"")</f>
        <v/>
      </c>
      <c r="BP31" s="29" t="str">
        <f>IF(AND(BP$30,$O31),$C$30,"")</f>
        <v/>
      </c>
      <c r="BQ31" s="30" t="str">
        <f>IF(AND(BQ$30,$O31),$D$30,"")</f>
        <v/>
      </c>
      <c r="BR31" s="30" t="str">
        <f>IF(AND(BR$30,$O31),$E$30,"")</f>
        <v/>
      </c>
      <c r="BS31" s="53" t="str">
        <f>IF(AND(BS$30,$O31),$F$30,"")</f>
        <v/>
      </c>
      <c r="BT31" s="29" t="str">
        <f>IF(AND(BT$30,$O31),$C$30,"")</f>
        <v/>
      </c>
      <c r="BU31" s="30" t="str">
        <f>IF(AND(BU$30,$O31),$D$30,"")</f>
        <v/>
      </c>
      <c r="BV31" s="30" t="str">
        <f>IF(AND(BV$30,$O31),$E$30,"")</f>
        <v/>
      </c>
      <c r="BW31" s="53" t="str">
        <f>IF(AND(BW$30,$O31),$F$30,"")</f>
        <v/>
      </c>
      <c r="BX31" s="29" t="str">
        <f>IF(AND(BX$30,$O31),$C$30,"")</f>
        <v/>
      </c>
      <c r="BY31" s="30" t="str">
        <f>IF(AND(BY$30,$O31),$D$30,"")</f>
        <v/>
      </c>
      <c r="BZ31" s="30" t="str">
        <f>IF(AND(BZ$30,$O31),$E$30,"")</f>
        <v/>
      </c>
      <c r="CA31" s="53" t="str">
        <f>IF(AND(CA$30,$O31),$F$30,"")</f>
        <v/>
      </c>
      <c r="CB31" s="29" t="str">
        <f>IF(AND(CB$30,$O31),$C$30,"")</f>
        <v/>
      </c>
      <c r="CC31" s="30" t="str">
        <f>IF(AND(CC$30,$O31),$D$30,"")</f>
        <v/>
      </c>
      <c r="CD31" s="30" t="str">
        <f>IF(AND(CD$30,$O31),$E$30,"")</f>
        <v/>
      </c>
      <c r="CE31" s="53" t="str">
        <f>IF(AND(CE$30,$O31),$F$30,"")</f>
        <v/>
      </c>
    </row>
    <row r="32" spans="1:83">
      <c r="A32" s="9">
        <v>2</v>
      </c>
      <c r="B32" s="10" t="s">
        <v>4</v>
      </c>
      <c r="C32" s="68">
        <f>-$C$26*NNparam!$C$8</f>
        <v>7.4</v>
      </c>
      <c r="D32" s="71">
        <f>-$C$26*NNparam!$C$10</f>
        <v>6.1</v>
      </c>
      <c r="E32" s="69">
        <f>$F$33</f>
        <v>6.7</v>
      </c>
      <c r="F32" s="72">
        <f>-$C$26*NNparam!$C$12</f>
        <v>10.1</v>
      </c>
      <c r="L32" s="87"/>
      <c r="M32" s="36" t="str">
        <f t="shared" ref="M32:M63" si="20">MID(CodDegElegir,O32+1,1)</f>
        <v>-</v>
      </c>
      <c r="O32" s="82">
        <f>BinAnd(N31,T)</f>
        <v>0</v>
      </c>
      <c r="P32" s="31" t="str">
        <f>IF(AND(P$30,$O32),$C$31,"")</f>
        <v/>
      </c>
      <c r="Q32" s="32" t="str">
        <f>IF(AND(Q$30,$O32),$D$31,"")</f>
        <v/>
      </c>
      <c r="R32" s="32" t="str">
        <f>IF(AND(R$30,$O32),$E$31,"")</f>
        <v/>
      </c>
      <c r="S32" s="54" t="str">
        <f>IF(AND(S$30,$O32),$F$31,"")</f>
        <v/>
      </c>
      <c r="T32" s="31" t="str">
        <f>IF(AND(T$30,$O32),$C$31,"")</f>
        <v/>
      </c>
      <c r="U32" s="32" t="str">
        <f>IF(AND(U$30,$O32),$D$31,"")</f>
        <v/>
      </c>
      <c r="V32" s="32" t="str">
        <f>IF(AND(V$30,$O32),$E$31,"")</f>
        <v/>
      </c>
      <c r="W32" s="54" t="str">
        <f>IF(AND(W$30,$O32),$F$31,"")</f>
        <v/>
      </c>
      <c r="X32" s="31" t="str">
        <f>IF(AND(X$30,$O32),$C$31,"")</f>
        <v/>
      </c>
      <c r="Y32" s="32" t="str">
        <f>IF(AND(Y$30,$O32),$D$31,"")</f>
        <v/>
      </c>
      <c r="Z32" s="32" t="str">
        <f>IF(AND(Z$30,$O32),$E$31,"")</f>
        <v/>
      </c>
      <c r="AA32" s="54" t="str">
        <f>IF(AND(AA$30,$O32),$F$31,"")</f>
        <v/>
      </c>
      <c r="AB32" s="31" t="str">
        <f>IF(AND(AB$30,$O32),$C$31,"")</f>
        <v/>
      </c>
      <c r="AC32" s="32" t="str">
        <f>IF(AND(AC$30,$O32),$D$31,"")</f>
        <v/>
      </c>
      <c r="AD32" s="32" t="str">
        <f>IF(AND(AD$30,$O32),$E$31,"")</f>
        <v/>
      </c>
      <c r="AE32" s="54" t="str">
        <f>IF(AND(AE$30,$O32),$F$31,"")</f>
        <v/>
      </c>
      <c r="AF32" s="31" t="str">
        <f>IF(AND(AF$30,$O32),$C$31,"")</f>
        <v/>
      </c>
      <c r="AG32" s="32" t="str">
        <f>IF(AND(AG$30,$O32),$D$31,"")</f>
        <v/>
      </c>
      <c r="AH32" s="32" t="str">
        <f>IF(AND(AH$30,$O32),$E$31,"")</f>
        <v/>
      </c>
      <c r="AI32" s="54" t="str">
        <f>IF(AND(AI$30,$O32),$F$31,"")</f>
        <v/>
      </c>
      <c r="AJ32" s="31" t="str">
        <f>IF(AND(AJ$30,$O32),$C$31,"")</f>
        <v/>
      </c>
      <c r="AK32" s="32" t="str">
        <f>IF(AND(AK$30,$O32),$D$31,"")</f>
        <v/>
      </c>
      <c r="AL32" s="32" t="str">
        <f>IF(AND(AL$30,$O32),$E$31,"")</f>
        <v/>
      </c>
      <c r="AM32" s="54" t="str">
        <f>IF(AND(AM$30,$O32),$F$31,"")</f>
        <v/>
      </c>
      <c r="AN32" s="31" t="str">
        <f>IF(AND(AN$30,$O32),$C$31,"")</f>
        <v/>
      </c>
      <c r="AO32" s="32" t="str">
        <f>IF(AND(AO$30,$O32),$D$31,"")</f>
        <v/>
      </c>
      <c r="AP32" s="32" t="str">
        <f>IF(AND(AP$30,$O32),$E$31,"")</f>
        <v/>
      </c>
      <c r="AQ32" s="54" t="str">
        <f>IF(AND(AQ$30,$O32),$F$31,"")</f>
        <v/>
      </c>
      <c r="AR32" s="31" t="str">
        <f>IF(AND(AR$30,$O32),$C$31,"")</f>
        <v/>
      </c>
      <c r="AS32" s="32" t="str">
        <f>IF(AND(AS$30,$O32),$D$31,"")</f>
        <v/>
      </c>
      <c r="AT32" s="32" t="str">
        <f>IF(AND(AT$30,$O32),$E$31,"")</f>
        <v/>
      </c>
      <c r="AU32" s="54" t="str">
        <f>IF(AND(AU$30,$O32),$F$31,"")</f>
        <v/>
      </c>
      <c r="AV32" s="31" t="str">
        <f>IF(AND(AV$30,$O32),$C$31,"")</f>
        <v/>
      </c>
      <c r="AW32" s="32" t="str">
        <f>IF(AND(AW$30,$O32),$D$31,"")</f>
        <v/>
      </c>
      <c r="AX32" s="32" t="str">
        <f>IF(AND(AX$30,$O32),$E$31,"")</f>
        <v/>
      </c>
      <c r="AY32" s="54" t="str">
        <f>IF(AND(AY$30,$O32),$F$31,"")</f>
        <v/>
      </c>
      <c r="AZ32" s="31" t="str">
        <f>IF(AND(AZ$30,$O32),$C$31,"")</f>
        <v/>
      </c>
      <c r="BA32" s="32" t="str">
        <f>IF(AND(BA$30,$O32),$D$31,"")</f>
        <v/>
      </c>
      <c r="BB32" s="32" t="str">
        <f>IF(AND(BB$30,$O32),$E$31,"")</f>
        <v/>
      </c>
      <c r="BC32" s="54" t="str">
        <f>IF(AND(BC$30,$O32),$F$31,"")</f>
        <v/>
      </c>
      <c r="BD32" s="31" t="str">
        <f>IF(AND(BD$30,$O32),$C$31,"")</f>
        <v/>
      </c>
      <c r="BE32" s="32" t="str">
        <f>IF(AND(BE$30,$O32),$D$31,"")</f>
        <v/>
      </c>
      <c r="BF32" s="32" t="str">
        <f>IF(AND(BF$30,$O32),$E$31,"")</f>
        <v/>
      </c>
      <c r="BG32" s="54" t="str">
        <f>IF(AND(BG$30,$O32),$F$31,"")</f>
        <v/>
      </c>
      <c r="BH32" s="31" t="str">
        <f>IF(AND(BH$30,$O32),$C$31,"")</f>
        <v/>
      </c>
      <c r="BI32" s="32" t="str">
        <f>IF(AND(BI$30,$O32),$D$31,"")</f>
        <v/>
      </c>
      <c r="BJ32" s="32" t="str">
        <f>IF(AND(BJ$30,$O32),$E$31,"")</f>
        <v/>
      </c>
      <c r="BK32" s="54" t="str">
        <f>IF(AND(BK$30,$O32),$F$31,"")</f>
        <v/>
      </c>
      <c r="BL32" s="31" t="str">
        <f>IF(AND(BL$30,$O32),$C$31,"")</f>
        <v/>
      </c>
      <c r="BM32" s="32" t="str">
        <f>IF(AND(BM$30,$O32),$D$31,"")</f>
        <v/>
      </c>
      <c r="BN32" s="32" t="str">
        <f>IF(AND(BN$30,$O32),$E$31,"")</f>
        <v/>
      </c>
      <c r="BO32" s="54" t="str">
        <f>IF(AND(BO$30,$O32),$F$31,"")</f>
        <v/>
      </c>
      <c r="BP32" s="31" t="str">
        <f>IF(AND(BP$30,$O32),$C$31,"")</f>
        <v/>
      </c>
      <c r="BQ32" s="32" t="str">
        <f>IF(AND(BQ$30,$O32),$D$31,"")</f>
        <v/>
      </c>
      <c r="BR32" s="32" t="str">
        <f>IF(AND(BR$30,$O32),$E$31,"")</f>
        <v/>
      </c>
      <c r="BS32" s="54" t="str">
        <f>IF(AND(BS$30,$O32),$F$31,"")</f>
        <v/>
      </c>
      <c r="BT32" s="31" t="str">
        <f>IF(AND(BT$30,$O32),$C$31,"")</f>
        <v/>
      </c>
      <c r="BU32" s="32" t="str">
        <f>IF(AND(BU$30,$O32),$D$31,"")</f>
        <v/>
      </c>
      <c r="BV32" s="32" t="str">
        <f>IF(AND(BV$30,$O32),$E$31,"")</f>
        <v/>
      </c>
      <c r="BW32" s="54" t="str">
        <f>IF(AND(BW$30,$O32),$F$31,"")</f>
        <v/>
      </c>
      <c r="BX32" s="31" t="str">
        <f>IF(AND(BX$30,$O32),$C$31,"")</f>
        <v/>
      </c>
      <c r="BY32" s="32" t="str">
        <f>IF(AND(BY$30,$O32),$D$31,"")</f>
        <v/>
      </c>
      <c r="BZ32" s="32" t="str">
        <f>IF(AND(BZ$30,$O32),$E$31,"")</f>
        <v/>
      </c>
      <c r="CA32" s="54" t="str">
        <f>IF(AND(CA$30,$O32),$F$31,"")</f>
        <v/>
      </c>
      <c r="CB32" s="31" t="str">
        <f>IF(AND(CB$30,$O32),$C$31,"")</f>
        <v/>
      </c>
      <c r="CC32" s="32" t="str">
        <f>IF(AND(CC$30,$O32),$D$31,"")</f>
        <v/>
      </c>
      <c r="CD32" s="32" t="str">
        <f>IF(AND(CD$30,$O32),$E$31,"")</f>
        <v/>
      </c>
      <c r="CE32" s="54" t="str">
        <f>IF(AND(CE$30,$O32),$F$31,"")</f>
        <v/>
      </c>
    </row>
    <row r="33" spans="1:83" ht="15.75" thickBot="1">
      <c r="A33" s="12">
        <v>1</v>
      </c>
      <c r="B33" s="13" t="s">
        <v>3</v>
      </c>
      <c r="C33" s="73">
        <f>-$C$26*NNparam!$C$11</f>
        <v>7.7</v>
      </c>
      <c r="D33" s="74">
        <f>-$C$26*NNparam!$C$9</f>
        <v>8.6</v>
      </c>
      <c r="E33" s="74">
        <f>-$C$26*NNparam!$C$13</f>
        <v>11.1</v>
      </c>
      <c r="F33" s="75">
        <f>-$C$26*NNparam!$C$14</f>
        <v>6.7</v>
      </c>
      <c r="L33" s="87"/>
      <c r="M33" s="36" t="str">
        <f t="shared" si="20"/>
        <v>-</v>
      </c>
      <c r="O33" s="82">
        <f>BinAnd(N31,Ce)</f>
        <v>0</v>
      </c>
      <c r="P33" s="31" t="str">
        <f>IF(AND(P$30,$O33),$C$32,"")</f>
        <v/>
      </c>
      <c r="Q33" s="32" t="str">
        <f>IF(AND(Q$30,$O33),$D$32,"")</f>
        <v/>
      </c>
      <c r="R33" s="32" t="str">
        <f>IF(AND(R$30,$O33),$E$32,"")</f>
        <v/>
      </c>
      <c r="S33" s="54" t="str">
        <f>IF(AND(S$30,$O33),$F$32,"")</f>
        <v/>
      </c>
      <c r="T33" s="31" t="str">
        <f>IF(AND(T$30,$O33),$C$32,"")</f>
        <v/>
      </c>
      <c r="U33" s="32" t="str">
        <f>IF(AND(U$30,$O33),$D$32,"")</f>
        <v/>
      </c>
      <c r="V33" s="32" t="str">
        <f>IF(AND(V$30,$O33),$E$32,"")</f>
        <v/>
      </c>
      <c r="W33" s="54" t="str">
        <f>IF(AND(W$30,$O33),$F$32,"")</f>
        <v/>
      </c>
      <c r="X33" s="31" t="str">
        <f>IF(AND(X$30,$O33),$C$32,"")</f>
        <v/>
      </c>
      <c r="Y33" s="32" t="str">
        <f>IF(AND(Y$30,$O33),$D$32,"")</f>
        <v/>
      </c>
      <c r="Z33" s="32" t="str">
        <f>IF(AND(Z$30,$O33),$E$32,"")</f>
        <v/>
      </c>
      <c r="AA33" s="54" t="str">
        <f>IF(AND(AA$30,$O33),$F$32,"")</f>
        <v/>
      </c>
      <c r="AB33" s="31" t="str">
        <f>IF(AND(AB$30,$O33),$C$32,"")</f>
        <v/>
      </c>
      <c r="AC33" s="32" t="str">
        <f>IF(AND(AC$30,$O33),$D$32,"")</f>
        <v/>
      </c>
      <c r="AD33" s="32" t="str">
        <f>IF(AND(AD$30,$O33),$E$32,"")</f>
        <v/>
      </c>
      <c r="AE33" s="54" t="str">
        <f>IF(AND(AE$30,$O33),$F$32,"")</f>
        <v/>
      </c>
      <c r="AF33" s="31" t="str">
        <f>IF(AND(AF$30,$O33),$C$32,"")</f>
        <v/>
      </c>
      <c r="AG33" s="32" t="str">
        <f>IF(AND(AG$30,$O33),$D$32,"")</f>
        <v/>
      </c>
      <c r="AH33" s="32" t="str">
        <f>IF(AND(AH$30,$O33),$E$32,"")</f>
        <v/>
      </c>
      <c r="AI33" s="54" t="str">
        <f>IF(AND(AI$30,$O33),$F$32,"")</f>
        <v/>
      </c>
      <c r="AJ33" s="31" t="str">
        <f>IF(AND(AJ$30,$O33),$C$32,"")</f>
        <v/>
      </c>
      <c r="AK33" s="32" t="str">
        <f>IF(AND(AK$30,$O33),$D$32,"")</f>
        <v/>
      </c>
      <c r="AL33" s="32" t="str">
        <f>IF(AND(AL$30,$O33),$E$32,"")</f>
        <v/>
      </c>
      <c r="AM33" s="54" t="str">
        <f>IF(AND(AM$30,$O33),$F$32,"")</f>
        <v/>
      </c>
      <c r="AN33" s="31" t="str">
        <f>IF(AND(AN$30,$O33),$C$32,"")</f>
        <v/>
      </c>
      <c r="AO33" s="32" t="str">
        <f>IF(AND(AO$30,$O33),$D$32,"")</f>
        <v/>
      </c>
      <c r="AP33" s="32" t="str">
        <f>IF(AND(AP$30,$O33),$E$32,"")</f>
        <v/>
      </c>
      <c r="AQ33" s="54" t="str">
        <f>IF(AND(AQ$30,$O33),$F$32,"")</f>
        <v/>
      </c>
      <c r="AR33" s="31" t="str">
        <f>IF(AND(AR$30,$O33),$C$32,"")</f>
        <v/>
      </c>
      <c r="AS33" s="32" t="str">
        <f>IF(AND(AS$30,$O33),$D$32,"")</f>
        <v/>
      </c>
      <c r="AT33" s="32" t="str">
        <f>IF(AND(AT$30,$O33),$E$32,"")</f>
        <v/>
      </c>
      <c r="AU33" s="54" t="str">
        <f>IF(AND(AU$30,$O33),$F$32,"")</f>
        <v/>
      </c>
      <c r="AV33" s="31" t="str">
        <f>IF(AND(AV$30,$O33),$C$32,"")</f>
        <v/>
      </c>
      <c r="AW33" s="32" t="str">
        <f>IF(AND(AW$30,$O33),$D$32,"")</f>
        <v/>
      </c>
      <c r="AX33" s="32" t="str">
        <f>IF(AND(AX$30,$O33),$E$32,"")</f>
        <v/>
      </c>
      <c r="AY33" s="54" t="str">
        <f>IF(AND(AY$30,$O33),$F$32,"")</f>
        <v/>
      </c>
      <c r="AZ33" s="31" t="str">
        <f>IF(AND(AZ$30,$O33),$C$32,"")</f>
        <v/>
      </c>
      <c r="BA33" s="32" t="str">
        <f>IF(AND(BA$30,$O33),$D$32,"")</f>
        <v/>
      </c>
      <c r="BB33" s="32" t="str">
        <f>IF(AND(BB$30,$O33),$E$32,"")</f>
        <v/>
      </c>
      <c r="BC33" s="54" t="str">
        <f>IF(AND(BC$30,$O33),$F$32,"")</f>
        <v/>
      </c>
      <c r="BD33" s="31" t="str">
        <f>IF(AND(BD$30,$O33),$C$32,"")</f>
        <v/>
      </c>
      <c r="BE33" s="32" t="str">
        <f>IF(AND(BE$30,$O33),$D$32,"")</f>
        <v/>
      </c>
      <c r="BF33" s="32" t="str">
        <f>IF(AND(BF$30,$O33),$E$32,"")</f>
        <v/>
      </c>
      <c r="BG33" s="54" t="str">
        <f>IF(AND(BG$30,$O33),$F$32,"")</f>
        <v/>
      </c>
      <c r="BH33" s="31" t="str">
        <f>IF(AND(BH$30,$O33),$C$32,"")</f>
        <v/>
      </c>
      <c r="BI33" s="32" t="str">
        <f>IF(AND(BI$30,$O33),$D$32,"")</f>
        <v/>
      </c>
      <c r="BJ33" s="32" t="str">
        <f>IF(AND(BJ$30,$O33),$E$32,"")</f>
        <v/>
      </c>
      <c r="BK33" s="54" t="str">
        <f>IF(AND(BK$30,$O33),$F$32,"")</f>
        <v/>
      </c>
      <c r="BL33" s="31" t="str">
        <f>IF(AND(BL$30,$O33),$C$32,"")</f>
        <v/>
      </c>
      <c r="BM33" s="32" t="str">
        <f>IF(AND(BM$30,$O33),$D$32,"")</f>
        <v/>
      </c>
      <c r="BN33" s="32" t="str">
        <f>IF(AND(BN$30,$O33),$E$32,"")</f>
        <v/>
      </c>
      <c r="BO33" s="54" t="str">
        <f>IF(AND(BO$30,$O33),$F$32,"")</f>
        <v/>
      </c>
      <c r="BP33" s="31" t="str">
        <f>IF(AND(BP$30,$O33),$C$32,"")</f>
        <v/>
      </c>
      <c r="BQ33" s="32" t="str">
        <f>IF(AND(BQ$30,$O33),$D$32,"")</f>
        <v/>
      </c>
      <c r="BR33" s="32" t="str">
        <f>IF(AND(BR$30,$O33),$E$32,"")</f>
        <v/>
      </c>
      <c r="BS33" s="54" t="str">
        <f>IF(AND(BS$30,$O33),$F$32,"")</f>
        <v/>
      </c>
      <c r="BT33" s="31" t="str">
        <f>IF(AND(BT$30,$O33),$C$32,"")</f>
        <v/>
      </c>
      <c r="BU33" s="32" t="str">
        <f>IF(AND(BU$30,$O33),$D$32,"")</f>
        <v/>
      </c>
      <c r="BV33" s="32" t="str">
        <f>IF(AND(BV$30,$O33),$E$32,"")</f>
        <v/>
      </c>
      <c r="BW33" s="54" t="str">
        <f>IF(AND(BW$30,$O33),$F$32,"")</f>
        <v/>
      </c>
      <c r="BX33" s="31" t="str">
        <f>IF(AND(BX$30,$O33),$C$32,"")</f>
        <v/>
      </c>
      <c r="BY33" s="32" t="str">
        <f>IF(AND(BY$30,$O33),$D$32,"")</f>
        <v/>
      </c>
      <c r="BZ33" s="32" t="str">
        <f>IF(AND(BZ$30,$O33),$E$32,"")</f>
        <v/>
      </c>
      <c r="CA33" s="54" t="str">
        <f>IF(AND(CA$30,$O33),$F$32,"")</f>
        <v/>
      </c>
      <c r="CB33" s="31" t="str">
        <f>IF(AND(CB$30,$O33),$C$32,"")</f>
        <v/>
      </c>
      <c r="CC33" s="32" t="str">
        <f>IF(AND(CC$30,$O33),$D$32,"")</f>
        <v/>
      </c>
      <c r="CD33" s="32" t="str">
        <f>IF(AND(CD$30,$O33),$E$32,"")</f>
        <v/>
      </c>
      <c r="CE33" s="54" t="str">
        <f>IF(AND(CE$30,$O33),$F$32,"")</f>
        <v/>
      </c>
    </row>
    <row r="34" spans="1:83" ht="15.75" thickBot="1">
      <c r="L34" s="86"/>
      <c r="M34" s="37" t="str">
        <f t="shared" si="20"/>
        <v>-</v>
      </c>
      <c r="O34" s="43">
        <f>BinAnd(N31,G)</f>
        <v>0</v>
      </c>
      <c r="P34" s="55" t="str">
        <f>IF(AND(P$30,$O34),$C$33,"")</f>
        <v/>
      </c>
      <c r="Q34" s="56" t="str">
        <f>IF(AND(Q$30,$O34),$D$33,"")</f>
        <v/>
      </c>
      <c r="R34" s="56" t="str">
        <f>IF(AND(R$30,$O34),$E$33,"")</f>
        <v/>
      </c>
      <c r="S34" s="57" t="str">
        <f>IF(AND(S$30,$O34),$F$33,"")</f>
        <v/>
      </c>
      <c r="T34" s="55" t="str">
        <f>IF(AND(T$30,$O34),$C$33,"")</f>
        <v/>
      </c>
      <c r="U34" s="56" t="str">
        <f>IF(AND(U$30,$O34),$D$33,"")</f>
        <v/>
      </c>
      <c r="V34" s="56" t="str">
        <f>IF(AND(V$30,$O34),$E$33,"")</f>
        <v/>
      </c>
      <c r="W34" s="57" t="str">
        <f>IF(AND(W$30,$O34),$F$33,"")</f>
        <v/>
      </c>
      <c r="X34" s="55" t="str">
        <f>IF(AND(X$30,$O34),$C$33,"")</f>
        <v/>
      </c>
      <c r="Y34" s="56" t="str">
        <f>IF(AND(Y$30,$O34),$D$33,"")</f>
        <v/>
      </c>
      <c r="Z34" s="56" t="str">
        <f>IF(AND(Z$30,$O34),$E$33,"")</f>
        <v/>
      </c>
      <c r="AA34" s="57" t="str">
        <f>IF(AND(AA$30,$O34),$F$33,"")</f>
        <v/>
      </c>
      <c r="AB34" s="55" t="str">
        <f>IF(AND(AB$30,$O34),$C$33,"")</f>
        <v/>
      </c>
      <c r="AC34" s="56" t="str">
        <f>IF(AND(AC$30,$O34),$D$33,"")</f>
        <v/>
      </c>
      <c r="AD34" s="56" t="str">
        <f>IF(AND(AD$30,$O34),$E$33,"")</f>
        <v/>
      </c>
      <c r="AE34" s="57" t="str">
        <f>IF(AND(AE$30,$O34),$F$33,"")</f>
        <v/>
      </c>
      <c r="AF34" s="55" t="str">
        <f>IF(AND(AF$30,$O34),$C$33,"")</f>
        <v/>
      </c>
      <c r="AG34" s="56" t="str">
        <f>IF(AND(AG$30,$O34),$D$33,"")</f>
        <v/>
      </c>
      <c r="AH34" s="56" t="str">
        <f>IF(AND(AH$30,$O34),$E$33,"")</f>
        <v/>
      </c>
      <c r="AI34" s="57" t="str">
        <f>IF(AND(AI$30,$O34),$F$33,"")</f>
        <v/>
      </c>
      <c r="AJ34" s="55" t="str">
        <f>IF(AND(AJ$30,$O34),$C$33,"")</f>
        <v/>
      </c>
      <c r="AK34" s="56" t="str">
        <f>IF(AND(AK$30,$O34),$D$33,"")</f>
        <v/>
      </c>
      <c r="AL34" s="56" t="str">
        <f>IF(AND(AL$30,$O34),$E$33,"")</f>
        <v/>
      </c>
      <c r="AM34" s="57" t="str">
        <f>IF(AND(AM$30,$O34),$F$33,"")</f>
        <v/>
      </c>
      <c r="AN34" s="55" t="str">
        <f>IF(AND(AN$30,$O34),$C$33,"")</f>
        <v/>
      </c>
      <c r="AO34" s="56" t="str">
        <f>IF(AND(AO$30,$O34),$D$33,"")</f>
        <v/>
      </c>
      <c r="AP34" s="56" t="str">
        <f>IF(AND(AP$30,$O34),$E$33,"")</f>
        <v/>
      </c>
      <c r="AQ34" s="57" t="str">
        <f>IF(AND(AQ$30,$O34),$F$33,"")</f>
        <v/>
      </c>
      <c r="AR34" s="55" t="str">
        <f>IF(AND(AR$30,$O34),$C$33,"")</f>
        <v/>
      </c>
      <c r="AS34" s="56" t="str">
        <f>IF(AND(AS$30,$O34),$D$33,"")</f>
        <v/>
      </c>
      <c r="AT34" s="56" t="str">
        <f>IF(AND(AT$30,$O34),$E$33,"")</f>
        <v/>
      </c>
      <c r="AU34" s="57" t="str">
        <f>IF(AND(AU$30,$O34),$F$33,"")</f>
        <v/>
      </c>
      <c r="AV34" s="55" t="str">
        <f>IF(AND(AV$30,$O34),$C$33,"")</f>
        <v/>
      </c>
      <c r="AW34" s="56" t="str">
        <f>IF(AND(AW$30,$O34),$D$33,"")</f>
        <v/>
      </c>
      <c r="AX34" s="56" t="str">
        <f>IF(AND(AX$30,$O34),$E$33,"")</f>
        <v/>
      </c>
      <c r="AY34" s="57" t="str">
        <f>IF(AND(AY$30,$O34),$F$33,"")</f>
        <v/>
      </c>
      <c r="AZ34" s="55" t="str">
        <f>IF(AND(AZ$30,$O34),$C$33,"")</f>
        <v/>
      </c>
      <c r="BA34" s="56" t="str">
        <f>IF(AND(BA$30,$O34),$D$33,"")</f>
        <v/>
      </c>
      <c r="BB34" s="56" t="str">
        <f>IF(AND(BB$30,$O34),$E$33,"")</f>
        <v/>
      </c>
      <c r="BC34" s="57" t="str">
        <f>IF(AND(BC$30,$O34),$F$33,"")</f>
        <v/>
      </c>
      <c r="BD34" s="55" t="str">
        <f>IF(AND(BD$30,$O34),$C$33,"")</f>
        <v/>
      </c>
      <c r="BE34" s="56" t="str">
        <f>IF(AND(BE$30,$O34),$D$33,"")</f>
        <v/>
      </c>
      <c r="BF34" s="56" t="str">
        <f>IF(AND(BF$30,$O34),$E$33,"")</f>
        <v/>
      </c>
      <c r="BG34" s="57" t="str">
        <f>IF(AND(BG$30,$O34),$F$33,"")</f>
        <v/>
      </c>
      <c r="BH34" s="55" t="str">
        <f>IF(AND(BH$30,$O34),$C$33,"")</f>
        <v/>
      </c>
      <c r="BI34" s="56" t="str">
        <f>IF(AND(BI$30,$O34),$D$33,"")</f>
        <v/>
      </c>
      <c r="BJ34" s="56" t="str">
        <f>IF(AND(BJ$30,$O34),$E$33,"")</f>
        <v/>
      </c>
      <c r="BK34" s="57" t="str">
        <f>IF(AND(BK$30,$O34),$F$33,"")</f>
        <v/>
      </c>
      <c r="BL34" s="55" t="str">
        <f>IF(AND(BL$30,$O34),$C$33,"")</f>
        <v/>
      </c>
      <c r="BM34" s="56" t="str">
        <f>IF(AND(BM$30,$O34),$D$33,"")</f>
        <v/>
      </c>
      <c r="BN34" s="56" t="str">
        <f>IF(AND(BN$30,$O34),$E$33,"")</f>
        <v/>
      </c>
      <c r="BO34" s="57" t="str">
        <f>IF(AND(BO$30,$O34),$F$33,"")</f>
        <v/>
      </c>
      <c r="BP34" s="55" t="str">
        <f>IF(AND(BP$30,$O34),$C$33,"")</f>
        <v/>
      </c>
      <c r="BQ34" s="56" t="str">
        <f>IF(AND(BQ$30,$O34),$D$33,"")</f>
        <v/>
      </c>
      <c r="BR34" s="56" t="str">
        <f>IF(AND(BR$30,$O34),$E$33,"")</f>
        <v/>
      </c>
      <c r="BS34" s="57" t="str">
        <f>IF(AND(BS$30,$O34),$F$33,"")</f>
        <v/>
      </c>
      <c r="BT34" s="55" t="str">
        <f>IF(AND(BT$30,$O34),$C$33,"")</f>
        <v/>
      </c>
      <c r="BU34" s="56" t="str">
        <f>IF(AND(BU$30,$O34),$D$33,"")</f>
        <v/>
      </c>
      <c r="BV34" s="56" t="str">
        <f>IF(AND(BV$30,$O34),$E$33,"")</f>
        <v/>
      </c>
      <c r="BW34" s="57" t="str">
        <f>IF(AND(BW$30,$O34),$F$33,"")</f>
        <v/>
      </c>
      <c r="BX34" s="55" t="str">
        <f>IF(AND(BX$30,$O34),$C$33,"")</f>
        <v/>
      </c>
      <c r="BY34" s="56" t="str">
        <f>IF(AND(BY$30,$O34),$D$33,"")</f>
        <v/>
      </c>
      <c r="BZ34" s="56" t="str">
        <f>IF(AND(BZ$30,$O34),$E$33,"")</f>
        <v/>
      </c>
      <c r="CA34" s="57" t="str">
        <f>IF(AND(CA$30,$O34),$F$33,"")</f>
        <v/>
      </c>
      <c r="CB34" s="55" t="str">
        <f>IF(AND(CB$30,$O34),$C$33,"")</f>
        <v/>
      </c>
      <c r="CC34" s="56" t="str">
        <f>IF(AND(CC$30,$O34),$D$33,"")</f>
        <v/>
      </c>
      <c r="CD34" s="56" t="str">
        <f>IF(AND(CD$30,$O34),$E$33,"")</f>
        <v/>
      </c>
      <c r="CE34" s="57" t="str">
        <f>IF(AND(CE$30,$O34),$F$33,"")</f>
        <v/>
      </c>
    </row>
    <row r="35" spans="1:83" ht="15.75" thickBot="1">
      <c r="B35" s="79" t="s">
        <v>81</v>
      </c>
      <c r="C35" s="80">
        <v>1</v>
      </c>
      <c r="L35" s="83" t="str">
        <f>MID(CodDegElegir,N35+1,1)</f>
        <v>G</v>
      </c>
      <c r="M35" s="85" t="str">
        <f t="shared" si="20"/>
        <v>-</v>
      </c>
      <c r="N35">
        <v>1</v>
      </c>
      <c r="O35" s="81">
        <f>BinAnd(N35,A)</f>
        <v>0</v>
      </c>
      <c r="P35" s="29" t="str">
        <f>IF(AND(P$30,$O35),$C$30,"")</f>
        <v/>
      </c>
      <c r="Q35" s="30" t="str">
        <f>IF(AND(Q$30,$O35),$D$30,"")</f>
        <v/>
      </c>
      <c r="R35" s="30" t="str">
        <f>IF(AND(R$30,$O35),$E$30,"")</f>
        <v/>
      </c>
      <c r="S35" s="53" t="str">
        <f>IF(AND(S$30,$O35),$F$30,"")</f>
        <v/>
      </c>
      <c r="T35" s="29" t="str">
        <f>IF(AND(T$30,$O35),$C$30,"")</f>
        <v/>
      </c>
      <c r="U35" s="30" t="str">
        <f>IF(AND(U$30,$O35),$D$30,"")</f>
        <v/>
      </c>
      <c r="V35" s="30" t="str">
        <f>IF(AND(V$30,$O35),$E$30,"")</f>
        <v/>
      </c>
      <c r="W35" s="53" t="str">
        <f>IF(AND(W$30,$O35),$F$30,"")</f>
        <v/>
      </c>
      <c r="X35" s="29" t="str">
        <f>IF(AND(X$30,$O35),$C$30,"")</f>
        <v/>
      </c>
      <c r="Y35" s="30" t="str">
        <f>IF(AND(Y$30,$O35),$D$30,"")</f>
        <v/>
      </c>
      <c r="Z35" s="30" t="str">
        <f>IF(AND(Z$30,$O35),$E$30,"")</f>
        <v/>
      </c>
      <c r="AA35" s="53" t="str">
        <f>IF(AND(AA$30,$O35),$F$30,"")</f>
        <v/>
      </c>
      <c r="AB35" s="29" t="str">
        <f>IF(AND(AB$30,$O35),$C$30,"")</f>
        <v/>
      </c>
      <c r="AC35" s="30" t="str">
        <f>IF(AND(AC$30,$O35),$D$30,"")</f>
        <v/>
      </c>
      <c r="AD35" s="30" t="str">
        <f>IF(AND(AD$30,$O35),$E$30,"")</f>
        <v/>
      </c>
      <c r="AE35" s="53" t="str">
        <f>IF(AND(AE$30,$O35),$F$30,"")</f>
        <v/>
      </c>
      <c r="AF35" s="29" t="str">
        <f>IF(AND(AF$30,$O35),$C$30,"")</f>
        <v/>
      </c>
      <c r="AG35" s="30" t="str">
        <f>IF(AND(AG$30,$O35),$D$30,"")</f>
        <v/>
      </c>
      <c r="AH35" s="30" t="str">
        <f>IF(AND(AH$30,$O35),$E$30,"")</f>
        <v/>
      </c>
      <c r="AI35" s="53" t="str">
        <f>IF(AND(AI$30,$O35),$F$30,"")</f>
        <v/>
      </c>
      <c r="AJ35" s="29" t="str">
        <f>IF(AND(AJ$30,$O35),$C$30,"")</f>
        <v/>
      </c>
      <c r="AK35" s="30" t="str">
        <f>IF(AND(AK$30,$O35),$D$30,"")</f>
        <v/>
      </c>
      <c r="AL35" s="30" t="str">
        <f>IF(AND(AL$30,$O35),$E$30,"")</f>
        <v/>
      </c>
      <c r="AM35" s="53" t="str">
        <f>IF(AND(AM$30,$O35),$F$30,"")</f>
        <v/>
      </c>
      <c r="AN35" s="29" t="str">
        <f>IF(AND(AN$30,$O35),$C$30,"")</f>
        <v/>
      </c>
      <c r="AO35" s="30" t="str">
        <f>IF(AND(AO$30,$O35),$D$30,"")</f>
        <v/>
      </c>
      <c r="AP35" s="30" t="str">
        <f>IF(AND(AP$30,$O35),$E$30,"")</f>
        <v/>
      </c>
      <c r="AQ35" s="53" t="str">
        <f>IF(AND(AQ$30,$O35),$F$30,"")</f>
        <v/>
      </c>
      <c r="AR35" s="29" t="str">
        <f>IF(AND(AR$30,$O35),$C$30,"")</f>
        <v/>
      </c>
      <c r="AS35" s="30" t="str">
        <f>IF(AND(AS$30,$O35),$D$30,"")</f>
        <v/>
      </c>
      <c r="AT35" s="30" t="str">
        <f>IF(AND(AT$30,$O35),$E$30,"")</f>
        <v/>
      </c>
      <c r="AU35" s="53" t="str">
        <f>IF(AND(AU$30,$O35),$F$30,"")</f>
        <v/>
      </c>
      <c r="AV35" s="29" t="str">
        <f>IF(AND(AV$30,$O35),$C$30,"")</f>
        <v/>
      </c>
      <c r="AW35" s="30" t="str">
        <f>IF(AND(AW$30,$O35),$D$30,"")</f>
        <v/>
      </c>
      <c r="AX35" s="30" t="str">
        <f>IF(AND(AX$30,$O35),$E$30,"")</f>
        <v/>
      </c>
      <c r="AY35" s="53" t="str">
        <f>IF(AND(AY$30,$O35),$F$30,"")</f>
        <v/>
      </c>
      <c r="AZ35" s="29" t="str">
        <f>IF(AND(AZ$30,$O35),$C$30,"")</f>
        <v/>
      </c>
      <c r="BA35" s="30" t="str">
        <f>IF(AND(BA$30,$O35),$D$30,"")</f>
        <v/>
      </c>
      <c r="BB35" s="30" t="str">
        <f>IF(AND(BB$30,$O35),$E$30,"")</f>
        <v/>
      </c>
      <c r="BC35" s="53" t="str">
        <f>IF(AND(BC$30,$O35),$F$30,"")</f>
        <v/>
      </c>
      <c r="BD35" s="29" t="str">
        <f>IF(AND(BD$30,$O35),$C$30,"")</f>
        <v/>
      </c>
      <c r="BE35" s="30" t="str">
        <f>IF(AND(BE$30,$O35),$D$30,"")</f>
        <v/>
      </c>
      <c r="BF35" s="30" t="str">
        <f>IF(AND(BF$30,$O35),$E$30,"")</f>
        <v/>
      </c>
      <c r="BG35" s="53" t="str">
        <f>IF(AND(BG$30,$O35),$F$30,"")</f>
        <v/>
      </c>
      <c r="BH35" s="29" t="str">
        <f>IF(AND(BH$30,$O35),$C$30,"")</f>
        <v/>
      </c>
      <c r="BI35" s="30" t="str">
        <f>IF(AND(BI$30,$O35),$D$30,"")</f>
        <v/>
      </c>
      <c r="BJ35" s="30" t="str">
        <f>IF(AND(BJ$30,$O35),$E$30,"")</f>
        <v/>
      </c>
      <c r="BK35" s="53" t="str">
        <f>IF(AND(BK$30,$O35),$F$30,"")</f>
        <v/>
      </c>
      <c r="BL35" s="29" t="str">
        <f>IF(AND(BL$30,$O35),$C$30,"")</f>
        <v/>
      </c>
      <c r="BM35" s="30" t="str">
        <f>IF(AND(BM$30,$O35),$D$30,"")</f>
        <v/>
      </c>
      <c r="BN35" s="30" t="str">
        <f>IF(AND(BN$30,$O35),$E$30,"")</f>
        <v/>
      </c>
      <c r="BO35" s="53" t="str">
        <f>IF(AND(BO$30,$O35),$F$30,"")</f>
        <v/>
      </c>
      <c r="BP35" s="29" t="str">
        <f>IF(AND(BP$30,$O35),$C$30,"")</f>
        <v/>
      </c>
      <c r="BQ35" s="30" t="str">
        <f>IF(AND(BQ$30,$O35),$D$30,"")</f>
        <v/>
      </c>
      <c r="BR35" s="30" t="str">
        <f>IF(AND(BR$30,$O35),$E$30,"")</f>
        <v/>
      </c>
      <c r="BS35" s="53" t="str">
        <f>IF(AND(BS$30,$O35),$F$30,"")</f>
        <v/>
      </c>
      <c r="BT35" s="29" t="str">
        <f>IF(AND(BT$30,$O35),$C$30,"")</f>
        <v/>
      </c>
      <c r="BU35" s="30" t="str">
        <f>IF(AND(BU$30,$O35),$D$30,"")</f>
        <v/>
      </c>
      <c r="BV35" s="30" t="str">
        <f>IF(AND(BV$30,$O35),$E$30,"")</f>
        <v/>
      </c>
      <c r="BW35" s="53" t="str">
        <f>IF(AND(BW$30,$O35),$F$30,"")</f>
        <v/>
      </c>
      <c r="BX35" s="29" t="str">
        <f>IF(AND(BX$30,$O35),$C$30,"")</f>
        <v/>
      </c>
      <c r="BY35" s="30" t="str">
        <f>IF(AND(BY$30,$O35),$D$30,"")</f>
        <v/>
      </c>
      <c r="BZ35" s="30" t="str">
        <f>IF(AND(BZ$30,$O35),$E$30,"")</f>
        <v/>
      </c>
      <c r="CA35" s="53" t="str">
        <f>IF(AND(CA$30,$O35),$F$30,"")</f>
        <v/>
      </c>
      <c r="CB35" s="29" t="str">
        <f>IF(AND(CB$30,$O35),$C$30,"")</f>
        <v/>
      </c>
      <c r="CC35" s="30" t="str">
        <f>IF(AND(CC$30,$O35),$D$30,"")</f>
        <v/>
      </c>
      <c r="CD35" s="30" t="str">
        <f>IF(AND(CD$30,$O35),$E$30,"")</f>
        <v/>
      </c>
      <c r="CE35" s="53" t="str">
        <f>IF(AND(CE$30,$O35),$F$30,"")</f>
        <v/>
      </c>
    </row>
    <row r="36" spans="1:83">
      <c r="B36" s="79"/>
      <c r="C36" s="79">
        <v>-1</v>
      </c>
      <c r="L36" s="87"/>
      <c r="M36" s="36" t="str">
        <f t="shared" si="20"/>
        <v>-</v>
      </c>
      <c r="O36" s="82">
        <f>BinAnd(N35,T)</f>
        <v>0</v>
      </c>
      <c r="P36" s="31" t="str">
        <f>IF(AND(P$30,$O36),$C$31,"")</f>
        <v/>
      </c>
      <c r="Q36" s="32" t="str">
        <f>IF(AND(Q$30,$O36),$D$31,"")</f>
        <v/>
      </c>
      <c r="R36" s="32" t="str">
        <f>IF(AND(R$30,$O36),$E$31,"")</f>
        <v/>
      </c>
      <c r="S36" s="54" t="str">
        <f>IF(AND(S$30,$O36),$F$31,"")</f>
        <v/>
      </c>
      <c r="T36" s="31" t="str">
        <f>IF(AND(T$30,$O36),$C$31,"")</f>
        <v/>
      </c>
      <c r="U36" s="32" t="str">
        <f>IF(AND(U$30,$O36),$D$31,"")</f>
        <v/>
      </c>
      <c r="V36" s="32" t="str">
        <f>IF(AND(V$30,$O36),$E$31,"")</f>
        <v/>
      </c>
      <c r="W36" s="54" t="str">
        <f>IF(AND(W$30,$O36),$F$31,"")</f>
        <v/>
      </c>
      <c r="X36" s="31" t="str">
        <f>IF(AND(X$30,$O36),$C$31,"")</f>
        <v/>
      </c>
      <c r="Y36" s="32" t="str">
        <f>IF(AND(Y$30,$O36),$D$31,"")</f>
        <v/>
      </c>
      <c r="Z36" s="32" t="str">
        <f>IF(AND(Z$30,$O36),$E$31,"")</f>
        <v/>
      </c>
      <c r="AA36" s="54" t="str">
        <f>IF(AND(AA$30,$O36),$F$31,"")</f>
        <v/>
      </c>
      <c r="AB36" s="31" t="str">
        <f>IF(AND(AB$30,$O36),$C$31,"")</f>
        <v/>
      </c>
      <c r="AC36" s="32" t="str">
        <f>IF(AND(AC$30,$O36),$D$31,"")</f>
        <v/>
      </c>
      <c r="AD36" s="32" t="str">
        <f>IF(AND(AD$30,$O36),$E$31,"")</f>
        <v/>
      </c>
      <c r="AE36" s="54" t="str">
        <f>IF(AND(AE$30,$O36),$F$31,"")</f>
        <v/>
      </c>
      <c r="AF36" s="31" t="str">
        <f>IF(AND(AF$30,$O36),$C$31,"")</f>
        <v/>
      </c>
      <c r="AG36" s="32" t="str">
        <f>IF(AND(AG$30,$O36),$D$31,"")</f>
        <v/>
      </c>
      <c r="AH36" s="32" t="str">
        <f>IF(AND(AH$30,$O36),$E$31,"")</f>
        <v/>
      </c>
      <c r="AI36" s="54" t="str">
        <f>IF(AND(AI$30,$O36),$F$31,"")</f>
        <v/>
      </c>
      <c r="AJ36" s="31" t="str">
        <f>IF(AND(AJ$30,$O36),$C$31,"")</f>
        <v/>
      </c>
      <c r="AK36" s="32" t="str">
        <f>IF(AND(AK$30,$O36),$D$31,"")</f>
        <v/>
      </c>
      <c r="AL36" s="32" t="str">
        <f>IF(AND(AL$30,$O36),$E$31,"")</f>
        <v/>
      </c>
      <c r="AM36" s="54" t="str">
        <f>IF(AND(AM$30,$O36),$F$31,"")</f>
        <v/>
      </c>
      <c r="AN36" s="31" t="str">
        <f>IF(AND(AN$30,$O36),$C$31,"")</f>
        <v/>
      </c>
      <c r="AO36" s="32" t="str">
        <f>IF(AND(AO$30,$O36),$D$31,"")</f>
        <v/>
      </c>
      <c r="AP36" s="32" t="str">
        <f>IF(AND(AP$30,$O36),$E$31,"")</f>
        <v/>
      </c>
      <c r="AQ36" s="54" t="str">
        <f>IF(AND(AQ$30,$O36),$F$31,"")</f>
        <v/>
      </c>
      <c r="AR36" s="31" t="str">
        <f>IF(AND(AR$30,$O36),$C$31,"")</f>
        <v/>
      </c>
      <c r="AS36" s="32" t="str">
        <f>IF(AND(AS$30,$O36),$D$31,"")</f>
        <v/>
      </c>
      <c r="AT36" s="32" t="str">
        <f>IF(AND(AT$30,$O36),$E$31,"")</f>
        <v/>
      </c>
      <c r="AU36" s="54" t="str">
        <f>IF(AND(AU$30,$O36),$F$31,"")</f>
        <v/>
      </c>
      <c r="AV36" s="31" t="str">
        <f>IF(AND(AV$30,$O36),$C$31,"")</f>
        <v/>
      </c>
      <c r="AW36" s="32" t="str">
        <f>IF(AND(AW$30,$O36),$D$31,"")</f>
        <v/>
      </c>
      <c r="AX36" s="32" t="str">
        <f>IF(AND(AX$30,$O36),$E$31,"")</f>
        <v/>
      </c>
      <c r="AY36" s="54" t="str">
        <f>IF(AND(AY$30,$O36),$F$31,"")</f>
        <v/>
      </c>
      <c r="AZ36" s="31" t="str">
        <f>IF(AND(AZ$30,$O36),$C$31,"")</f>
        <v/>
      </c>
      <c r="BA36" s="32" t="str">
        <f>IF(AND(BA$30,$O36),$D$31,"")</f>
        <v/>
      </c>
      <c r="BB36" s="32" t="str">
        <f>IF(AND(BB$30,$O36),$E$31,"")</f>
        <v/>
      </c>
      <c r="BC36" s="54" t="str">
        <f>IF(AND(BC$30,$O36),$F$31,"")</f>
        <v/>
      </c>
      <c r="BD36" s="31" t="str">
        <f>IF(AND(BD$30,$O36),$C$31,"")</f>
        <v/>
      </c>
      <c r="BE36" s="32" t="str">
        <f>IF(AND(BE$30,$O36),$D$31,"")</f>
        <v/>
      </c>
      <c r="BF36" s="32" t="str">
        <f>IF(AND(BF$30,$O36),$E$31,"")</f>
        <v/>
      </c>
      <c r="BG36" s="54" t="str">
        <f>IF(AND(BG$30,$O36),$F$31,"")</f>
        <v/>
      </c>
      <c r="BH36" s="31" t="str">
        <f>IF(AND(BH$30,$O36),$C$31,"")</f>
        <v/>
      </c>
      <c r="BI36" s="32" t="str">
        <f>IF(AND(BI$30,$O36),$D$31,"")</f>
        <v/>
      </c>
      <c r="BJ36" s="32" t="str">
        <f>IF(AND(BJ$30,$O36),$E$31,"")</f>
        <v/>
      </c>
      <c r="BK36" s="54" t="str">
        <f>IF(AND(BK$30,$O36),$F$31,"")</f>
        <v/>
      </c>
      <c r="BL36" s="31" t="str">
        <f>IF(AND(BL$30,$O36),$C$31,"")</f>
        <v/>
      </c>
      <c r="BM36" s="32" t="str">
        <f>IF(AND(BM$30,$O36),$D$31,"")</f>
        <v/>
      </c>
      <c r="BN36" s="32" t="str">
        <f>IF(AND(BN$30,$O36),$E$31,"")</f>
        <v/>
      </c>
      <c r="BO36" s="54" t="str">
        <f>IF(AND(BO$30,$O36),$F$31,"")</f>
        <v/>
      </c>
      <c r="BP36" s="31" t="str">
        <f>IF(AND(BP$30,$O36),$C$31,"")</f>
        <v/>
      </c>
      <c r="BQ36" s="32" t="str">
        <f>IF(AND(BQ$30,$O36),$D$31,"")</f>
        <v/>
      </c>
      <c r="BR36" s="32" t="str">
        <f>IF(AND(BR$30,$O36),$E$31,"")</f>
        <v/>
      </c>
      <c r="BS36" s="54" t="str">
        <f>IF(AND(BS$30,$O36),$F$31,"")</f>
        <v/>
      </c>
      <c r="BT36" s="31" t="str">
        <f>IF(AND(BT$30,$O36),$C$31,"")</f>
        <v/>
      </c>
      <c r="BU36" s="32" t="str">
        <f>IF(AND(BU$30,$O36),$D$31,"")</f>
        <v/>
      </c>
      <c r="BV36" s="32" t="str">
        <f>IF(AND(BV$30,$O36),$E$31,"")</f>
        <v/>
      </c>
      <c r="BW36" s="54" t="str">
        <f>IF(AND(BW$30,$O36),$F$31,"")</f>
        <v/>
      </c>
      <c r="BX36" s="31" t="str">
        <f>IF(AND(BX$30,$O36),$C$31,"")</f>
        <v/>
      </c>
      <c r="BY36" s="32" t="str">
        <f>IF(AND(BY$30,$O36),$D$31,"")</f>
        <v/>
      </c>
      <c r="BZ36" s="32" t="str">
        <f>IF(AND(BZ$30,$O36),$E$31,"")</f>
        <v/>
      </c>
      <c r="CA36" s="54" t="str">
        <f>IF(AND(CA$30,$O36),$F$31,"")</f>
        <v/>
      </c>
      <c r="CB36" s="31" t="str">
        <f>IF(AND(CB$30,$O36),$C$31,"")</f>
        <v/>
      </c>
      <c r="CC36" s="32" t="str">
        <f>IF(AND(CC$30,$O36),$D$31,"")</f>
        <v/>
      </c>
      <c r="CD36" s="32" t="str">
        <f>IF(AND(CD$30,$O36),$E$31,"")</f>
        <v/>
      </c>
      <c r="CE36" s="54" t="str">
        <f>IF(AND(CE$30,$O36),$F$31,"")</f>
        <v/>
      </c>
    </row>
    <row r="37" spans="1:83">
      <c r="A37" t="s">
        <v>104</v>
      </c>
      <c r="C37" s="5">
        <v>8</v>
      </c>
      <c r="D37" s="5">
        <v>4</v>
      </c>
      <c r="E37" s="5">
        <v>2</v>
      </c>
      <c r="F37" s="5">
        <v>1</v>
      </c>
      <c r="L37" s="87"/>
      <c r="M37" s="36" t="str">
        <f t="shared" si="20"/>
        <v>-</v>
      </c>
      <c r="O37" s="82">
        <f>BinAnd(N35,Ce)</f>
        <v>0</v>
      </c>
      <c r="P37" s="31" t="str">
        <f>IF(AND(P$30,$O37),$C$32,"")</f>
        <v/>
      </c>
      <c r="Q37" s="32" t="str">
        <f>IF(AND(Q$30,$O37),$D$32,"")</f>
        <v/>
      </c>
      <c r="R37" s="32" t="str">
        <f>IF(AND(R$30,$O37),$E$32,"")</f>
        <v/>
      </c>
      <c r="S37" s="54" t="str">
        <f>IF(AND(S$30,$O37),$F$32,"")</f>
        <v/>
      </c>
      <c r="T37" s="31" t="str">
        <f>IF(AND(T$30,$O37),$C$32,"")</f>
        <v/>
      </c>
      <c r="U37" s="32" t="str">
        <f>IF(AND(U$30,$O37),$D$32,"")</f>
        <v/>
      </c>
      <c r="V37" s="32" t="str">
        <f>IF(AND(V$30,$O37),$E$32,"")</f>
        <v/>
      </c>
      <c r="W37" s="54" t="str">
        <f>IF(AND(W$30,$O37),$F$32,"")</f>
        <v/>
      </c>
      <c r="X37" s="31" t="str">
        <f>IF(AND(X$30,$O37),$C$32,"")</f>
        <v/>
      </c>
      <c r="Y37" s="32" t="str">
        <f>IF(AND(Y$30,$O37),$D$32,"")</f>
        <v/>
      </c>
      <c r="Z37" s="32" t="str">
        <f>IF(AND(Z$30,$O37),$E$32,"")</f>
        <v/>
      </c>
      <c r="AA37" s="54" t="str">
        <f>IF(AND(AA$30,$O37),$F$32,"")</f>
        <v/>
      </c>
      <c r="AB37" s="31" t="str">
        <f>IF(AND(AB$30,$O37),$C$32,"")</f>
        <v/>
      </c>
      <c r="AC37" s="32" t="str">
        <f>IF(AND(AC$30,$O37),$D$32,"")</f>
        <v/>
      </c>
      <c r="AD37" s="32" t="str">
        <f>IF(AND(AD$30,$O37),$E$32,"")</f>
        <v/>
      </c>
      <c r="AE37" s="54" t="str">
        <f>IF(AND(AE$30,$O37),$F$32,"")</f>
        <v/>
      </c>
      <c r="AF37" s="31" t="str">
        <f>IF(AND(AF$30,$O37),$C$32,"")</f>
        <v/>
      </c>
      <c r="AG37" s="32" t="str">
        <f>IF(AND(AG$30,$O37),$D$32,"")</f>
        <v/>
      </c>
      <c r="AH37" s="32" t="str">
        <f>IF(AND(AH$30,$O37),$E$32,"")</f>
        <v/>
      </c>
      <c r="AI37" s="54" t="str">
        <f>IF(AND(AI$30,$O37),$F$32,"")</f>
        <v/>
      </c>
      <c r="AJ37" s="31" t="str">
        <f>IF(AND(AJ$30,$O37),$C$32,"")</f>
        <v/>
      </c>
      <c r="AK37" s="32" t="str">
        <f>IF(AND(AK$30,$O37),$D$32,"")</f>
        <v/>
      </c>
      <c r="AL37" s="32" t="str">
        <f>IF(AND(AL$30,$O37),$E$32,"")</f>
        <v/>
      </c>
      <c r="AM37" s="54" t="str">
        <f>IF(AND(AM$30,$O37),$F$32,"")</f>
        <v/>
      </c>
      <c r="AN37" s="31" t="str">
        <f>IF(AND(AN$30,$O37),$C$32,"")</f>
        <v/>
      </c>
      <c r="AO37" s="32" t="str">
        <f>IF(AND(AO$30,$O37),$D$32,"")</f>
        <v/>
      </c>
      <c r="AP37" s="32" t="str">
        <f>IF(AND(AP$30,$O37),$E$32,"")</f>
        <v/>
      </c>
      <c r="AQ37" s="54" t="str">
        <f>IF(AND(AQ$30,$O37),$F$32,"")</f>
        <v/>
      </c>
      <c r="AR37" s="31" t="str">
        <f>IF(AND(AR$30,$O37),$C$32,"")</f>
        <v/>
      </c>
      <c r="AS37" s="32" t="str">
        <f>IF(AND(AS$30,$O37),$D$32,"")</f>
        <v/>
      </c>
      <c r="AT37" s="32" t="str">
        <f>IF(AND(AT$30,$O37),$E$32,"")</f>
        <v/>
      </c>
      <c r="AU37" s="54" t="str">
        <f>IF(AND(AU$30,$O37),$F$32,"")</f>
        <v/>
      </c>
      <c r="AV37" s="31" t="str">
        <f>IF(AND(AV$30,$O37),$C$32,"")</f>
        <v/>
      </c>
      <c r="AW37" s="32" t="str">
        <f>IF(AND(AW$30,$O37),$D$32,"")</f>
        <v/>
      </c>
      <c r="AX37" s="32" t="str">
        <f>IF(AND(AX$30,$O37),$E$32,"")</f>
        <v/>
      </c>
      <c r="AY37" s="54" t="str">
        <f>IF(AND(AY$30,$O37),$F$32,"")</f>
        <v/>
      </c>
      <c r="AZ37" s="31" t="str">
        <f>IF(AND(AZ$30,$O37),$C$32,"")</f>
        <v/>
      </c>
      <c r="BA37" s="32" t="str">
        <f>IF(AND(BA$30,$O37),$D$32,"")</f>
        <v/>
      </c>
      <c r="BB37" s="32" t="str">
        <f>IF(AND(BB$30,$O37),$E$32,"")</f>
        <v/>
      </c>
      <c r="BC37" s="54" t="str">
        <f>IF(AND(BC$30,$O37),$F$32,"")</f>
        <v/>
      </c>
      <c r="BD37" s="31" t="str">
        <f>IF(AND(BD$30,$O37),$C$32,"")</f>
        <v/>
      </c>
      <c r="BE37" s="32" t="str">
        <f>IF(AND(BE$30,$O37),$D$32,"")</f>
        <v/>
      </c>
      <c r="BF37" s="32" t="str">
        <f>IF(AND(BF$30,$O37),$E$32,"")</f>
        <v/>
      </c>
      <c r="BG37" s="54" t="str">
        <f>IF(AND(BG$30,$O37),$F$32,"")</f>
        <v/>
      </c>
      <c r="BH37" s="31" t="str">
        <f>IF(AND(BH$30,$O37),$C$32,"")</f>
        <v/>
      </c>
      <c r="BI37" s="32" t="str">
        <f>IF(AND(BI$30,$O37),$D$32,"")</f>
        <v/>
      </c>
      <c r="BJ37" s="32" t="str">
        <f>IF(AND(BJ$30,$O37),$E$32,"")</f>
        <v/>
      </c>
      <c r="BK37" s="54" t="str">
        <f>IF(AND(BK$30,$O37),$F$32,"")</f>
        <v/>
      </c>
      <c r="BL37" s="31" t="str">
        <f>IF(AND(BL$30,$O37),$C$32,"")</f>
        <v/>
      </c>
      <c r="BM37" s="32" t="str">
        <f>IF(AND(BM$30,$O37),$D$32,"")</f>
        <v/>
      </c>
      <c r="BN37" s="32" t="str">
        <f>IF(AND(BN$30,$O37),$E$32,"")</f>
        <v/>
      </c>
      <c r="BO37" s="54" t="str">
        <f>IF(AND(BO$30,$O37),$F$32,"")</f>
        <v/>
      </c>
      <c r="BP37" s="31" t="str">
        <f>IF(AND(BP$30,$O37),$C$32,"")</f>
        <v/>
      </c>
      <c r="BQ37" s="32" t="str">
        <f>IF(AND(BQ$30,$O37),$D$32,"")</f>
        <v/>
      </c>
      <c r="BR37" s="32" t="str">
        <f>IF(AND(BR$30,$O37),$E$32,"")</f>
        <v/>
      </c>
      <c r="BS37" s="54" t="str">
        <f>IF(AND(BS$30,$O37),$F$32,"")</f>
        <v/>
      </c>
      <c r="BT37" s="31" t="str">
        <f>IF(AND(BT$30,$O37),$C$32,"")</f>
        <v/>
      </c>
      <c r="BU37" s="32" t="str">
        <f>IF(AND(BU$30,$O37),$D$32,"")</f>
        <v/>
      </c>
      <c r="BV37" s="32" t="str">
        <f>IF(AND(BV$30,$O37),$E$32,"")</f>
        <v/>
      </c>
      <c r="BW37" s="54" t="str">
        <f>IF(AND(BW$30,$O37),$F$32,"")</f>
        <v/>
      </c>
      <c r="BX37" s="31" t="str">
        <f>IF(AND(BX$30,$O37),$C$32,"")</f>
        <v/>
      </c>
      <c r="BY37" s="32" t="str">
        <f>IF(AND(BY$30,$O37),$D$32,"")</f>
        <v/>
      </c>
      <c r="BZ37" s="32" t="str">
        <f>IF(AND(BZ$30,$O37),$E$32,"")</f>
        <v/>
      </c>
      <c r="CA37" s="54" t="str">
        <f>IF(AND(CA$30,$O37),$F$32,"")</f>
        <v/>
      </c>
      <c r="CB37" s="31" t="str">
        <f>IF(AND(CB$30,$O37),$C$32,"")</f>
        <v/>
      </c>
      <c r="CC37" s="32" t="str">
        <f>IF(AND(CC$30,$O37),$D$32,"")</f>
        <v/>
      </c>
      <c r="CD37" s="32" t="str">
        <f>IF(AND(CD$30,$O37),$E$32,"")</f>
        <v/>
      </c>
      <c r="CE37" s="54" t="str">
        <f>IF(AND(CE$30,$O37),$F$32,"")</f>
        <v/>
      </c>
    </row>
    <row r="38" spans="1:83" ht="15.75" thickBot="1">
      <c r="C38" s="5" t="s">
        <v>2</v>
      </c>
      <c r="D38" s="5" t="s">
        <v>1</v>
      </c>
      <c r="E38" s="5" t="s">
        <v>4</v>
      </c>
      <c r="F38" s="5" t="s">
        <v>3</v>
      </c>
      <c r="L38" s="86"/>
      <c r="M38" s="37" t="str">
        <f t="shared" si="20"/>
        <v>G</v>
      </c>
      <c r="O38" s="43">
        <f>BinAnd(N35,G)</f>
        <v>1</v>
      </c>
      <c r="P38" s="55" t="str">
        <f>IF(AND(P$30,$O38),$C$33,"")</f>
        <v/>
      </c>
      <c r="Q38" s="56" t="str">
        <f>IF(AND(Q$30,$O38),$D$33,"")</f>
        <v/>
      </c>
      <c r="R38" s="56" t="str">
        <f>IF(AND(R$30,$O38),$E$33,"")</f>
        <v/>
      </c>
      <c r="S38" s="57" t="str">
        <f>IF(AND(S$30,$O38),$F$33,"")</f>
        <v/>
      </c>
      <c r="T38" s="55" t="str">
        <f>IF(AND(T$30,$O38),$C$33,"")</f>
        <v/>
      </c>
      <c r="U38" s="56" t="str">
        <f>IF(AND(U$30,$O38),$D$33,"")</f>
        <v/>
      </c>
      <c r="V38" s="56" t="str">
        <f>IF(AND(V$30,$O38),$E$33,"")</f>
        <v/>
      </c>
      <c r="W38" s="57">
        <f>IF(AND(W$30,$O38),$F$33,"")</f>
        <v>6.7</v>
      </c>
      <c r="X38" s="55" t="str">
        <f>IF(AND(X$30,$O38),$C$33,"")</f>
        <v/>
      </c>
      <c r="Y38" s="56" t="str">
        <f>IF(AND(Y$30,$O38),$D$33,"")</f>
        <v/>
      </c>
      <c r="Z38" s="56">
        <f>IF(AND(Z$30,$O38),$E$33,"")</f>
        <v>11.1</v>
      </c>
      <c r="AA38" s="57" t="str">
        <f>IF(AND(AA$30,$O38),$F$33,"")</f>
        <v/>
      </c>
      <c r="AB38" s="55" t="str">
        <f>IF(AND(AB$30,$O38),$C$33,"")</f>
        <v/>
      </c>
      <c r="AC38" s="56" t="str">
        <f>IF(AND(AC$30,$O38),$D$33,"")</f>
        <v/>
      </c>
      <c r="AD38" s="56">
        <f>IF(AND(AD$30,$O38),$E$33,"")</f>
        <v>11.1</v>
      </c>
      <c r="AE38" s="57">
        <f>IF(AND(AE$30,$O38),$F$33,"")</f>
        <v>6.7</v>
      </c>
      <c r="AF38" s="55" t="str">
        <f>IF(AND(AF$30,$O38),$C$33,"")</f>
        <v/>
      </c>
      <c r="AG38" s="56">
        <f>IF(AND(AG$30,$O38),$D$33,"")</f>
        <v>8.6</v>
      </c>
      <c r="AH38" s="56" t="str">
        <f>IF(AND(AH$30,$O38),$E$33,"")</f>
        <v/>
      </c>
      <c r="AI38" s="57" t="str">
        <f>IF(AND(AI$30,$O38),$F$33,"")</f>
        <v/>
      </c>
      <c r="AJ38" s="55" t="str">
        <f>IF(AND(AJ$30,$O38),$C$33,"")</f>
        <v/>
      </c>
      <c r="AK38" s="56">
        <f>IF(AND(AK$30,$O38),$D$33,"")</f>
        <v>8.6</v>
      </c>
      <c r="AL38" s="56" t="str">
        <f>IF(AND(AL$30,$O38),$E$33,"")</f>
        <v/>
      </c>
      <c r="AM38" s="57">
        <f>IF(AND(AM$30,$O38),$F$33,"")</f>
        <v>6.7</v>
      </c>
      <c r="AN38" s="55" t="str">
        <f>IF(AND(AN$30,$O38),$C$33,"")</f>
        <v/>
      </c>
      <c r="AO38" s="56">
        <f>IF(AND(AO$30,$O38),$D$33,"")</f>
        <v>8.6</v>
      </c>
      <c r="AP38" s="56">
        <f>IF(AND(AP$30,$O38),$E$33,"")</f>
        <v>11.1</v>
      </c>
      <c r="AQ38" s="57" t="str">
        <f>IF(AND(AQ$30,$O38),$F$33,"")</f>
        <v/>
      </c>
      <c r="AR38" s="55" t="str">
        <f>IF(AND(AR$30,$O38),$C$33,"")</f>
        <v/>
      </c>
      <c r="AS38" s="56">
        <f>IF(AND(AS$30,$O38),$D$33,"")</f>
        <v>8.6</v>
      </c>
      <c r="AT38" s="56">
        <f>IF(AND(AT$30,$O38),$E$33,"")</f>
        <v>11.1</v>
      </c>
      <c r="AU38" s="57">
        <f>IF(AND(AU$30,$O38),$F$33,"")</f>
        <v>6.7</v>
      </c>
      <c r="AV38" s="55">
        <f>IF(AND(AV$30,$O38),$C$33,"")</f>
        <v>7.7</v>
      </c>
      <c r="AW38" s="56" t="str">
        <f>IF(AND(AW$30,$O38),$D$33,"")</f>
        <v/>
      </c>
      <c r="AX38" s="56" t="str">
        <f>IF(AND(AX$30,$O38),$E$33,"")</f>
        <v/>
      </c>
      <c r="AY38" s="57" t="str">
        <f>IF(AND(AY$30,$O38),$F$33,"")</f>
        <v/>
      </c>
      <c r="AZ38" s="55">
        <f>IF(AND(AZ$30,$O38),$C$33,"")</f>
        <v>7.7</v>
      </c>
      <c r="BA38" s="56" t="str">
        <f>IF(AND(BA$30,$O38),$D$33,"")</f>
        <v/>
      </c>
      <c r="BB38" s="56" t="str">
        <f>IF(AND(BB$30,$O38),$E$33,"")</f>
        <v/>
      </c>
      <c r="BC38" s="57">
        <f>IF(AND(BC$30,$O38),$F$33,"")</f>
        <v>6.7</v>
      </c>
      <c r="BD38" s="55">
        <f>IF(AND(BD$30,$O38),$C$33,"")</f>
        <v>7.7</v>
      </c>
      <c r="BE38" s="56" t="str">
        <f>IF(AND(BE$30,$O38),$D$33,"")</f>
        <v/>
      </c>
      <c r="BF38" s="56">
        <f>IF(AND(BF$30,$O38),$E$33,"")</f>
        <v>11.1</v>
      </c>
      <c r="BG38" s="57" t="str">
        <f>IF(AND(BG$30,$O38),$F$33,"")</f>
        <v/>
      </c>
      <c r="BH38" s="55">
        <f>IF(AND(BH$30,$O38),$C$33,"")</f>
        <v>7.7</v>
      </c>
      <c r="BI38" s="56" t="str">
        <f>IF(AND(BI$30,$O38),$D$33,"")</f>
        <v/>
      </c>
      <c r="BJ38" s="56">
        <f>IF(AND(BJ$30,$O38),$E$33,"")</f>
        <v>11.1</v>
      </c>
      <c r="BK38" s="57">
        <f>IF(AND(BK$30,$O38),$F$33,"")</f>
        <v>6.7</v>
      </c>
      <c r="BL38" s="55">
        <f>IF(AND(BL$30,$O38),$C$33,"")</f>
        <v>7.7</v>
      </c>
      <c r="BM38" s="56">
        <f>IF(AND(BM$30,$O38),$D$33,"")</f>
        <v>8.6</v>
      </c>
      <c r="BN38" s="56" t="str">
        <f>IF(AND(BN$30,$O38),$E$33,"")</f>
        <v/>
      </c>
      <c r="BO38" s="57" t="str">
        <f>IF(AND(BO$30,$O38),$F$33,"")</f>
        <v/>
      </c>
      <c r="BP38" s="55">
        <f>IF(AND(BP$30,$O38),$C$33,"")</f>
        <v>7.7</v>
      </c>
      <c r="BQ38" s="56">
        <f>IF(AND(BQ$30,$O38),$D$33,"")</f>
        <v>8.6</v>
      </c>
      <c r="BR38" s="56" t="str">
        <f>IF(AND(BR$30,$O38),$E$33,"")</f>
        <v/>
      </c>
      <c r="BS38" s="57">
        <f>IF(AND(BS$30,$O38),$F$33,"")</f>
        <v>6.7</v>
      </c>
      <c r="BT38" s="55">
        <f>IF(AND(BT$30,$O38),$C$33,"")</f>
        <v>7.7</v>
      </c>
      <c r="BU38" s="56">
        <f>IF(AND(BU$30,$O38),$D$33,"")</f>
        <v>8.6</v>
      </c>
      <c r="BV38" s="56">
        <f>IF(AND(BV$30,$O38),$E$33,"")</f>
        <v>11.1</v>
      </c>
      <c r="BW38" s="57" t="str">
        <f>IF(AND(BW$30,$O38),$F$33,"")</f>
        <v/>
      </c>
      <c r="BX38" s="55">
        <f>IF(AND(BX$30,$O38),$C$33,"")</f>
        <v>7.7</v>
      </c>
      <c r="BY38" s="56">
        <f>IF(AND(BY$30,$O38),$D$33,"")</f>
        <v>8.6</v>
      </c>
      <c r="BZ38" s="56">
        <f>IF(AND(BZ$30,$O38),$E$33,"")</f>
        <v>11.1</v>
      </c>
      <c r="CA38" s="57">
        <f>IF(AND(CA$30,$O38),$F$33,"")</f>
        <v>6.7</v>
      </c>
      <c r="CB38" s="55" t="str">
        <f>IF(AND(CB$30,$O38),$C$33,"")</f>
        <v/>
      </c>
      <c r="CC38" s="56" t="str">
        <f>IF(AND(CC$30,$O38),$D$33,"")</f>
        <v/>
      </c>
      <c r="CD38" s="56" t="str">
        <f>IF(AND(CD$30,$O38),$E$33,"")</f>
        <v/>
      </c>
      <c r="CE38" s="57" t="str">
        <f>IF(AND(CE$30,$O38),$F$33,"")</f>
        <v/>
      </c>
    </row>
    <row r="39" spans="1:83">
      <c r="A39" s="6">
        <v>8</v>
      </c>
      <c r="B39" s="7" t="s">
        <v>2</v>
      </c>
      <c r="C39" s="64">
        <f>-$C$26*NNparam!$D$5</f>
        <v>23.6</v>
      </c>
      <c r="D39" s="65">
        <f>-$C$26*NNparam!$D$6</f>
        <v>18.8</v>
      </c>
      <c r="E39" s="66">
        <f>$D$42</f>
        <v>23</v>
      </c>
      <c r="F39" s="67">
        <f>$D$41</f>
        <v>16.100000000000001</v>
      </c>
      <c r="L39" s="83" t="str">
        <f>MID(CodDegElegir,N39+1,1)</f>
        <v>C</v>
      </c>
      <c r="M39" s="85" t="str">
        <f t="shared" si="20"/>
        <v>-</v>
      </c>
      <c r="N39">
        <v>2</v>
      </c>
      <c r="O39" s="81">
        <f>BinAnd(N39,A)</f>
        <v>0</v>
      </c>
      <c r="P39" s="29" t="str">
        <f>IF(AND(P$30,$O39),$C$30,"")</f>
        <v/>
      </c>
      <c r="Q39" s="30" t="str">
        <f>IF(AND(Q$30,$O39),$D$30,"")</f>
        <v/>
      </c>
      <c r="R39" s="30" t="str">
        <f>IF(AND(R$30,$O39),$E$30,"")</f>
        <v/>
      </c>
      <c r="S39" s="53" t="str">
        <f>IF(AND(S$30,$O39),$F$30,"")</f>
        <v/>
      </c>
      <c r="T39" s="29" t="str">
        <f>IF(AND(T$30,$O39),$C$30,"")</f>
        <v/>
      </c>
      <c r="U39" s="30" t="str">
        <f>IF(AND(U$30,$O39),$D$30,"")</f>
        <v/>
      </c>
      <c r="V39" s="30" t="str">
        <f>IF(AND(V$30,$O39),$E$30,"")</f>
        <v/>
      </c>
      <c r="W39" s="53" t="str">
        <f>IF(AND(W$30,$O39),$F$30,"")</f>
        <v/>
      </c>
      <c r="X39" s="29" t="str">
        <f>IF(AND(X$30,$O39),$C$30,"")</f>
        <v/>
      </c>
      <c r="Y39" s="30" t="str">
        <f>IF(AND(Y$30,$O39),$D$30,"")</f>
        <v/>
      </c>
      <c r="Z39" s="30" t="str">
        <f>IF(AND(Z$30,$O39),$E$30,"")</f>
        <v/>
      </c>
      <c r="AA39" s="53" t="str">
        <f>IF(AND(AA$30,$O39),$F$30,"")</f>
        <v/>
      </c>
      <c r="AB39" s="29" t="str">
        <f>IF(AND(AB$30,$O39),$C$30,"")</f>
        <v/>
      </c>
      <c r="AC39" s="30" t="str">
        <f>IF(AND(AC$30,$O39),$D$30,"")</f>
        <v/>
      </c>
      <c r="AD39" s="30" t="str">
        <f>IF(AND(AD$30,$O39),$E$30,"")</f>
        <v/>
      </c>
      <c r="AE39" s="53" t="str">
        <f>IF(AND(AE$30,$O39),$F$30,"")</f>
        <v/>
      </c>
      <c r="AF39" s="29" t="str">
        <f>IF(AND(AF$30,$O39),$C$30,"")</f>
        <v/>
      </c>
      <c r="AG39" s="30" t="str">
        <f>IF(AND(AG$30,$O39),$D$30,"")</f>
        <v/>
      </c>
      <c r="AH39" s="30" t="str">
        <f>IF(AND(AH$30,$O39),$E$30,"")</f>
        <v/>
      </c>
      <c r="AI39" s="53" t="str">
        <f>IF(AND(AI$30,$O39),$F$30,"")</f>
        <v/>
      </c>
      <c r="AJ39" s="29" t="str">
        <f>IF(AND(AJ$30,$O39),$C$30,"")</f>
        <v/>
      </c>
      <c r="AK39" s="30" t="str">
        <f>IF(AND(AK$30,$O39),$D$30,"")</f>
        <v/>
      </c>
      <c r="AL39" s="30" t="str">
        <f>IF(AND(AL$30,$O39),$E$30,"")</f>
        <v/>
      </c>
      <c r="AM39" s="53" t="str">
        <f>IF(AND(AM$30,$O39),$F$30,"")</f>
        <v/>
      </c>
      <c r="AN39" s="29" t="str">
        <f>IF(AND(AN$30,$O39),$C$30,"")</f>
        <v/>
      </c>
      <c r="AO39" s="30" t="str">
        <f>IF(AND(AO$30,$O39),$D$30,"")</f>
        <v/>
      </c>
      <c r="AP39" s="30" t="str">
        <f>IF(AND(AP$30,$O39),$E$30,"")</f>
        <v/>
      </c>
      <c r="AQ39" s="53" t="str">
        <f>IF(AND(AQ$30,$O39),$F$30,"")</f>
        <v/>
      </c>
      <c r="AR39" s="29" t="str">
        <f>IF(AND(AR$30,$O39),$C$30,"")</f>
        <v/>
      </c>
      <c r="AS39" s="30" t="str">
        <f>IF(AND(AS$30,$O39),$D$30,"")</f>
        <v/>
      </c>
      <c r="AT39" s="30" t="str">
        <f>IF(AND(AT$30,$O39),$E$30,"")</f>
        <v/>
      </c>
      <c r="AU39" s="53" t="str">
        <f>IF(AND(AU$30,$O39),$F$30,"")</f>
        <v/>
      </c>
      <c r="AV39" s="29" t="str">
        <f>IF(AND(AV$30,$O39),$C$30,"")</f>
        <v/>
      </c>
      <c r="AW39" s="30" t="str">
        <f>IF(AND(AW$30,$O39),$D$30,"")</f>
        <v/>
      </c>
      <c r="AX39" s="30" t="str">
        <f>IF(AND(AX$30,$O39),$E$30,"")</f>
        <v/>
      </c>
      <c r="AY39" s="53" t="str">
        <f>IF(AND(AY$30,$O39),$F$30,"")</f>
        <v/>
      </c>
      <c r="AZ39" s="29" t="str">
        <f>IF(AND(AZ$30,$O39),$C$30,"")</f>
        <v/>
      </c>
      <c r="BA39" s="30" t="str">
        <f>IF(AND(BA$30,$O39),$D$30,"")</f>
        <v/>
      </c>
      <c r="BB39" s="30" t="str">
        <f>IF(AND(BB$30,$O39),$E$30,"")</f>
        <v/>
      </c>
      <c r="BC39" s="53" t="str">
        <f>IF(AND(BC$30,$O39),$F$30,"")</f>
        <v/>
      </c>
      <c r="BD39" s="29" t="str">
        <f>IF(AND(BD$30,$O39),$C$30,"")</f>
        <v/>
      </c>
      <c r="BE39" s="30" t="str">
        <f>IF(AND(BE$30,$O39),$D$30,"")</f>
        <v/>
      </c>
      <c r="BF39" s="30" t="str">
        <f>IF(AND(BF$30,$O39),$E$30,"")</f>
        <v/>
      </c>
      <c r="BG39" s="53" t="str">
        <f>IF(AND(BG$30,$O39),$F$30,"")</f>
        <v/>
      </c>
      <c r="BH39" s="29" t="str">
        <f>IF(AND(BH$30,$O39),$C$30,"")</f>
        <v/>
      </c>
      <c r="BI39" s="30" t="str">
        <f>IF(AND(BI$30,$O39),$D$30,"")</f>
        <v/>
      </c>
      <c r="BJ39" s="30" t="str">
        <f>IF(AND(BJ$30,$O39),$E$30,"")</f>
        <v/>
      </c>
      <c r="BK39" s="53" t="str">
        <f>IF(AND(BK$30,$O39),$F$30,"")</f>
        <v/>
      </c>
      <c r="BL39" s="29" t="str">
        <f>IF(AND(BL$30,$O39),$C$30,"")</f>
        <v/>
      </c>
      <c r="BM39" s="30" t="str">
        <f>IF(AND(BM$30,$O39),$D$30,"")</f>
        <v/>
      </c>
      <c r="BN39" s="30" t="str">
        <f>IF(AND(BN$30,$O39),$E$30,"")</f>
        <v/>
      </c>
      <c r="BO39" s="53" t="str">
        <f>IF(AND(BO$30,$O39),$F$30,"")</f>
        <v/>
      </c>
      <c r="BP39" s="29" t="str">
        <f>IF(AND(BP$30,$O39),$C$30,"")</f>
        <v/>
      </c>
      <c r="BQ39" s="30" t="str">
        <f>IF(AND(BQ$30,$O39),$D$30,"")</f>
        <v/>
      </c>
      <c r="BR39" s="30" t="str">
        <f>IF(AND(BR$30,$O39),$E$30,"")</f>
        <v/>
      </c>
      <c r="BS39" s="53" t="str">
        <f>IF(AND(BS$30,$O39),$F$30,"")</f>
        <v/>
      </c>
      <c r="BT39" s="29" t="str">
        <f>IF(AND(BT$30,$O39),$C$30,"")</f>
        <v/>
      </c>
      <c r="BU39" s="30" t="str">
        <f>IF(AND(BU$30,$O39),$D$30,"")</f>
        <v/>
      </c>
      <c r="BV39" s="30" t="str">
        <f>IF(AND(BV$30,$O39),$E$30,"")</f>
        <v/>
      </c>
      <c r="BW39" s="53" t="str">
        <f>IF(AND(BW$30,$O39),$F$30,"")</f>
        <v/>
      </c>
      <c r="BX39" s="29" t="str">
        <f>IF(AND(BX$30,$O39),$C$30,"")</f>
        <v/>
      </c>
      <c r="BY39" s="30" t="str">
        <f>IF(AND(BY$30,$O39),$D$30,"")</f>
        <v/>
      </c>
      <c r="BZ39" s="30" t="str">
        <f>IF(AND(BZ$30,$O39),$E$30,"")</f>
        <v/>
      </c>
      <c r="CA39" s="53" t="str">
        <f>IF(AND(CA$30,$O39),$F$30,"")</f>
        <v/>
      </c>
      <c r="CB39" s="29" t="str">
        <f>IF(AND(CB$30,$O39),$C$30,"")</f>
        <v/>
      </c>
      <c r="CC39" s="30" t="str">
        <f>IF(AND(CC$30,$O39),$D$30,"")</f>
        <v/>
      </c>
      <c r="CD39" s="30" t="str">
        <f>IF(AND(CD$30,$O39),$E$30,"")</f>
        <v/>
      </c>
      <c r="CE39" s="53" t="str">
        <f>IF(AND(CE$30,$O39),$F$30,"")</f>
        <v/>
      </c>
    </row>
    <row r="40" spans="1:83">
      <c r="A40" s="9">
        <v>4</v>
      </c>
      <c r="B40" s="10" t="s">
        <v>1</v>
      </c>
      <c r="C40" s="68">
        <f>-$C$26*NNparam!$D$7</f>
        <v>18.5</v>
      </c>
      <c r="D40" s="69">
        <f>$C$39</f>
        <v>23.6</v>
      </c>
      <c r="E40" s="69">
        <f>$C$42</f>
        <v>20.3</v>
      </c>
      <c r="F40" s="70">
        <f>$C$41</f>
        <v>19.3</v>
      </c>
      <c r="L40" s="87"/>
      <c r="M40" s="36" t="str">
        <f t="shared" si="20"/>
        <v>-</v>
      </c>
      <c r="O40" s="82">
        <f>BinAnd(N39,T)</f>
        <v>0</v>
      </c>
      <c r="P40" s="31" t="str">
        <f>IF(AND(P$30,$O40),$C$31,"")</f>
        <v/>
      </c>
      <c r="Q40" s="32" t="str">
        <f>IF(AND(Q$30,$O40),$D$31,"")</f>
        <v/>
      </c>
      <c r="R40" s="32" t="str">
        <f>IF(AND(R$30,$O40),$E$31,"")</f>
        <v/>
      </c>
      <c r="S40" s="54" t="str">
        <f>IF(AND(S$30,$O40),$F$31,"")</f>
        <v/>
      </c>
      <c r="T40" s="31" t="str">
        <f>IF(AND(T$30,$O40),$C$31,"")</f>
        <v/>
      </c>
      <c r="U40" s="32" t="str">
        <f>IF(AND(U$30,$O40),$D$31,"")</f>
        <v/>
      </c>
      <c r="V40" s="32" t="str">
        <f>IF(AND(V$30,$O40),$E$31,"")</f>
        <v/>
      </c>
      <c r="W40" s="54" t="str">
        <f>IF(AND(W$30,$O40),$F$31,"")</f>
        <v/>
      </c>
      <c r="X40" s="31" t="str">
        <f>IF(AND(X$30,$O40),$C$31,"")</f>
        <v/>
      </c>
      <c r="Y40" s="32" t="str">
        <f>IF(AND(Y$30,$O40),$D$31,"")</f>
        <v/>
      </c>
      <c r="Z40" s="32" t="str">
        <f>IF(AND(Z$30,$O40),$E$31,"")</f>
        <v/>
      </c>
      <c r="AA40" s="54" t="str">
        <f>IF(AND(AA$30,$O40),$F$31,"")</f>
        <v/>
      </c>
      <c r="AB40" s="31" t="str">
        <f>IF(AND(AB$30,$O40),$C$31,"")</f>
        <v/>
      </c>
      <c r="AC40" s="32" t="str">
        <f>IF(AND(AC$30,$O40),$D$31,"")</f>
        <v/>
      </c>
      <c r="AD40" s="32" t="str">
        <f>IF(AND(AD$30,$O40),$E$31,"")</f>
        <v/>
      </c>
      <c r="AE40" s="54" t="str">
        <f>IF(AND(AE$30,$O40),$F$31,"")</f>
        <v/>
      </c>
      <c r="AF40" s="31" t="str">
        <f>IF(AND(AF$30,$O40),$C$31,"")</f>
        <v/>
      </c>
      <c r="AG40" s="32" t="str">
        <f>IF(AND(AG$30,$O40),$D$31,"")</f>
        <v/>
      </c>
      <c r="AH40" s="32" t="str">
        <f>IF(AND(AH$30,$O40),$E$31,"")</f>
        <v/>
      </c>
      <c r="AI40" s="54" t="str">
        <f>IF(AND(AI$30,$O40),$F$31,"")</f>
        <v/>
      </c>
      <c r="AJ40" s="31" t="str">
        <f>IF(AND(AJ$30,$O40),$C$31,"")</f>
        <v/>
      </c>
      <c r="AK40" s="32" t="str">
        <f>IF(AND(AK$30,$O40),$D$31,"")</f>
        <v/>
      </c>
      <c r="AL40" s="32" t="str">
        <f>IF(AND(AL$30,$O40),$E$31,"")</f>
        <v/>
      </c>
      <c r="AM40" s="54" t="str">
        <f>IF(AND(AM$30,$O40),$F$31,"")</f>
        <v/>
      </c>
      <c r="AN40" s="31" t="str">
        <f>IF(AND(AN$30,$O40),$C$31,"")</f>
        <v/>
      </c>
      <c r="AO40" s="32" t="str">
        <f>IF(AND(AO$30,$O40),$D$31,"")</f>
        <v/>
      </c>
      <c r="AP40" s="32" t="str">
        <f>IF(AND(AP$30,$O40),$E$31,"")</f>
        <v/>
      </c>
      <c r="AQ40" s="54" t="str">
        <f>IF(AND(AQ$30,$O40),$F$31,"")</f>
        <v/>
      </c>
      <c r="AR40" s="31" t="str">
        <f>IF(AND(AR$30,$O40),$C$31,"")</f>
        <v/>
      </c>
      <c r="AS40" s="32" t="str">
        <f>IF(AND(AS$30,$O40),$D$31,"")</f>
        <v/>
      </c>
      <c r="AT40" s="32" t="str">
        <f>IF(AND(AT$30,$O40),$E$31,"")</f>
        <v/>
      </c>
      <c r="AU40" s="54" t="str">
        <f>IF(AND(AU$30,$O40),$F$31,"")</f>
        <v/>
      </c>
      <c r="AV40" s="31" t="str">
        <f>IF(AND(AV$30,$O40),$C$31,"")</f>
        <v/>
      </c>
      <c r="AW40" s="32" t="str">
        <f>IF(AND(AW$30,$O40),$D$31,"")</f>
        <v/>
      </c>
      <c r="AX40" s="32" t="str">
        <f>IF(AND(AX$30,$O40),$E$31,"")</f>
        <v/>
      </c>
      <c r="AY40" s="54" t="str">
        <f>IF(AND(AY$30,$O40),$F$31,"")</f>
        <v/>
      </c>
      <c r="AZ40" s="31" t="str">
        <f>IF(AND(AZ$30,$O40),$C$31,"")</f>
        <v/>
      </c>
      <c r="BA40" s="32" t="str">
        <f>IF(AND(BA$30,$O40),$D$31,"")</f>
        <v/>
      </c>
      <c r="BB40" s="32" t="str">
        <f>IF(AND(BB$30,$O40),$E$31,"")</f>
        <v/>
      </c>
      <c r="BC40" s="54" t="str">
        <f>IF(AND(BC$30,$O40),$F$31,"")</f>
        <v/>
      </c>
      <c r="BD40" s="31" t="str">
        <f>IF(AND(BD$30,$O40),$C$31,"")</f>
        <v/>
      </c>
      <c r="BE40" s="32" t="str">
        <f>IF(AND(BE$30,$O40),$D$31,"")</f>
        <v/>
      </c>
      <c r="BF40" s="32" t="str">
        <f>IF(AND(BF$30,$O40),$E$31,"")</f>
        <v/>
      </c>
      <c r="BG40" s="54" t="str">
        <f>IF(AND(BG$30,$O40),$F$31,"")</f>
        <v/>
      </c>
      <c r="BH40" s="31" t="str">
        <f>IF(AND(BH$30,$O40),$C$31,"")</f>
        <v/>
      </c>
      <c r="BI40" s="32" t="str">
        <f>IF(AND(BI$30,$O40),$D$31,"")</f>
        <v/>
      </c>
      <c r="BJ40" s="32" t="str">
        <f>IF(AND(BJ$30,$O40),$E$31,"")</f>
        <v/>
      </c>
      <c r="BK40" s="54" t="str">
        <f>IF(AND(BK$30,$O40),$F$31,"")</f>
        <v/>
      </c>
      <c r="BL40" s="31" t="str">
        <f>IF(AND(BL$30,$O40),$C$31,"")</f>
        <v/>
      </c>
      <c r="BM40" s="32" t="str">
        <f>IF(AND(BM$30,$O40),$D$31,"")</f>
        <v/>
      </c>
      <c r="BN40" s="32" t="str">
        <f>IF(AND(BN$30,$O40),$E$31,"")</f>
        <v/>
      </c>
      <c r="BO40" s="54" t="str">
        <f>IF(AND(BO$30,$O40),$F$31,"")</f>
        <v/>
      </c>
      <c r="BP40" s="31" t="str">
        <f>IF(AND(BP$30,$O40),$C$31,"")</f>
        <v/>
      </c>
      <c r="BQ40" s="32" t="str">
        <f>IF(AND(BQ$30,$O40),$D$31,"")</f>
        <v/>
      </c>
      <c r="BR40" s="32" t="str">
        <f>IF(AND(BR$30,$O40),$E$31,"")</f>
        <v/>
      </c>
      <c r="BS40" s="54" t="str">
        <f>IF(AND(BS$30,$O40),$F$31,"")</f>
        <v/>
      </c>
      <c r="BT40" s="31" t="str">
        <f>IF(AND(BT$30,$O40),$C$31,"")</f>
        <v/>
      </c>
      <c r="BU40" s="32" t="str">
        <f>IF(AND(BU$30,$O40),$D$31,"")</f>
        <v/>
      </c>
      <c r="BV40" s="32" t="str">
        <f>IF(AND(BV$30,$O40),$E$31,"")</f>
        <v/>
      </c>
      <c r="BW40" s="54" t="str">
        <f>IF(AND(BW$30,$O40),$F$31,"")</f>
        <v/>
      </c>
      <c r="BX40" s="31" t="str">
        <f>IF(AND(BX$30,$O40),$C$31,"")</f>
        <v/>
      </c>
      <c r="BY40" s="32" t="str">
        <f>IF(AND(BY$30,$O40),$D$31,"")</f>
        <v/>
      </c>
      <c r="BZ40" s="32" t="str">
        <f>IF(AND(BZ$30,$O40),$E$31,"")</f>
        <v/>
      </c>
      <c r="CA40" s="54" t="str">
        <f>IF(AND(CA$30,$O40),$F$31,"")</f>
        <v/>
      </c>
      <c r="CB40" s="31" t="str">
        <f>IF(AND(CB$30,$O40),$C$31,"")</f>
        <v/>
      </c>
      <c r="CC40" s="32" t="str">
        <f>IF(AND(CC$30,$O40),$D$31,"")</f>
        <v/>
      </c>
      <c r="CD40" s="32" t="str">
        <f>IF(AND(CD$30,$O40),$E$31,"")</f>
        <v/>
      </c>
      <c r="CE40" s="54" t="str">
        <f>IF(AND(CE$30,$O40),$F$31,"")</f>
        <v/>
      </c>
    </row>
    <row r="41" spans="1:83">
      <c r="A41" s="9">
        <v>2</v>
      </c>
      <c r="B41" s="10" t="s">
        <v>4</v>
      </c>
      <c r="C41" s="68">
        <f>-$C$26*NNparam!$D$8</f>
        <v>19.3</v>
      </c>
      <c r="D41" s="71">
        <f>-$C$26*NNparam!$D$10</f>
        <v>16.100000000000001</v>
      </c>
      <c r="E41" s="69">
        <f>$F$42</f>
        <v>15.6</v>
      </c>
      <c r="F41" s="72">
        <f>-$C$26*NNparam!$D$12</f>
        <v>25.5</v>
      </c>
      <c r="L41" s="87"/>
      <c r="M41" s="36" t="str">
        <f t="shared" si="20"/>
        <v>C</v>
      </c>
      <c r="O41" s="82">
        <f>BinAnd(N39,Ce)</f>
        <v>2</v>
      </c>
      <c r="P41" s="31" t="str">
        <f>IF(AND(P$30,$O41),$C$32,"")</f>
        <v/>
      </c>
      <c r="Q41" s="32" t="str">
        <f>IF(AND(Q$30,$O41),$D$32,"")</f>
        <v/>
      </c>
      <c r="R41" s="32" t="str">
        <f>IF(AND(R$30,$O41),$E$32,"")</f>
        <v/>
      </c>
      <c r="S41" s="54" t="str">
        <f>IF(AND(S$30,$O41),$F$32,"")</f>
        <v/>
      </c>
      <c r="T41" s="31" t="str">
        <f>IF(AND(T$30,$O41),$C$32,"")</f>
        <v/>
      </c>
      <c r="U41" s="32" t="str">
        <f>IF(AND(U$30,$O41),$D$32,"")</f>
        <v/>
      </c>
      <c r="V41" s="32" t="str">
        <f>IF(AND(V$30,$O41),$E$32,"")</f>
        <v/>
      </c>
      <c r="W41" s="54">
        <f>IF(AND(W$30,$O41),$F$32,"")</f>
        <v>10.1</v>
      </c>
      <c r="X41" s="31" t="str">
        <f>IF(AND(X$30,$O41),$C$32,"")</f>
        <v/>
      </c>
      <c r="Y41" s="32" t="str">
        <f>IF(AND(Y$30,$O41),$D$32,"")</f>
        <v/>
      </c>
      <c r="Z41" s="32">
        <f>IF(AND(Z$30,$O41),$E$32,"")</f>
        <v>6.7</v>
      </c>
      <c r="AA41" s="54" t="str">
        <f>IF(AND(AA$30,$O41),$F$32,"")</f>
        <v/>
      </c>
      <c r="AB41" s="31" t="str">
        <f>IF(AND(AB$30,$O41),$C$32,"")</f>
        <v/>
      </c>
      <c r="AC41" s="32" t="str">
        <f>IF(AND(AC$30,$O41),$D$32,"")</f>
        <v/>
      </c>
      <c r="AD41" s="32">
        <f>IF(AND(AD$30,$O41),$E$32,"")</f>
        <v>6.7</v>
      </c>
      <c r="AE41" s="54">
        <f>IF(AND(AE$30,$O41),$F$32,"")</f>
        <v>10.1</v>
      </c>
      <c r="AF41" s="31" t="str">
        <f>IF(AND(AF$30,$O41),$C$32,"")</f>
        <v/>
      </c>
      <c r="AG41" s="32">
        <f>IF(AND(AG$30,$O41),$D$32,"")</f>
        <v>6.1</v>
      </c>
      <c r="AH41" s="32" t="str">
        <f>IF(AND(AH$30,$O41),$E$32,"")</f>
        <v/>
      </c>
      <c r="AI41" s="54" t="str">
        <f>IF(AND(AI$30,$O41),$F$32,"")</f>
        <v/>
      </c>
      <c r="AJ41" s="31" t="str">
        <f>IF(AND(AJ$30,$O41),$C$32,"")</f>
        <v/>
      </c>
      <c r="AK41" s="32">
        <f>IF(AND(AK$30,$O41),$D$32,"")</f>
        <v>6.1</v>
      </c>
      <c r="AL41" s="32" t="str">
        <f>IF(AND(AL$30,$O41),$E$32,"")</f>
        <v/>
      </c>
      <c r="AM41" s="54">
        <f>IF(AND(AM$30,$O41),$F$32,"")</f>
        <v>10.1</v>
      </c>
      <c r="AN41" s="31" t="str">
        <f>IF(AND(AN$30,$O41),$C$32,"")</f>
        <v/>
      </c>
      <c r="AO41" s="32">
        <f>IF(AND(AO$30,$O41),$D$32,"")</f>
        <v>6.1</v>
      </c>
      <c r="AP41" s="32">
        <f>IF(AND(AP$30,$O41),$E$32,"")</f>
        <v>6.7</v>
      </c>
      <c r="AQ41" s="54" t="str">
        <f>IF(AND(AQ$30,$O41),$F$32,"")</f>
        <v/>
      </c>
      <c r="AR41" s="31" t="str">
        <f>IF(AND(AR$30,$O41),$C$32,"")</f>
        <v/>
      </c>
      <c r="AS41" s="32">
        <f>IF(AND(AS$30,$O41),$D$32,"")</f>
        <v>6.1</v>
      </c>
      <c r="AT41" s="32">
        <f>IF(AND(AT$30,$O41),$E$32,"")</f>
        <v>6.7</v>
      </c>
      <c r="AU41" s="54">
        <f>IF(AND(AU$30,$O41),$F$32,"")</f>
        <v>10.1</v>
      </c>
      <c r="AV41" s="31">
        <f>IF(AND(AV$30,$O41),$C$32,"")</f>
        <v>7.4</v>
      </c>
      <c r="AW41" s="32" t="str">
        <f>IF(AND(AW$30,$O41),$D$32,"")</f>
        <v/>
      </c>
      <c r="AX41" s="32" t="str">
        <f>IF(AND(AX$30,$O41),$E$32,"")</f>
        <v/>
      </c>
      <c r="AY41" s="54" t="str">
        <f>IF(AND(AY$30,$O41),$F$32,"")</f>
        <v/>
      </c>
      <c r="AZ41" s="31">
        <f>IF(AND(AZ$30,$O41),$C$32,"")</f>
        <v>7.4</v>
      </c>
      <c r="BA41" s="32" t="str">
        <f>IF(AND(BA$30,$O41),$D$32,"")</f>
        <v/>
      </c>
      <c r="BB41" s="32" t="str">
        <f>IF(AND(BB$30,$O41),$E$32,"")</f>
        <v/>
      </c>
      <c r="BC41" s="54">
        <f>IF(AND(BC$30,$O41),$F$32,"")</f>
        <v>10.1</v>
      </c>
      <c r="BD41" s="31">
        <f>IF(AND(BD$30,$O41),$C$32,"")</f>
        <v>7.4</v>
      </c>
      <c r="BE41" s="32" t="str">
        <f>IF(AND(BE$30,$O41),$D$32,"")</f>
        <v/>
      </c>
      <c r="BF41" s="32">
        <f>IF(AND(BF$30,$O41),$E$32,"")</f>
        <v>6.7</v>
      </c>
      <c r="BG41" s="54" t="str">
        <f>IF(AND(BG$30,$O41),$F$32,"")</f>
        <v/>
      </c>
      <c r="BH41" s="31">
        <f>IF(AND(BH$30,$O41),$C$32,"")</f>
        <v>7.4</v>
      </c>
      <c r="BI41" s="32" t="str">
        <f>IF(AND(BI$30,$O41),$D$32,"")</f>
        <v/>
      </c>
      <c r="BJ41" s="32">
        <f>IF(AND(BJ$30,$O41),$E$32,"")</f>
        <v>6.7</v>
      </c>
      <c r="BK41" s="54">
        <f>IF(AND(BK$30,$O41),$F$32,"")</f>
        <v>10.1</v>
      </c>
      <c r="BL41" s="31">
        <f>IF(AND(BL$30,$O41),$C$32,"")</f>
        <v>7.4</v>
      </c>
      <c r="BM41" s="32">
        <f>IF(AND(BM$30,$O41),$D$32,"")</f>
        <v>6.1</v>
      </c>
      <c r="BN41" s="32" t="str">
        <f>IF(AND(BN$30,$O41),$E$32,"")</f>
        <v/>
      </c>
      <c r="BO41" s="54" t="str">
        <f>IF(AND(BO$30,$O41),$F$32,"")</f>
        <v/>
      </c>
      <c r="BP41" s="31">
        <f>IF(AND(BP$30,$O41),$C$32,"")</f>
        <v>7.4</v>
      </c>
      <c r="BQ41" s="32">
        <f>IF(AND(BQ$30,$O41),$D$32,"")</f>
        <v>6.1</v>
      </c>
      <c r="BR41" s="32" t="str">
        <f>IF(AND(BR$30,$O41),$E$32,"")</f>
        <v/>
      </c>
      <c r="BS41" s="54">
        <f>IF(AND(BS$30,$O41),$F$32,"")</f>
        <v>10.1</v>
      </c>
      <c r="BT41" s="31">
        <f>IF(AND(BT$30,$O41),$C$32,"")</f>
        <v>7.4</v>
      </c>
      <c r="BU41" s="32">
        <f>IF(AND(BU$30,$O41),$D$32,"")</f>
        <v>6.1</v>
      </c>
      <c r="BV41" s="32">
        <f>IF(AND(BV$30,$O41),$E$32,"")</f>
        <v>6.7</v>
      </c>
      <c r="BW41" s="54" t="str">
        <f>IF(AND(BW$30,$O41),$F$32,"")</f>
        <v/>
      </c>
      <c r="BX41" s="31">
        <f>IF(AND(BX$30,$O41),$C$32,"")</f>
        <v>7.4</v>
      </c>
      <c r="BY41" s="32">
        <f>IF(AND(BY$30,$O41),$D$32,"")</f>
        <v>6.1</v>
      </c>
      <c r="BZ41" s="32">
        <f>IF(AND(BZ$30,$O41),$E$32,"")</f>
        <v>6.7</v>
      </c>
      <c r="CA41" s="54">
        <f>IF(AND(CA$30,$O41),$F$32,"")</f>
        <v>10.1</v>
      </c>
      <c r="CB41" s="31" t="str">
        <f>IF(AND(CB$30,$O41),$C$32,"")</f>
        <v/>
      </c>
      <c r="CC41" s="32" t="str">
        <f>IF(AND(CC$30,$O41),$D$32,"")</f>
        <v/>
      </c>
      <c r="CD41" s="32" t="str">
        <f>IF(AND(CD$30,$O41),$E$32,"")</f>
        <v/>
      </c>
      <c r="CE41" s="54" t="str">
        <f>IF(AND(CE$30,$O41),$F$32,"")</f>
        <v/>
      </c>
    </row>
    <row r="42" spans="1:83" ht="15.75" thickBot="1">
      <c r="A42" s="12">
        <v>1</v>
      </c>
      <c r="B42" s="13" t="s">
        <v>3</v>
      </c>
      <c r="C42" s="73">
        <f>-$C$26*NNparam!$D$11</f>
        <v>20.3</v>
      </c>
      <c r="D42" s="74">
        <f>-$C$26*NNparam!$D$9</f>
        <v>23</v>
      </c>
      <c r="E42" s="74">
        <f>-$C$26*NNparam!$D$13</f>
        <v>28.4</v>
      </c>
      <c r="F42" s="75">
        <f>-$C$26*NNparam!$D$14</f>
        <v>15.6</v>
      </c>
      <c r="L42" s="86"/>
      <c r="M42" s="37" t="str">
        <f t="shared" si="20"/>
        <v>-</v>
      </c>
      <c r="O42" s="43">
        <f>BinAnd(N39,G)</f>
        <v>0</v>
      </c>
      <c r="P42" s="55" t="str">
        <f>IF(AND(P$30,$O42),$C$33,"")</f>
        <v/>
      </c>
      <c r="Q42" s="56" t="str">
        <f>IF(AND(Q$30,$O42),$D$33,"")</f>
        <v/>
      </c>
      <c r="R42" s="56" t="str">
        <f>IF(AND(R$30,$O42),$E$33,"")</f>
        <v/>
      </c>
      <c r="S42" s="57" t="str">
        <f>IF(AND(S$30,$O42),$F$33,"")</f>
        <v/>
      </c>
      <c r="T42" s="55" t="str">
        <f>IF(AND(T$30,$O42),$C$33,"")</f>
        <v/>
      </c>
      <c r="U42" s="56" t="str">
        <f>IF(AND(U$30,$O42),$D$33,"")</f>
        <v/>
      </c>
      <c r="V42" s="56" t="str">
        <f>IF(AND(V$30,$O42),$E$33,"")</f>
        <v/>
      </c>
      <c r="W42" s="57" t="str">
        <f>IF(AND(W$30,$O42),$F$33,"")</f>
        <v/>
      </c>
      <c r="X42" s="55" t="str">
        <f>IF(AND(X$30,$O42),$C$33,"")</f>
        <v/>
      </c>
      <c r="Y42" s="56" t="str">
        <f>IF(AND(Y$30,$O42),$D$33,"")</f>
        <v/>
      </c>
      <c r="Z42" s="56" t="str">
        <f>IF(AND(Z$30,$O42),$E$33,"")</f>
        <v/>
      </c>
      <c r="AA42" s="57" t="str">
        <f>IF(AND(AA$30,$O42),$F$33,"")</f>
        <v/>
      </c>
      <c r="AB42" s="55" t="str">
        <f>IF(AND(AB$30,$O42),$C$33,"")</f>
        <v/>
      </c>
      <c r="AC42" s="56" t="str">
        <f>IF(AND(AC$30,$O42),$D$33,"")</f>
        <v/>
      </c>
      <c r="AD42" s="56" t="str">
        <f>IF(AND(AD$30,$O42),$E$33,"")</f>
        <v/>
      </c>
      <c r="AE42" s="57" t="str">
        <f>IF(AND(AE$30,$O42),$F$33,"")</f>
        <v/>
      </c>
      <c r="AF42" s="55" t="str">
        <f>IF(AND(AF$30,$O42),$C$33,"")</f>
        <v/>
      </c>
      <c r="AG42" s="56" t="str">
        <f>IF(AND(AG$30,$O42),$D$33,"")</f>
        <v/>
      </c>
      <c r="AH42" s="56" t="str">
        <f>IF(AND(AH$30,$O42),$E$33,"")</f>
        <v/>
      </c>
      <c r="AI42" s="57" t="str">
        <f>IF(AND(AI$30,$O42),$F$33,"")</f>
        <v/>
      </c>
      <c r="AJ42" s="55" t="str">
        <f>IF(AND(AJ$30,$O42),$C$33,"")</f>
        <v/>
      </c>
      <c r="AK42" s="56" t="str">
        <f>IF(AND(AK$30,$O42),$D$33,"")</f>
        <v/>
      </c>
      <c r="AL42" s="56" t="str">
        <f>IF(AND(AL$30,$O42),$E$33,"")</f>
        <v/>
      </c>
      <c r="AM42" s="57" t="str">
        <f>IF(AND(AM$30,$O42),$F$33,"")</f>
        <v/>
      </c>
      <c r="AN42" s="55" t="str">
        <f>IF(AND(AN$30,$O42),$C$33,"")</f>
        <v/>
      </c>
      <c r="AO42" s="56" t="str">
        <f>IF(AND(AO$30,$O42),$D$33,"")</f>
        <v/>
      </c>
      <c r="AP42" s="56" t="str">
        <f>IF(AND(AP$30,$O42),$E$33,"")</f>
        <v/>
      </c>
      <c r="AQ42" s="57" t="str">
        <f>IF(AND(AQ$30,$O42),$F$33,"")</f>
        <v/>
      </c>
      <c r="AR42" s="55" t="str">
        <f>IF(AND(AR$30,$O42),$C$33,"")</f>
        <v/>
      </c>
      <c r="AS42" s="56" t="str">
        <f>IF(AND(AS$30,$O42),$D$33,"")</f>
        <v/>
      </c>
      <c r="AT42" s="56" t="str">
        <f>IF(AND(AT$30,$O42),$E$33,"")</f>
        <v/>
      </c>
      <c r="AU42" s="57" t="str">
        <f>IF(AND(AU$30,$O42),$F$33,"")</f>
        <v/>
      </c>
      <c r="AV42" s="55" t="str">
        <f>IF(AND(AV$30,$O42),$C$33,"")</f>
        <v/>
      </c>
      <c r="AW42" s="56" t="str">
        <f>IF(AND(AW$30,$O42),$D$33,"")</f>
        <v/>
      </c>
      <c r="AX42" s="56" t="str">
        <f>IF(AND(AX$30,$O42),$E$33,"")</f>
        <v/>
      </c>
      <c r="AY42" s="57" t="str">
        <f>IF(AND(AY$30,$O42),$F$33,"")</f>
        <v/>
      </c>
      <c r="AZ42" s="55" t="str">
        <f>IF(AND(AZ$30,$O42),$C$33,"")</f>
        <v/>
      </c>
      <c r="BA42" s="56" t="str">
        <f>IF(AND(BA$30,$O42),$D$33,"")</f>
        <v/>
      </c>
      <c r="BB42" s="56" t="str">
        <f>IF(AND(BB$30,$O42),$E$33,"")</f>
        <v/>
      </c>
      <c r="BC42" s="57" t="str">
        <f>IF(AND(BC$30,$O42),$F$33,"")</f>
        <v/>
      </c>
      <c r="BD42" s="55" t="str">
        <f>IF(AND(BD$30,$O42),$C$33,"")</f>
        <v/>
      </c>
      <c r="BE42" s="56" t="str">
        <f>IF(AND(BE$30,$O42),$D$33,"")</f>
        <v/>
      </c>
      <c r="BF42" s="56" t="str">
        <f>IF(AND(BF$30,$O42),$E$33,"")</f>
        <v/>
      </c>
      <c r="BG42" s="57" t="str">
        <f>IF(AND(BG$30,$O42),$F$33,"")</f>
        <v/>
      </c>
      <c r="BH42" s="55" t="str">
        <f>IF(AND(BH$30,$O42),$C$33,"")</f>
        <v/>
      </c>
      <c r="BI42" s="56" t="str">
        <f>IF(AND(BI$30,$O42),$D$33,"")</f>
        <v/>
      </c>
      <c r="BJ42" s="56" t="str">
        <f>IF(AND(BJ$30,$O42),$E$33,"")</f>
        <v/>
      </c>
      <c r="BK42" s="57" t="str">
        <f>IF(AND(BK$30,$O42),$F$33,"")</f>
        <v/>
      </c>
      <c r="BL42" s="55" t="str">
        <f>IF(AND(BL$30,$O42),$C$33,"")</f>
        <v/>
      </c>
      <c r="BM42" s="56" t="str">
        <f>IF(AND(BM$30,$O42),$D$33,"")</f>
        <v/>
      </c>
      <c r="BN42" s="56" t="str">
        <f>IF(AND(BN$30,$O42),$E$33,"")</f>
        <v/>
      </c>
      <c r="BO42" s="57" t="str">
        <f>IF(AND(BO$30,$O42),$F$33,"")</f>
        <v/>
      </c>
      <c r="BP42" s="55" t="str">
        <f>IF(AND(BP$30,$O42),$C$33,"")</f>
        <v/>
      </c>
      <c r="BQ42" s="56" t="str">
        <f>IF(AND(BQ$30,$O42),$D$33,"")</f>
        <v/>
      </c>
      <c r="BR42" s="56" t="str">
        <f>IF(AND(BR$30,$O42),$E$33,"")</f>
        <v/>
      </c>
      <c r="BS42" s="57" t="str">
        <f>IF(AND(BS$30,$O42),$F$33,"")</f>
        <v/>
      </c>
      <c r="BT42" s="55" t="str">
        <f>IF(AND(BT$30,$O42),$C$33,"")</f>
        <v/>
      </c>
      <c r="BU42" s="56" t="str">
        <f>IF(AND(BU$30,$O42),$D$33,"")</f>
        <v/>
      </c>
      <c r="BV42" s="56" t="str">
        <f>IF(AND(BV$30,$O42),$E$33,"")</f>
        <v/>
      </c>
      <c r="BW42" s="57" t="str">
        <f>IF(AND(BW$30,$O42),$F$33,"")</f>
        <v/>
      </c>
      <c r="BX42" s="55" t="str">
        <f>IF(AND(BX$30,$O42),$C$33,"")</f>
        <v/>
      </c>
      <c r="BY42" s="56" t="str">
        <f>IF(AND(BY$30,$O42),$D$33,"")</f>
        <v/>
      </c>
      <c r="BZ42" s="56" t="str">
        <f>IF(AND(BZ$30,$O42),$E$33,"")</f>
        <v/>
      </c>
      <c r="CA42" s="57" t="str">
        <f>IF(AND(CA$30,$O42),$F$33,"")</f>
        <v/>
      </c>
      <c r="CB42" s="55" t="str">
        <f>IF(AND(CB$30,$O42),$C$33,"")</f>
        <v/>
      </c>
      <c r="CC42" s="56" t="str">
        <f>IF(AND(CC$30,$O42),$D$33,"")</f>
        <v/>
      </c>
      <c r="CD42" s="56" t="str">
        <f>IF(AND(CD$30,$O42),$E$33,"")</f>
        <v/>
      </c>
      <c r="CE42" s="57" t="str">
        <f>IF(AND(CE$30,$O42),$F$33,"")</f>
        <v/>
      </c>
    </row>
    <row r="43" spans="1:83">
      <c r="L43" s="83" t="str">
        <f>MID(CodDegElegir,N43+1,1)</f>
        <v>S</v>
      </c>
      <c r="M43" s="85" t="str">
        <f t="shared" si="20"/>
        <v>-</v>
      </c>
      <c r="N43">
        <v>3</v>
      </c>
      <c r="O43" s="81">
        <f>BinAnd(N43,A)</f>
        <v>0</v>
      </c>
      <c r="P43" s="29" t="str">
        <f>IF(AND(P$30,$O43),$C$30,"")</f>
        <v/>
      </c>
      <c r="Q43" s="30" t="str">
        <f>IF(AND(Q$30,$O43),$D$30,"")</f>
        <v/>
      </c>
      <c r="R43" s="30" t="str">
        <f>IF(AND(R$30,$O43),$E$30,"")</f>
        <v/>
      </c>
      <c r="S43" s="53" t="str">
        <f>IF(AND(S$30,$O43),$F$30,"")</f>
        <v/>
      </c>
      <c r="T43" s="29" t="str">
        <f>IF(AND(T$30,$O43),$C$30,"")</f>
        <v/>
      </c>
      <c r="U43" s="30" t="str">
        <f>IF(AND(U$30,$O43),$D$30,"")</f>
        <v/>
      </c>
      <c r="V43" s="30" t="str">
        <f>IF(AND(V$30,$O43),$E$30,"")</f>
        <v/>
      </c>
      <c r="W43" s="53" t="str">
        <f>IF(AND(W$30,$O43),$F$30,"")</f>
        <v/>
      </c>
      <c r="X43" s="29" t="str">
        <f>IF(AND(X$30,$O43),$C$30,"")</f>
        <v/>
      </c>
      <c r="Y43" s="30" t="str">
        <f>IF(AND(Y$30,$O43),$D$30,"")</f>
        <v/>
      </c>
      <c r="Z43" s="30" t="str">
        <f>IF(AND(Z$30,$O43),$E$30,"")</f>
        <v/>
      </c>
      <c r="AA43" s="53" t="str">
        <f>IF(AND(AA$30,$O43),$F$30,"")</f>
        <v/>
      </c>
      <c r="AB43" s="29" t="str">
        <f>IF(AND(AB$30,$O43),$C$30,"")</f>
        <v/>
      </c>
      <c r="AC43" s="30" t="str">
        <f>IF(AND(AC$30,$O43),$D$30,"")</f>
        <v/>
      </c>
      <c r="AD43" s="30" t="str">
        <f>IF(AND(AD$30,$O43),$E$30,"")</f>
        <v/>
      </c>
      <c r="AE43" s="53" t="str">
        <f>IF(AND(AE$30,$O43),$F$30,"")</f>
        <v/>
      </c>
      <c r="AF43" s="29" t="str">
        <f>IF(AND(AF$30,$O43),$C$30,"")</f>
        <v/>
      </c>
      <c r="AG43" s="30" t="str">
        <f>IF(AND(AG$30,$O43),$D$30,"")</f>
        <v/>
      </c>
      <c r="AH43" s="30" t="str">
        <f>IF(AND(AH$30,$O43),$E$30,"")</f>
        <v/>
      </c>
      <c r="AI43" s="53" t="str">
        <f>IF(AND(AI$30,$O43),$F$30,"")</f>
        <v/>
      </c>
      <c r="AJ43" s="29" t="str">
        <f>IF(AND(AJ$30,$O43),$C$30,"")</f>
        <v/>
      </c>
      <c r="AK43" s="30" t="str">
        <f>IF(AND(AK$30,$O43),$D$30,"")</f>
        <v/>
      </c>
      <c r="AL43" s="30" t="str">
        <f>IF(AND(AL$30,$O43),$E$30,"")</f>
        <v/>
      </c>
      <c r="AM43" s="53" t="str">
        <f>IF(AND(AM$30,$O43),$F$30,"")</f>
        <v/>
      </c>
      <c r="AN43" s="29" t="str">
        <f>IF(AND(AN$30,$O43),$C$30,"")</f>
        <v/>
      </c>
      <c r="AO43" s="30" t="str">
        <f>IF(AND(AO$30,$O43),$D$30,"")</f>
        <v/>
      </c>
      <c r="AP43" s="30" t="str">
        <f>IF(AND(AP$30,$O43),$E$30,"")</f>
        <v/>
      </c>
      <c r="AQ43" s="53" t="str">
        <f>IF(AND(AQ$30,$O43),$F$30,"")</f>
        <v/>
      </c>
      <c r="AR43" s="29" t="str">
        <f>IF(AND(AR$30,$O43),$C$30,"")</f>
        <v/>
      </c>
      <c r="AS43" s="30" t="str">
        <f>IF(AND(AS$30,$O43),$D$30,"")</f>
        <v/>
      </c>
      <c r="AT43" s="30" t="str">
        <f>IF(AND(AT$30,$O43),$E$30,"")</f>
        <v/>
      </c>
      <c r="AU43" s="53" t="str">
        <f>IF(AND(AU$30,$O43),$F$30,"")</f>
        <v/>
      </c>
      <c r="AV43" s="29" t="str">
        <f>IF(AND(AV$30,$O43),$C$30,"")</f>
        <v/>
      </c>
      <c r="AW43" s="30" t="str">
        <f>IF(AND(AW$30,$O43),$D$30,"")</f>
        <v/>
      </c>
      <c r="AX43" s="30" t="str">
        <f>IF(AND(AX$30,$O43),$E$30,"")</f>
        <v/>
      </c>
      <c r="AY43" s="53" t="str">
        <f>IF(AND(AY$30,$O43),$F$30,"")</f>
        <v/>
      </c>
      <c r="AZ43" s="29" t="str">
        <f>IF(AND(AZ$30,$O43),$C$30,"")</f>
        <v/>
      </c>
      <c r="BA43" s="30" t="str">
        <f>IF(AND(BA$30,$O43),$D$30,"")</f>
        <v/>
      </c>
      <c r="BB43" s="30" t="str">
        <f>IF(AND(BB$30,$O43),$E$30,"")</f>
        <v/>
      </c>
      <c r="BC43" s="53" t="str">
        <f>IF(AND(BC$30,$O43),$F$30,"")</f>
        <v/>
      </c>
      <c r="BD43" s="29" t="str">
        <f>IF(AND(BD$30,$O43),$C$30,"")</f>
        <v/>
      </c>
      <c r="BE43" s="30" t="str">
        <f>IF(AND(BE$30,$O43),$D$30,"")</f>
        <v/>
      </c>
      <c r="BF43" s="30" t="str">
        <f>IF(AND(BF$30,$O43),$E$30,"")</f>
        <v/>
      </c>
      <c r="BG43" s="53" t="str">
        <f>IF(AND(BG$30,$O43),$F$30,"")</f>
        <v/>
      </c>
      <c r="BH43" s="29" t="str">
        <f>IF(AND(BH$30,$O43),$C$30,"")</f>
        <v/>
      </c>
      <c r="BI43" s="30" t="str">
        <f>IF(AND(BI$30,$O43),$D$30,"")</f>
        <v/>
      </c>
      <c r="BJ43" s="30" t="str">
        <f>IF(AND(BJ$30,$O43),$E$30,"")</f>
        <v/>
      </c>
      <c r="BK43" s="53" t="str">
        <f>IF(AND(BK$30,$O43),$F$30,"")</f>
        <v/>
      </c>
      <c r="BL43" s="29" t="str">
        <f>IF(AND(BL$30,$O43),$C$30,"")</f>
        <v/>
      </c>
      <c r="BM43" s="30" t="str">
        <f>IF(AND(BM$30,$O43),$D$30,"")</f>
        <v/>
      </c>
      <c r="BN43" s="30" t="str">
        <f>IF(AND(BN$30,$O43),$E$30,"")</f>
        <v/>
      </c>
      <c r="BO43" s="53" t="str">
        <f>IF(AND(BO$30,$O43),$F$30,"")</f>
        <v/>
      </c>
      <c r="BP43" s="29" t="str">
        <f>IF(AND(BP$30,$O43),$C$30,"")</f>
        <v/>
      </c>
      <c r="BQ43" s="30" t="str">
        <f>IF(AND(BQ$30,$O43),$D$30,"")</f>
        <v/>
      </c>
      <c r="BR43" s="30" t="str">
        <f>IF(AND(BR$30,$O43),$E$30,"")</f>
        <v/>
      </c>
      <c r="BS43" s="53" t="str">
        <f>IF(AND(BS$30,$O43),$F$30,"")</f>
        <v/>
      </c>
      <c r="BT43" s="29" t="str">
        <f>IF(AND(BT$30,$O43),$C$30,"")</f>
        <v/>
      </c>
      <c r="BU43" s="30" t="str">
        <f>IF(AND(BU$30,$O43),$D$30,"")</f>
        <v/>
      </c>
      <c r="BV43" s="30" t="str">
        <f>IF(AND(BV$30,$O43),$E$30,"")</f>
        <v/>
      </c>
      <c r="BW43" s="53" t="str">
        <f>IF(AND(BW$30,$O43),$F$30,"")</f>
        <v/>
      </c>
      <c r="BX43" s="29" t="str">
        <f>IF(AND(BX$30,$O43),$C$30,"")</f>
        <v/>
      </c>
      <c r="BY43" s="30" t="str">
        <f>IF(AND(BY$30,$O43),$D$30,"")</f>
        <v/>
      </c>
      <c r="BZ43" s="30" t="str">
        <f>IF(AND(BZ$30,$O43),$E$30,"")</f>
        <v/>
      </c>
      <c r="CA43" s="53" t="str">
        <f>IF(AND(CA$30,$O43),$F$30,"")</f>
        <v/>
      </c>
      <c r="CB43" s="29" t="str">
        <f>IF(AND(CB$30,$O43),$C$30,"")</f>
        <v/>
      </c>
      <c r="CC43" s="30" t="str">
        <f>IF(AND(CC$30,$O43),$D$30,"")</f>
        <v/>
      </c>
      <c r="CD43" s="30" t="str">
        <f>IF(AND(CD$30,$O43),$E$30,"")</f>
        <v/>
      </c>
      <c r="CE43" s="53" t="str">
        <f>IF(AND(CE$30,$O43),$F$30,"")</f>
        <v/>
      </c>
    </row>
    <row r="44" spans="1:83">
      <c r="L44" s="87"/>
      <c r="M44" s="36" t="str">
        <f t="shared" si="20"/>
        <v>-</v>
      </c>
      <c r="O44" s="82">
        <f>BinAnd(N43,T)</f>
        <v>0</v>
      </c>
      <c r="P44" s="31" t="str">
        <f>IF(AND(P$30,$O44),$C$31,"")</f>
        <v/>
      </c>
      <c r="Q44" s="32" t="str">
        <f>IF(AND(Q$30,$O44),$D$31,"")</f>
        <v/>
      </c>
      <c r="R44" s="32" t="str">
        <f>IF(AND(R$30,$O44),$E$31,"")</f>
        <v/>
      </c>
      <c r="S44" s="54" t="str">
        <f>IF(AND(S$30,$O44),$F$31,"")</f>
        <v/>
      </c>
      <c r="T44" s="31" t="str">
        <f>IF(AND(T$30,$O44),$C$31,"")</f>
        <v/>
      </c>
      <c r="U44" s="32" t="str">
        <f>IF(AND(U$30,$O44),$D$31,"")</f>
        <v/>
      </c>
      <c r="V44" s="32" t="str">
        <f>IF(AND(V$30,$O44),$E$31,"")</f>
        <v/>
      </c>
      <c r="W44" s="54" t="str">
        <f>IF(AND(W$30,$O44),$F$31,"")</f>
        <v/>
      </c>
      <c r="X44" s="31" t="str">
        <f>IF(AND(X$30,$O44),$C$31,"")</f>
        <v/>
      </c>
      <c r="Y44" s="32" t="str">
        <f>IF(AND(Y$30,$O44),$D$31,"")</f>
        <v/>
      </c>
      <c r="Z44" s="32" t="str">
        <f>IF(AND(Z$30,$O44),$E$31,"")</f>
        <v/>
      </c>
      <c r="AA44" s="54" t="str">
        <f>IF(AND(AA$30,$O44),$F$31,"")</f>
        <v/>
      </c>
      <c r="AB44" s="31" t="str">
        <f>IF(AND(AB$30,$O44),$C$31,"")</f>
        <v/>
      </c>
      <c r="AC44" s="32" t="str">
        <f>IF(AND(AC$30,$O44),$D$31,"")</f>
        <v/>
      </c>
      <c r="AD44" s="32" t="str">
        <f>IF(AND(AD$30,$O44),$E$31,"")</f>
        <v/>
      </c>
      <c r="AE44" s="54" t="str">
        <f>IF(AND(AE$30,$O44),$F$31,"")</f>
        <v/>
      </c>
      <c r="AF44" s="31" t="str">
        <f>IF(AND(AF$30,$O44),$C$31,"")</f>
        <v/>
      </c>
      <c r="AG44" s="32" t="str">
        <f>IF(AND(AG$30,$O44),$D$31,"")</f>
        <v/>
      </c>
      <c r="AH44" s="32" t="str">
        <f>IF(AND(AH$30,$O44),$E$31,"")</f>
        <v/>
      </c>
      <c r="AI44" s="54" t="str">
        <f>IF(AND(AI$30,$O44),$F$31,"")</f>
        <v/>
      </c>
      <c r="AJ44" s="31" t="str">
        <f>IF(AND(AJ$30,$O44),$C$31,"")</f>
        <v/>
      </c>
      <c r="AK44" s="32" t="str">
        <f>IF(AND(AK$30,$O44),$D$31,"")</f>
        <v/>
      </c>
      <c r="AL44" s="32" t="str">
        <f>IF(AND(AL$30,$O44),$E$31,"")</f>
        <v/>
      </c>
      <c r="AM44" s="54" t="str">
        <f>IF(AND(AM$30,$O44),$F$31,"")</f>
        <v/>
      </c>
      <c r="AN44" s="31" t="str">
        <f>IF(AND(AN$30,$O44),$C$31,"")</f>
        <v/>
      </c>
      <c r="AO44" s="32" t="str">
        <f>IF(AND(AO$30,$O44),$D$31,"")</f>
        <v/>
      </c>
      <c r="AP44" s="32" t="str">
        <f>IF(AND(AP$30,$O44),$E$31,"")</f>
        <v/>
      </c>
      <c r="AQ44" s="54" t="str">
        <f>IF(AND(AQ$30,$O44),$F$31,"")</f>
        <v/>
      </c>
      <c r="AR44" s="31" t="str">
        <f>IF(AND(AR$30,$O44),$C$31,"")</f>
        <v/>
      </c>
      <c r="AS44" s="32" t="str">
        <f>IF(AND(AS$30,$O44),$D$31,"")</f>
        <v/>
      </c>
      <c r="AT44" s="32" t="str">
        <f>IF(AND(AT$30,$O44),$E$31,"")</f>
        <v/>
      </c>
      <c r="AU44" s="54" t="str">
        <f>IF(AND(AU$30,$O44),$F$31,"")</f>
        <v/>
      </c>
      <c r="AV44" s="31" t="str">
        <f>IF(AND(AV$30,$O44),$C$31,"")</f>
        <v/>
      </c>
      <c r="AW44" s="32" t="str">
        <f>IF(AND(AW$30,$O44),$D$31,"")</f>
        <v/>
      </c>
      <c r="AX44" s="32" t="str">
        <f>IF(AND(AX$30,$O44),$E$31,"")</f>
        <v/>
      </c>
      <c r="AY44" s="54" t="str">
        <f>IF(AND(AY$30,$O44),$F$31,"")</f>
        <v/>
      </c>
      <c r="AZ44" s="31" t="str">
        <f>IF(AND(AZ$30,$O44),$C$31,"")</f>
        <v/>
      </c>
      <c r="BA44" s="32" t="str">
        <f>IF(AND(BA$30,$O44),$D$31,"")</f>
        <v/>
      </c>
      <c r="BB44" s="32" t="str">
        <f>IF(AND(BB$30,$O44),$E$31,"")</f>
        <v/>
      </c>
      <c r="BC44" s="54" t="str">
        <f>IF(AND(BC$30,$O44),$F$31,"")</f>
        <v/>
      </c>
      <c r="BD44" s="31" t="str">
        <f>IF(AND(BD$30,$O44),$C$31,"")</f>
        <v/>
      </c>
      <c r="BE44" s="32" t="str">
        <f>IF(AND(BE$30,$O44),$D$31,"")</f>
        <v/>
      </c>
      <c r="BF44" s="32" t="str">
        <f>IF(AND(BF$30,$O44),$E$31,"")</f>
        <v/>
      </c>
      <c r="BG44" s="54" t="str">
        <f>IF(AND(BG$30,$O44),$F$31,"")</f>
        <v/>
      </c>
      <c r="BH44" s="31" t="str">
        <f>IF(AND(BH$30,$O44),$C$31,"")</f>
        <v/>
      </c>
      <c r="BI44" s="32" t="str">
        <f>IF(AND(BI$30,$O44),$D$31,"")</f>
        <v/>
      </c>
      <c r="BJ44" s="32" t="str">
        <f>IF(AND(BJ$30,$O44),$E$31,"")</f>
        <v/>
      </c>
      <c r="BK44" s="54" t="str">
        <f>IF(AND(BK$30,$O44),$F$31,"")</f>
        <v/>
      </c>
      <c r="BL44" s="31" t="str">
        <f>IF(AND(BL$30,$O44),$C$31,"")</f>
        <v/>
      </c>
      <c r="BM44" s="32" t="str">
        <f>IF(AND(BM$30,$O44),$D$31,"")</f>
        <v/>
      </c>
      <c r="BN44" s="32" t="str">
        <f>IF(AND(BN$30,$O44),$E$31,"")</f>
        <v/>
      </c>
      <c r="BO44" s="54" t="str">
        <f>IF(AND(BO$30,$O44),$F$31,"")</f>
        <v/>
      </c>
      <c r="BP44" s="31" t="str">
        <f>IF(AND(BP$30,$O44),$C$31,"")</f>
        <v/>
      </c>
      <c r="BQ44" s="32" t="str">
        <f>IF(AND(BQ$30,$O44),$D$31,"")</f>
        <v/>
      </c>
      <c r="BR44" s="32" t="str">
        <f>IF(AND(BR$30,$O44),$E$31,"")</f>
        <v/>
      </c>
      <c r="BS44" s="54" t="str">
        <f>IF(AND(BS$30,$O44),$F$31,"")</f>
        <v/>
      </c>
      <c r="BT44" s="31" t="str">
        <f>IF(AND(BT$30,$O44),$C$31,"")</f>
        <v/>
      </c>
      <c r="BU44" s="32" t="str">
        <f>IF(AND(BU$30,$O44),$D$31,"")</f>
        <v/>
      </c>
      <c r="BV44" s="32" t="str">
        <f>IF(AND(BV$30,$O44),$E$31,"")</f>
        <v/>
      </c>
      <c r="BW44" s="54" t="str">
        <f>IF(AND(BW$30,$O44),$F$31,"")</f>
        <v/>
      </c>
      <c r="BX44" s="31" t="str">
        <f>IF(AND(BX$30,$O44),$C$31,"")</f>
        <v/>
      </c>
      <c r="BY44" s="32" t="str">
        <f>IF(AND(BY$30,$O44),$D$31,"")</f>
        <v/>
      </c>
      <c r="BZ44" s="32" t="str">
        <f>IF(AND(BZ$30,$O44),$E$31,"")</f>
        <v/>
      </c>
      <c r="CA44" s="54" t="str">
        <f>IF(AND(CA$30,$O44),$F$31,"")</f>
        <v/>
      </c>
      <c r="CB44" s="31" t="str">
        <f>IF(AND(CB$30,$O44),$C$31,"")</f>
        <v/>
      </c>
      <c r="CC44" s="32" t="str">
        <f>IF(AND(CC$30,$O44),$D$31,"")</f>
        <v/>
      </c>
      <c r="CD44" s="32" t="str">
        <f>IF(AND(CD$30,$O44),$E$31,"")</f>
        <v/>
      </c>
      <c r="CE44" s="54" t="str">
        <f>IF(AND(CE$30,$O44),$F$31,"")</f>
        <v/>
      </c>
    </row>
    <row r="45" spans="1:83">
      <c r="L45" s="87"/>
      <c r="M45" s="36" t="str">
        <f t="shared" si="20"/>
        <v>C</v>
      </c>
      <c r="O45" s="82">
        <f>BinAnd(N43,Ce)</f>
        <v>2</v>
      </c>
      <c r="P45" s="31" t="str">
        <f>IF(AND(P$30,$O45),$C$32,"")</f>
        <v/>
      </c>
      <c r="Q45" s="32" t="str">
        <f>IF(AND(Q$30,$O45),$D$32,"")</f>
        <v/>
      </c>
      <c r="R45" s="32" t="str">
        <f>IF(AND(R$30,$O45),$E$32,"")</f>
        <v/>
      </c>
      <c r="S45" s="54" t="str">
        <f>IF(AND(S$30,$O45),$F$32,"")</f>
        <v/>
      </c>
      <c r="T45" s="31" t="str">
        <f>IF(AND(T$30,$O45),$C$32,"")</f>
        <v/>
      </c>
      <c r="U45" s="32" t="str">
        <f>IF(AND(U$30,$O45),$D$32,"")</f>
        <v/>
      </c>
      <c r="V45" s="32" t="str">
        <f>IF(AND(V$30,$O45),$E$32,"")</f>
        <v/>
      </c>
      <c r="W45" s="54">
        <f>IF(AND(W$30,$O45),$F$32,"")</f>
        <v>10.1</v>
      </c>
      <c r="X45" s="31" t="str">
        <f>IF(AND(X$30,$O45),$C$32,"")</f>
        <v/>
      </c>
      <c r="Y45" s="32" t="str">
        <f>IF(AND(Y$30,$O45),$D$32,"")</f>
        <v/>
      </c>
      <c r="Z45" s="32">
        <f>IF(AND(Z$30,$O45),$E$32,"")</f>
        <v>6.7</v>
      </c>
      <c r="AA45" s="54" t="str">
        <f>IF(AND(AA$30,$O45),$F$32,"")</f>
        <v/>
      </c>
      <c r="AB45" s="31" t="str">
        <f>IF(AND(AB$30,$O45),$C$32,"")</f>
        <v/>
      </c>
      <c r="AC45" s="32" t="str">
        <f>IF(AND(AC$30,$O45),$D$32,"")</f>
        <v/>
      </c>
      <c r="AD45" s="32">
        <f>IF(AND(AD$30,$O45),$E$32,"")</f>
        <v>6.7</v>
      </c>
      <c r="AE45" s="54">
        <f>IF(AND(AE$30,$O45),$F$32,"")</f>
        <v>10.1</v>
      </c>
      <c r="AF45" s="31" t="str">
        <f>IF(AND(AF$30,$O45),$C$32,"")</f>
        <v/>
      </c>
      <c r="AG45" s="32">
        <f>IF(AND(AG$30,$O45),$D$32,"")</f>
        <v>6.1</v>
      </c>
      <c r="AH45" s="32" t="str">
        <f>IF(AND(AH$30,$O45),$E$32,"")</f>
        <v/>
      </c>
      <c r="AI45" s="54" t="str">
        <f>IF(AND(AI$30,$O45),$F$32,"")</f>
        <v/>
      </c>
      <c r="AJ45" s="31" t="str">
        <f>IF(AND(AJ$30,$O45),$C$32,"")</f>
        <v/>
      </c>
      <c r="AK45" s="32">
        <f>IF(AND(AK$30,$O45),$D$32,"")</f>
        <v>6.1</v>
      </c>
      <c r="AL45" s="32" t="str">
        <f>IF(AND(AL$30,$O45),$E$32,"")</f>
        <v/>
      </c>
      <c r="AM45" s="54">
        <f>IF(AND(AM$30,$O45),$F$32,"")</f>
        <v>10.1</v>
      </c>
      <c r="AN45" s="31" t="str">
        <f>IF(AND(AN$30,$O45),$C$32,"")</f>
        <v/>
      </c>
      <c r="AO45" s="32">
        <f>IF(AND(AO$30,$O45),$D$32,"")</f>
        <v>6.1</v>
      </c>
      <c r="AP45" s="32">
        <f>IF(AND(AP$30,$O45),$E$32,"")</f>
        <v>6.7</v>
      </c>
      <c r="AQ45" s="54" t="str">
        <f>IF(AND(AQ$30,$O45),$F$32,"")</f>
        <v/>
      </c>
      <c r="AR45" s="31" t="str">
        <f>IF(AND(AR$30,$O45),$C$32,"")</f>
        <v/>
      </c>
      <c r="AS45" s="32">
        <f>IF(AND(AS$30,$O45),$D$32,"")</f>
        <v>6.1</v>
      </c>
      <c r="AT45" s="32">
        <f>IF(AND(AT$30,$O45),$E$32,"")</f>
        <v>6.7</v>
      </c>
      <c r="AU45" s="54">
        <f>IF(AND(AU$30,$O45),$F$32,"")</f>
        <v>10.1</v>
      </c>
      <c r="AV45" s="31">
        <f>IF(AND(AV$30,$O45),$C$32,"")</f>
        <v>7.4</v>
      </c>
      <c r="AW45" s="32" t="str">
        <f>IF(AND(AW$30,$O45),$D$32,"")</f>
        <v/>
      </c>
      <c r="AX45" s="32" t="str">
        <f>IF(AND(AX$30,$O45),$E$32,"")</f>
        <v/>
      </c>
      <c r="AY45" s="54" t="str">
        <f>IF(AND(AY$30,$O45),$F$32,"")</f>
        <v/>
      </c>
      <c r="AZ45" s="31">
        <f>IF(AND(AZ$30,$O45),$C$32,"")</f>
        <v>7.4</v>
      </c>
      <c r="BA45" s="32" t="str">
        <f>IF(AND(BA$30,$O45),$D$32,"")</f>
        <v/>
      </c>
      <c r="BB45" s="32" t="str">
        <f>IF(AND(BB$30,$O45),$E$32,"")</f>
        <v/>
      </c>
      <c r="BC45" s="54">
        <f>IF(AND(BC$30,$O45),$F$32,"")</f>
        <v>10.1</v>
      </c>
      <c r="BD45" s="31">
        <f>IF(AND(BD$30,$O45),$C$32,"")</f>
        <v>7.4</v>
      </c>
      <c r="BE45" s="32" t="str">
        <f>IF(AND(BE$30,$O45),$D$32,"")</f>
        <v/>
      </c>
      <c r="BF45" s="32">
        <f>IF(AND(BF$30,$O45),$E$32,"")</f>
        <v>6.7</v>
      </c>
      <c r="BG45" s="54" t="str">
        <f>IF(AND(BG$30,$O45),$F$32,"")</f>
        <v/>
      </c>
      <c r="BH45" s="31">
        <f>IF(AND(BH$30,$O45),$C$32,"")</f>
        <v>7.4</v>
      </c>
      <c r="BI45" s="32" t="str">
        <f>IF(AND(BI$30,$O45),$D$32,"")</f>
        <v/>
      </c>
      <c r="BJ45" s="32">
        <f>IF(AND(BJ$30,$O45),$E$32,"")</f>
        <v>6.7</v>
      </c>
      <c r="BK45" s="54">
        <f>IF(AND(BK$30,$O45),$F$32,"")</f>
        <v>10.1</v>
      </c>
      <c r="BL45" s="31">
        <f>IF(AND(BL$30,$O45),$C$32,"")</f>
        <v>7.4</v>
      </c>
      <c r="BM45" s="32">
        <f>IF(AND(BM$30,$O45),$D$32,"")</f>
        <v>6.1</v>
      </c>
      <c r="BN45" s="32" t="str">
        <f>IF(AND(BN$30,$O45),$E$32,"")</f>
        <v/>
      </c>
      <c r="BO45" s="54" t="str">
        <f>IF(AND(BO$30,$O45),$F$32,"")</f>
        <v/>
      </c>
      <c r="BP45" s="31">
        <f>IF(AND(BP$30,$O45),$C$32,"")</f>
        <v>7.4</v>
      </c>
      <c r="BQ45" s="32">
        <f>IF(AND(BQ$30,$O45),$D$32,"")</f>
        <v>6.1</v>
      </c>
      <c r="BR45" s="32" t="str">
        <f>IF(AND(BR$30,$O45),$E$32,"")</f>
        <v/>
      </c>
      <c r="BS45" s="54">
        <f>IF(AND(BS$30,$O45),$F$32,"")</f>
        <v>10.1</v>
      </c>
      <c r="BT45" s="31">
        <f>IF(AND(BT$30,$O45),$C$32,"")</f>
        <v>7.4</v>
      </c>
      <c r="BU45" s="32">
        <f>IF(AND(BU$30,$O45),$D$32,"")</f>
        <v>6.1</v>
      </c>
      <c r="BV45" s="32">
        <f>IF(AND(BV$30,$O45),$E$32,"")</f>
        <v>6.7</v>
      </c>
      <c r="BW45" s="54" t="str">
        <f>IF(AND(BW$30,$O45),$F$32,"")</f>
        <v/>
      </c>
      <c r="BX45" s="31">
        <f>IF(AND(BX$30,$O45),$C$32,"")</f>
        <v>7.4</v>
      </c>
      <c r="BY45" s="32">
        <f>IF(AND(BY$30,$O45),$D$32,"")</f>
        <v>6.1</v>
      </c>
      <c r="BZ45" s="32">
        <f>IF(AND(BZ$30,$O45),$E$32,"")</f>
        <v>6.7</v>
      </c>
      <c r="CA45" s="54">
        <f>IF(AND(CA$30,$O45),$F$32,"")</f>
        <v>10.1</v>
      </c>
      <c r="CB45" s="31" t="str">
        <f>IF(AND(CB$30,$O45),$C$32,"")</f>
        <v/>
      </c>
      <c r="CC45" s="32" t="str">
        <f>IF(AND(CC$30,$O45),$D$32,"")</f>
        <v/>
      </c>
      <c r="CD45" s="32" t="str">
        <f>IF(AND(CD$30,$O45),$E$32,"")</f>
        <v/>
      </c>
      <c r="CE45" s="54" t="str">
        <f>IF(AND(CE$30,$O45),$F$32,"")</f>
        <v/>
      </c>
    </row>
    <row r="46" spans="1:83" ht="15.75" thickBot="1">
      <c r="L46" s="86"/>
      <c r="M46" s="37" t="str">
        <f t="shared" si="20"/>
        <v>G</v>
      </c>
      <c r="O46" s="43">
        <f>BinAnd(N43,G)</f>
        <v>1</v>
      </c>
      <c r="P46" s="55" t="str">
        <f>IF(AND(P$30,$O46),$C$33,"")</f>
        <v/>
      </c>
      <c r="Q46" s="56" t="str">
        <f>IF(AND(Q$30,$O46),$D$33,"")</f>
        <v/>
      </c>
      <c r="R46" s="56" t="str">
        <f>IF(AND(R$30,$O46),$E$33,"")</f>
        <v/>
      </c>
      <c r="S46" s="57" t="str">
        <f>IF(AND(S$30,$O46),$F$33,"")</f>
        <v/>
      </c>
      <c r="T46" s="55" t="str">
        <f>IF(AND(T$30,$O46),$C$33,"")</f>
        <v/>
      </c>
      <c r="U46" s="56" t="str">
        <f>IF(AND(U$30,$O46),$D$33,"")</f>
        <v/>
      </c>
      <c r="V46" s="56" t="str">
        <f>IF(AND(V$30,$O46),$E$33,"")</f>
        <v/>
      </c>
      <c r="W46" s="57">
        <f>IF(AND(W$30,$O46),$F$33,"")</f>
        <v>6.7</v>
      </c>
      <c r="X46" s="55" t="str">
        <f>IF(AND(X$30,$O46),$C$33,"")</f>
        <v/>
      </c>
      <c r="Y46" s="56" t="str">
        <f>IF(AND(Y$30,$O46),$D$33,"")</f>
        <v/>
      </c>
      <c r="Z46" s="56">
        <f>IF(AND(Z$30,$O46),$E$33,"")</f>
        <v>11.1</v>
      </c>
      <c r="AA46" s="57" t="str">
        <f>IF(AND(AA$30,$O46),$F$33,"")</f>
        <v/>
      </c>
      <c r="AB46" s="55" t="str">
        <f>IF(AND(AB$30,$O46),$C$33,"")</f>
        <v/>
      </c>
      <c r="AC46" s="56" t="str">
        <f>IF(AND(AC$30,$O46),$D$33,"")</f>
        <v/>
      </c>
      <c r="AD46" s="56">
        <f>IF(AND(AD$30,$O46),$E$33,"")</f>
        <v>11.1</v>
      </c>
      <c r="AE46" s="57">
        <f>IF(AND(AE$30,$O46),$F$33,"")</f>
        <v>6.7</v>
      </c>
      <c r="AF46" s="55" t="str">
        <f>IF(AND(AF$30,$O46),$C$33,"")</f>
        <v/>
      </c>
      <c r="AG46" s="56">
        <f>IF(AND(AG$30,$O46),$D$33,"")</f>
        <v>8.6</v>
      </c>
      <c r="AH46" s="56" t="str">
        <f>IF(AND(AH$30,$O46),$E$33,"")</f>
        <v/>
      </c>
      <c r="AI46" s="57" t="str">
        <f>IF(AND(AI$30,$O46),$F$33,"")</f>
        <v/>
      </c>
      <c r="AJ46" s="55" t="str">
        <f>IF(AND(AJ$30,$O46),$C$33,"")</f>
        <v/>
      </c>
      <c r="AK46" s="56">
        <f>IF(AND(AK$30,$O46),$D$33,"")</f>
        <v>8.6</v>
      </c>
      <c r="AL46" s="56" t="str">
        <f>IF(AND(AL$30,$O46),$E$33,"")</f>
        <v/>
      </c>
      <c r="AM46" s="57">
        <f>IF(AND(AM$30,$O46),$F$33,"")</f>
        <v>6.7</v>
      </c>
      <c r="AN46" s="55" t="str">
        <f>IF(AND(AN$30,$O46),$C$33,"")</f>
        <v/>
      </c>
      <c r="AO46" s="56">
        <f>IF(AND(AO$30,$O46),$D$33,"")</f>
        <v>8.6</v>
      </c>
      <c r="AP46" s="56">
        <f>IF(AND(AP$30,$O46),$E$33,"")</f>
        <v>11.1</v>
      </c>
      <c r="AQ46" s="57" t="str">
        <f>IF(AND(AQ$30,$O46),$F$33,"")</f>
        <v/>
      </c>
      <c r="AR46" s="55" t="str">
        <f>IF(AND(AR$30,$O46),$C$33,"")</f>
        <v/>
      </c>
      <c r="AS46" s="56">
        <f>IF(AND(AS$30,$O46),$D$33,"")</f>
        <v>8.6</v>
      </c>
      <c r="AT46" s="56">
        <f>IF(AND(AT$30,$O46),$E$33,"")</f>
        <v>11.1</v>
      </c>
      <c r="AU46" s="57">
        <f>IF(AND(AU$30,$O46),$F$33,"")</f>
        <v>6.7</v>
      </c>
      <c r="AV46" s="55">
        <f>IF(AND(AV$30,$O46),$C$33,"")</f>
        <v>7.7</v>
      </c>
      <c r="AW46" s="56" t="str">
        <f>IF(AND(AW$30,$O46),$D$33,"")</f>
        <v/>
      </c>
      <c r="AX46" s="56" t="str">
        <f>IF(AND(AX$30,$O46),$E$33,"")</f>
        <v/>
      </c>
      <c r="AY46" s="57" t="str">
        <f>IF(AND(AY$30,$O46),$F$33,"")</f>
        <v/>
      </c>
      <c r="AZ46" s="55">
        <f>IF(AND(AZ$30,$O46),$C$33,"")</f>
        <v>7.7</v>
      </c>
      <c r="BA46" s="56" t="str">
        <f>IF(AND(BA$30,$O46),$D$33,"")</f>
        <v/>
      </c>
      <c r="BB46" s="56" t="str">
        <f>IF(AND(BB$30,$O46),$E$33,"")</f>
        <v/>
      </c>
      <c r="BC46" s="57">
        <f>IF(AND(BC$30,$O46),$F$33,"")</f>
        <v>6.7</v>
      </c>
      <c r="BD46" s="55">
        <f>IF(AND(BD$30,$O46),$C$33,"")</f>
        <v>7.7</v>
      </c>
      <c r="BE46" s="56" t="str">
        <f>IF(AND(BE$30,$O46),$D$33,"")</f>
        <v/>
      </c>
      <c r="BF46" s="56">
        <f>IF(AND(BF$30,$O46),$E$33,"")</f>
        <v>11.1</v>
      </c>
      <c r="BG46" s="57" t="str">
        <f>IF(AND(BG$30,$O46),$F$33,"")</f>
        <v/>
      </c>
      <c r="BH46" s="55">
        <f>IF(AND(BH$30,$O46),$C$33,"")</f>
        <v>7.7</v>
      </c>
      <c r="BI46" s="56" t="str">
        <f>IF(AND(BI$30,$O46),$D$33,"")</f>
        <v/>
      </c>
      <c r="BJ46" s="56">
        <f>IF(AND(BJ$30,$O46),$E$33,"")</f>
        <v>11.1</v>
      </c>
      <c r="BK46" s="57">
        <f>IF(AND(BK$30,$O46),$F$33,"")</f>
        <v>6.7</v>
      </c>
      <c r="BL46" s="55">
        <f>IF(AND(BL$30,$O46),$C$33,"")</f>
        <v>7.7</v>
      </c>
      <c r="BM46" s="56">
        <f>IF(AND(BM$30,$O46),$D$33,"")</f>
        <v>8.6</v>
      </c>
      <c r="BN46" s="56" t="str">
        <f>IF(AND(BN$30,$O46),$E$33,"")</f>
        <v/>
      </c>
      <c r="BO46" s="57" t="str">
        <f>IF(AND(BO$30,$O46),$F$33,"")</f>
        <v/>
      </c>
      <c r="BP46" s="55">
        <f>IF(AND(BP$30,$O46),$C$33,"")</f>
        <v>7.7</v>
      </c>
      <c r="BQ46" s="56">
        <f>IF(AND(BQ$30,$O46),$D$33,"")</f>
        <v>8.6</v>
      </c>
      <c r="BR46" s="56" t="str">
        <f>IF(AND(BR$30,$O46),$E$33,"")</f>
        <v/>
      </c>
      <c r="BS46" s="57">
        <f>IF(AND(BS$30,$O46),$F$33,"")</f>
        <v>6.7</v>
      </c>
      <c r="BT46" s="55">
        <f>IF(AND(BT$30,$O46),$C$33,"")</f>
        <v>7.7</v>
      </c>
      <c r="BU46" s="56">
        <f>IF(AND(BU$30,$O46),$D$33,"")</f>
        <v>8.6</v>
      </c>
      <c r="BV46" s="56">
        <f>IF(AND(BV$30,$O46),$E$33,"")</f>
        <v>11.1</v>
      </c>
      <c r="BW46" s="57" t="str">
        <f>IF(AND(BW$30,$O46),$F$33,"")</f>
        <v/>
      </c>
      <c r="BX46" s="55">
        <f>IF(AND(BX$30,$O46),$C$33,"")</f>
        <v>7.7</v>
      </c>
      <c r="BY46" s="56">
        <f>IF(AND(BY$30,$O46),$D$33,"")</f>
        <v>8.6</v>
      </c>
      <c r="BZ46" s="56">
        <f>IF(AND(BZ$30,$O46),$E$33,"")</f>
        <v>11.1</v>
      </c>
      <c r="CA46" s="57">
        <f>IF(AND(CA$30,$O46),$F$33,"")</f>
        <v>6.7</v>
      </c>
      <c r="CB46" s="55" t="str">
        <f>IF(AND(CB$30,$O46),$C$33,"")</f>
        <v/>
      </c>
      <c r="CC46" s="56" t="str">
        <f>IF(AND(CC$30,$O46),$D$33,"")</f>
        <v/>
      </c>
      <c r="CD46" s="56" t="str">
        <f>IF(AND(CD$30,$O46),$E$33,"")</f>
        <v/>
      </c>
      <c r="CE46" s="57" t="str">
        <f>IF(AND(CE$30,$O46),$F$33,"")</f>
        <v/>
      </c>
    </row>
    <row r="47" spans="1:83">
      <c r="L47" s="83" t="str">
        <f>MID(CodDegElegir,N47+1,1)</f>
        <v>T</v>
      </c>
      <c r="M47" s="85" t="str">
        <f t="shared" si="20"/>
        <v>-</v>
      </c>
      <c r="N47">
        <v>4</v>
      </c>
      <c r="O47" s="81">
        <f>BinAnd(N47,A)</f>
        <v>0</v>
      </c>
      <c r="P47" s="29" t="str">
        <f>IF(AND(P$30,$O47),$C$30,"")</f>
        <v/>
      </c>
      <c r="Q47" s="30" t="str">
        <f>IF(AND(Q$30,$O47),$D$30,"")</f>
        <v/>
      </c>
      <c r="R47" s="30" t="str">
        <f>IF(AND(R$30,$O47),$E$30,"")</f>
        <v/>
      </c>
      <c r="S47" s="53" t="str">
        <f>IF(AND(S$30,$O47),$F$30,"")</f>
        <v/>
      </c>
      <c r="T47" s="29" t="str">
        <f>IF(AND(T$30,$O47),$C$30,"")</f>
        <v/>
      </c>
      <c r="U47" s="30" t="str">
        <f>IF(AND(U$30,$O47),$D$30,"")</f>
        <v/>
      </c>
      <c r="V47" s="30" t="str">
        <f>IF(AND(V$30,$O47),$E$30,"")</f>
        <v/>
      </c>
      <c r="W47" s="53" t="str">
        <f>IF(AND(W$30,$O47),$F$30,"")</f>
        <v/>
      </c>
      <c r="X47" s="29" t="str">
        <f>IF(AND(X$30,$O47),$C$30,"")</f>
        <v/>
      </c>
      <c r="Y47" s="30" t="str">
        <f>IF(AND(Y$30,$O47),$D$30,"")</f>
        <v/>
      </c>
      <c r="Z47" s="30" t="str">
        <f>IF(AND(Z$30,$O47),$E$30,"")</f>
        <v/>
      </c>
      <c r="AA47" s="53" t="str">
        <f>IF(AND(AA$30,$O47),$F$30,"")</f>
        <v/>
      </c>
      <c r="AB47" s="29" t="str">
        <f>IF(AND(AB$30,$O47),$C$30,"")</f>
        <v/>
      </c>
      <c r="AC47" s="30" t="str">
        <f>IF(AND(AC$30,$O47),$D$30,"")</f>
        <v/>
      </c>
      <c r="AD47" s="30" t="str">
        <f>IF(AND(AD$30,$O47),$E$30,"")</f>
        <v/>
      </c>
      <c r="AE47" s="53" t="str">
        <f>IF(AND(AE$30,$O47),$F$30,"")</f>
        <v/>
      </c>
      <c r="AF47" s="29" t="str">
        <f>IF(AND(AF$30,$O47),$C$30,"")</f>
        <v/>
      </c>
      <c r="AG47" s="30" t="str">
        <f>IF(AND(AG$30,$O47),$D$30,"")</f>
        <v/>
      </c>
      <c r="AH47" s="30" t="str">
        <f>IF(AND(AH$30,$O47),$E$30,"")</f>
        <v/>
      </c>
      <c r="AI47" s="53" t="str">
        <f>IF(AND(AI$30,$O47),$F$30,"")</f>
        <v/>
      </c>
      <c r="AJ47" s="29" t="str">
        <f>IF(AND(AJ$30,$O47),$C$30,"")</f>
        <v/>
      </c>
      <c r="AK47" s="30" t="str">
        <f>IF(AND(AK$30,$O47),$D$30,"")</f>
        <v/>
      </c>
      <c r="AL47" s="30" t="str">
        <f>IF(AND(AL$30,$O47),$E$30,"")</f>
        <v/>
      </c>
      <c r="AM47" s="53" t="str">
        <f>IF(AND(AM$30,$O47),$F$30,"")</f>
        <v/>
      </c>
      <c r="AN47" s="29" t="str">
        <f>IF(AND(AN$30,$O47),$C$30,"")</f>
        <v/>
      </c>
      <c r="AO47" s="30" t="str">
        <f>IF(AND(AO$30,$O47),$D$30,"")</f>
        <v/>
      </c>
      <c r="AP47" s="30" t="str">
        <f>IF(AND(AP$30,$O47),$E$30,"")</f>
        <v/>
      </c>
      <c r="AQ47" s="53" t="str">
        <f>IF(AND(AQ$30,$O47),$F$30,"")</f>
        <v/>
      </c>
      <c r="AR47" s="29" t="str">
        <f>IF(AND(AR$30,$O47),$C$30,"")</f>
        <v/>
      </c>
      <c r="AS47" s="30" t="str">
        <f>IF(AND(AS$30,$O47),$D$30,"")</f>
        <v/>
      </c>
      <c r="AT47" s="30" t="str">
        <f>IF(AND(AT$30,$O47),$E$30,"")</f>
        <v/>
      </c>
      <c r="AU47" s="53" t="str">
        <f>IF(AND(AU$30,$O47),$F$30,"")</f>
        <v/>
      </c>
      <c r="AV47" s="29" t="str">
        <f>IF(AND(AV$30,$O47),$C$30,"")</f>
        <v/>
      </c>
      <c r="AW47" s="30" t="str">
        <f>IF(AND(AW$30,$O47),$D$30,"")</f>
        <v/>
      </c>
      <c r="AX47" s="30" t="str">
        <f>IF(AND(AX$30,$O47),$E$30,"")</f>
        <v/>
      </c>
      <c r="AY47" s="53" t="str">
        <f>IF(AND(AY$30,$O47),$F$30,"")</f>
        <v/>
      </c>
      <c r="AZ47" s="29" t="str">
        <f>IF(AND(AZ$30,$O47),$C$30,"")</f>
        <v/>
      </c>
      <c r="BA47" s="30" t="str">
        <f>IF(AND(BA$30,$O47),$D$30,"")</f>
        <v/>
      </c>
      <c r="BB47" s="30" t="str">
        <f>IF(AND(BB$30,$O47),$E$30,"")</f>
        <v/>
      </c>
      <c r="BC47" s="53" t="str">
        <f>IF(AND(BC$30,$O47),$F$30,"")</f>
        <v/>
      </c>
      <c r="BD47" s="29" t="str">
        <f>IF(AND(BD$30,$O47),$C$30,"")</f>
        <v/>
      </c>
      <c r="BE47" s="30" t="str">
        <f>IF(AND(BE$30,$O47),$D$30,"")</f>
        <v/>
      </c>
      <c r="BF47" s="30" t="str">
        <f>IF(AND(BF$30,$O47),$E$30,"")</f>
        <v/>
      </c>
      <c r="BG47" s="53" t="str">
        <f>IF(AND(BG$30,$O47),$F$30,"")</f>
        <v/>
      </c>
      <c r="BH47" s="29" t="str">
        <f>IF(AND(BH$30,$O47),$C$30,"")</f>
        <v/>
      </c>
      <c r="BI47" s="30" t="str">
        <f>IF(AND(BI$30,$O47),$D$30,"")</f>
        <v/>
      </c>
      <c r="BJ47" s="30" t="str">
        <f>IF(AND(BJ$30,$O47),$E$30,"")</f>
        <v/>
      </c>
      <c r="BK47" s="53" t="str">
        <f>IF(AND(BK$30,$O47),$F$30,"")</f>
        <v/>
      </c>
      <c r="BL47" s="29" t="str">
        <f>IF(AND(BL$30,$O47),$C$30,"")</f>
        <v/>
      </c>
      <c r="BM47" s="30" t="str">
        <f>IF(AND(BM$30,$O47),$D$30,"")</f>
        <v/>
      </c>
      <c r="BN47" s="30" t="str">
        <f>IF(AND(BN$30,$O47),$E$30,"")</f>
        <v/>
      </c>
      <c r="BO47" s="53" t="str">
        <f>IF(AND(BO$30,$O47),$F$30,"")</f>
        <v/>
      </c>
      <c r="BP47" s="29" t="str">
        <f>IF(AND(BP$30,$O47),$C$30,"")</f>
        <v/>
      </c>
      <c r="BQ47" s="30" t="str">
        <f>IF(AND(BQ$30,$O47),$D$30,"")</f>
        <v/>
      </c>
      <c r="BR47" s="30" t="str">
        <f>IF(AND(BR$30,$O47),$E$30,"")</f>
        <v/>
      </c>
      <c r="BS47" s="53" t="str">
        <f>IF(AND(BS$30,$O47),$F$30,"")</f>
        <v/>
      </c>
      <c r="BT47" s="29" t="str">
        <f>IF(AND(BT$30,$O47),$C$30,"")</f>
        <v/>
      </c>
      <c r="BU47" s="30" t="str">
        <f>IF(AND(BU$30,$O47),$D$30,"")</f>
        <v/>
      </c>
      <c r="BV47" s="30" t="str">
        <f>IF(AND(BV$30,$O47),$E$30,"")</f>
        <v/>
      </c>
      <c r="BW47" s="53" t="str">
        <f>IF(AND(BW$30,$O47),$F$30,"")</f>
        <v/>
      </c>
      <c r="BX47" s="29" t="str">
        <f>IF(AND(BX$30,$O47),$C$30,"")</f>
        <v/>
      </c>
      <c r="BY47" s="30" t="str">
        <f>IF(AND(BY$30,$O47),$D$30,"")</f>
        <v/>
      </c>
      <c r="BZ47" s="30" t="str">
        <f>IF(AND(BZ$30,$O47),$E$30,"")</f>
        <v/>
      </c>
      <c r="CA47" s="53" t="str">
        <f>IF(AND(CA$30,$O47),$F$30,"")</f>
        <v/>
      </c>
      <c r="CB47" s="29" t="str">
        <f>IF(AND(CB$30,$O47),$C$30,"")</f>
        <v/>
      </c>
      <c r="CC47" s="30" t="str">
        <f>IF(AND(CC$30,$O47),$D$30,"")</f>
        <v/>
      </c>
      <c r="CD47" s="30" t="str">
        <f>IF(AND(CD$30,$O47),$E$30,"")</f>
        <v/>
      </c>
      <c r="CE47" s="53" t="str">
        <f>IF(AND(CE$30,$O47),$F$30,"")</f>
        <v/>
      </c>
    </row>
    <row r="48" spans="1:83">
      <c r="L48" s="87"/>
      <c r="M48" s="36" t="str">
        <f t="shared" si="20"/>
        <v>T</v>
      </c>
      <c r="O48" s="82">
        <f>BinAnd(N47,T)</f>
        <v>4</v>
      </c>
      <c r="P48" s="31" t="str">
        <f>IF(AND(P$30,$O48),$C$31,"")</f>
        <v/>
      </c>
      <c r="Q48" s="32" t="str">
        <f>IF(AND(Q$30,$O48),$D$31,"")</f>
        <v/>
      </c>
      <c r="R48" s="32" t="str">
        <f>IF(AND(R$30,$O48),$E$31,"")</f>
        <v/>
      </c>
      <c r="S48" s="54" t="str">
        <f>IF(AND(S$30,$O48),$F$31,"")</f>
        <v/>
      </c>
      <c r="T48" s="31" t="str">
        <f>IF(AND(T$30,$O48),$C$31,"")</f>
        <v/>
      </c>
      <c r="U48" s="32" t="str">
        <f>IF(AND(U$30,$O48),$D$31,"")</f>
        <v/>
      </c>
      <c r="V48" s="32" t="str">
        <f>IF(AND(V$30,$O48),$E$31,"")</f>
        <v/>
      </c>
      <c r="W48" s="54">
        <f>IF(AND(W$30,$O48),$F$31,"")</f>
        <v>7.4</v>
      </c>
      <c r="X48" s="31" t="str">
        <f>IF(AND(X$30,$O48),$C$31,"")</f>
        <v/>
      </c>
      <c r="Y48" s="32" t="str">
        <f>IF(AND(Y$30,$O48),$D$31,"")</f>
        <v/>
      </c>
      <c r="Z48" s="32">
        <f>IF(AND(Z$30,$O48),$E$31,"")</f>
        <v>7.7</v>
      </c>
      <c r="AA48" s="54" t="str">
        <f>IF(AND(AA$30,$O48),$F$31,"")</f>
        <v/>
      </c>
      <c r="AB48" s="31" t="str">
        <f>IF(AND(AB$30,$O48),$C$31,"")</f>
        <v/>
      </c>
      <c r="AC48" s="32" t="str">
        <f>IF(AND(AC$30,$O48),$D$31,"")</f>
        <v/>
      </c>
      <c r="AD48" s="32">
        <f>IF(AND(AD$30,$O48),$E$31,"")</f>
        <v>7.7</v>
      </c>
      <c r="AE48" s="54">
        <f>IF(AND(AE$30,$O48),$F$31,"")</f>
        <v>7.4</v>
      </c>
      <c r="AF48" s="31" t="str">
        <f>IF(AND(AF$30,$O48),$C$31,"")</f>
        <v/>
      </c>
      <c r="AG48" s="32">
        <f>IF(AND(AG$30,$O48),$D$31,"")</f>
        <v>8.4</v>
      </c>
      <c r="AH48" s="32" t="str">
        <f>IF(AND(AH$30,$O48),$E$31,"")</f>
        <v/>
      </c>
      <c r="AI48" s="54" t="str">
        <f>IF(AND(AI$30,$O48),$F$31,"")</f>
        <v/>
      </c>
      <c r="AJ48" s="31" t="str">
        <f>IF(AND(AJ$30,$O48),$C$31,"")</f>
        <v/>
      </c>
      <c r="AK48" s="32">
        <f>IF(AND(AK$30,$O48),$D$31,"")</f>
        <v>8.4</v>
      </c>
      <c r="AL48" s="32" t="str">
        <f>IF(AND(AL$30,$O48),$E$31,"")</f>
        <v/>
      </c>
      <c r="AM48" s="54">
        <f>IF(AND(AM$30,$O48),$F$31,"")</f>
        <v>7.4</v>
      </c>
      <c r="AN48" s="31" t="str">
        <f>IF(AND(AN$30,$O48),$C$31,"")</f>
        <v/>
      </c>
      <c r="AO48" s="32">
        <f>IF(AND(AO$30,$O48),$D$31,"")</f>
        <v>8.4</v>
      </c>
      <c r="AP48" s="32">
        <f>IF(AND(AP$30,$O48),$E$31,"")</f>
        <v>7.7</v>
      </c>
      <c r="AQ48" s="54" t="str">
        <f>IF(AND(AQ$30,$O48),$F$31,"")</f>
        <v/>
      </c>
      <c r="AR48" s="31" t="str">
        <f>IF(AND(AR$30,$O48),$C$31,"")</f>
        <v/>
      </c>
      <c r="AS48" s="32">
        <f>IF(AND(AS$30,$O48),$D$31,"")</f>
        <v>8.4</v>
      </c>
      <c r="AT48" s="32">
        <f>IF(AND(AT$30,$O48),$E$31,"")</f>
        <v>7.7</v>
      </c>
      <c r="AU48" s="54">
        <f>IF(AND(AU$30,$O48),$F$31,"")</f>
        <v>7.4</v>
      </c>
      <c r="AV48" s="31">
        <f>IF(AND(AV$30,$O48),$C$31,"")</f>
        <v>6.3</v>
      </c>
      <c r="AW48" s="32" t="str">
        <f>IF(AND(AW$30,$O48),$D$31,"")</f>
        <v/>
      </c>
      <c r="AX48" s="32" t="str">
        <f>IF(AND(AX$30,$O48),$E$31,"")</f>
        <v/>
      </c>
      <c r="AY48" s="54" t="str">
        <f>IF(AND(AY$30,$O48),$F$31,"")</f>
        <v/>
      </c>
      <c r="AZ48" s="31">
        <f>IF(AND(AZ$30,$O48),$C$31,"")</f>
        <v>6.3</v>
      </c>
      <c r="BA48" s="32" t="str">
        <f>IF(AND(BA$30,$O48),$D$31,"")</f>
        <v/>
      </c>
      <c r="BB48" s="32" t="str">
        <f>IF(AND(BB$30,$O48),$E$31,"")</f>
        <v/>
      </c>
      <c r="BC48" s="54">
        <f>IF(AND(BC$30,$O48),$F$31,"")</f>
        <v>7.4</v>
      </c>
      <c r="BD48" s="31">
        <f>IF(AND(BD$30,$O48),$C$31,"")</f>
        <v>6.3</v>
      </c>
      <c r="BE48" s="32" t="str">
        <f>IF(AND(BE$30,$O48),$D$31,"")</f>
        <v/>
      </c>
      <c r="BF48" s="32">
        <f>IF(AND(BF$30,$O48),$E$31,"")</f>
        <v>7.7</v>
      </c>
      <c r="BG48" s="54" t="str">
        <f>IF(AND(BG$30,$O48),$F$31,"")</f>
        <v/>
      </c>
      <c r="BH48" s="31">
        <f>IF(AND(BH$30,$O48),$C$31,"")</f>
        <v>6.3</v>
      </c>
      <c r="BI48" s="32" t="str">
        <f>IF(AND(BI$30,$O48),$D$31,"")</f>
        <v/>
      </c>
      <c r="BJ48" s="32">
        <f>IF(AND(BJ$30,$O48),$E$31,"")</f>
        <v>7.7</v>
      </c>
      <c r="BK48" s="54">
        <f>IF(AND(BK$30,$O48),$F$31,"")</f>
        <v>7.4</v>
      </c>
      <c r="BL48" s="31">
        <f>IF(AND(BL$30,$O48),$C$31,"")</f>
        <v>6.3</v>
      </c>
      <c r="BM48" s="32">
        <f>IF(AND(BM$30,$O48),$D$31,"")</f>
        <v>8.4</v>
      </c>
      <c r="BN48" s="32" t="str">
        <f>IF(AND(BN$30,$O48),$E$31,"")</f>
        <v/>
      </c>
      <c r="BO48" s="54" t="str">
        <f>IF(AND(BO$30,$O48),$F$31,"")</f>
        <v/>
      </c>
      <c r="BP48" s="31">
        <f>IF(AND(BP$30,$O48),$C$31,"")</f>
        <v>6.3</v>
      </c>
      <c r="BQ48" s="32">
        <f>IF(AND(BQ$30,$O48),$D$31,"")</f>
        <v>8.4</v>
      </c>
      <c r="BR48" s="32" t="str">
        <f>IF(AND(BR$30,$O48),$E$31,"")</f>
        <v/>
      </c>
      <c r="BS48" s="54">
        <f>IF(AND(BS$30,$O48),$F$31,"")</f>
        <v>7.4</v>
      </c>
      <c r="BT48" s="31">
        <f>IF(AND(BT$30,$O48),$C$31,"")</f>
        <v>6.3</v>
      </c>
      <c r="BU48" s="32">
        <f>IF(AND(BU$30,$O48),$D$31,"")</f>
        <v>8.4</v>
      </c>
      <c r="BV48" s="32">
        <f>IF(AND(BV$30,$O48),$E$31,"")</f>
        <v>7.7</v>
      </c>
      <c r="BW48" s="54" t="str">
        <f>IF(AND(BW$30,$O48),$F$31,"")</f>
        <v/>
      </c>
      <c r="BX48" s="31">
        <f>IF(AND(BX$30,$O48),$C$31,"")</f>
        <v>6.3</v>
      </c>
      <c r="BY48" s="32">
        <f>IF(AND(BY$30,$O48),$D$31,"")</f>
        <v>8.4</v>
      </c>
      <c r="BZ48" s="32">
        <f>IF(AND(BZ$30,$O48),$E$31,"")</f>
        <v>7.7</v>
      </c>
      <c r="CA48" s="54">
        <f>IF(AND(CA$30,$O48),$F$31,"")</f>
        <v>7.4</v>
      </c>
      <c r="CB48" s="31" t="str">
        <f>IF(AND(CB$30,$O48),$C$31,"")</f>
        <v/>
      </c>
      <c r="CC48" s="32" t="str">
        <f>IF(AND(CC$30,$O48),$D$31,"")</f>
        <v/>
      </c>
      <c r="CD48" s="32" t="str">
        <f>IF(AND(CD$30,$O48),$E$31,"")</f>
        <v/>
      </c>
      <c r="CE48" s="54" t="str">
        <f>IF(AND(CE$30,$O48),$F$31,"")</f>
        <v/>
      </c>
    </row>
    <row r="49" spans="12:83">
      <c r="L49" s="87"/>
      <c r="M49" s="36" t="str">
        <f t="shared" si="20"/>
        <v>-</v>
      </c>
      <c r="O49" s="82">
        <f>BinAnd(N47,Ce)</f>
        <v>0</v>
      </c>
      <c r="P49" s="31" t="str">
        <f>IF(AND(P$30,$O49),$C$32,"")</f>
        <v/>
      </c>
      <c r="Q49" s="32" t="str">
        <f>IF(AND(Q$30,$O49),$D$32,"")</f>
        <v/>
      </c>
      <c r="R49" s="32" t="str">
        <f>IF(AND(R$30,$O49),$E$32,"")</f>
        <v/>
      </c>
      <c r="S49" s="54" t="str">
        <f>IF(AND(S$30,$O49),$F$32,"")</f>
        <v/>
      </c>
      <c r="T49" s="31" t="str">
        <f>IF(AND(T$30,$O49),$C$32,"")</f>
        <v/>
      </c>
      <c r="U49" s="32" t="str">
        <f>IF(AND(U$30,$O49),$D$32,"")</f>
        <v/>
      </c>
      <c r="V49" s="32" t="str">
        <f>IF(AND(V$30,$O49),$E$32,"")</f>
        <v/>
      </c>
      <c r="W49" s="54" t="str">
        <f>IF(AND(W$30,$O49),$F$32,"")</f>
        <v/>
      </c>
      <c r="X49" s="31" t="str">
        <f>IF(AND(X$30,$O49),$C$32,"")</f>
        <v/>
      </c>
      <c r="Y49" s="32" t="str">
        <f>IF(AND(Y$30,$O49),$D$32,"")</f>
        <v/>
      </c>
      <c r="Z49" s="32" t="str">
        <f>IF(AND(Z$30,$O49),$E$32,"")</f>
        <v/>
      </c>
      <c r="AA49" s="54" t="str">
        <f>IF(AND(AA$30,$O49),$F$32,"")</f>
        <v/>
      </c>
      <c r="AB49" s="31" t="str">
        <f>IF(AND(AB$30,$O49),$C$32,"")</f>
        <v/>
      </c>
      <c r="AC49" s="32" t="str">
        <f>IF(AND(AC$30,$O49),$D$32,"")</f>
        <v/>
      </c>
      <c r="AD49" s="32" t="str">
        <f>IF(AND(AD$30,$O49),$E$32,"")</f>
        <v/>
      </c>
      <c r="AE49" s="54" t="str">
        <f>IF(AND(AE$30,$O49),$F$32,"")</f>
        <v/>
      </c>
      <c r="AF49" s="31" t="str">
        <f>IF(AND(AF$30,$O49),$C$32,"")</f>
        <v/>
      </c>
      <c r="AG49" s="32" t="str">
        <f>IF(AND(AG$30,$O49),$D$32,"")</f>
        <v/>
      </c>
      <c r="AH49" s="32" t="str">
        <f>IF(AND(AH$30,$O49),$E$32,"")</f>
        <v/>
      </c>
      <c r="AI49" s="54" t="str">
        <f>IF(AND(AI$30,$O49),$F$32,"")</f>
        <v/>
      </c>
      <c r="AJ49" s="31" t="str">
        <f>IF(AND(AJ$30,$O49),$C$32,"")</f>
        <v/>
      </c>
      <c r="AK49" s="32" t="str">
        <f>IF(AND(AK$30,$O49),$D$32,"")</f>
        <v/>
      </c>
      <c r="AL49" s="32" t="str">
        <f>IF(AND(AL$30,$O49),$E$32,"")</f>
        <v/>
      </c>
      <c r="AM49" s="54" t="str">
        <f>IF(AND(AM$30,$O49),$F$32,"")</f>
        <v/>
      </c>
      <c r="AN49" s="31" t="str">
        <f>IF(AND(AN$30,$O49),$C$32,"")</f>
        <v/>
      </c>
      <c r="AO49" s="32" t="str">
        <f>IF(AND(AO$30,$O49),$D$32,"")</f>
        <v/>
      </c>
      <c r="AP49" s="32" t="str">
        <f>IF(AND(AP$30,$O49),$E$32,"")</f>
        <v/>
      </c>
      <c r="AQ49" s="54" t="str">
        <f>IF(AND(AQ$30,$O49),$F$32,"")</f>
        <v/>
      </c>
      <c r="AR49" s="31" t="str">
        <f>IF(AND(AR$30,$O49),$C$32,"")</f>
        <v/>
      </c>
      <c r="AS49" s="32" t="str">
        <f>IF(AND(AS$30,$O49),$D$32,"")</f>
        <v/>
      </c>
      <c r="AT49" s="32" t="str">
        <f>IF(AND(AT$30,$O49),$E$32,"")</f>
        <v/>
      </c>
      <c r="AU49" s="54" t="str">
        <f>IF(AND(AU$30,$O49),$F$32,"")</f>
        <v/>
      </c>
      <c r="AV49" s="31" t="str">
        <f>IF(AND(AV$30,$O49),$C$32,"")</f>
        <v/>
      </c>
      <c r="AW49" s="32" t="str">
        <f>IF(AND(AW$30,$O49),$D$32,"")</f>
        <v/>
      </c>
      <c r="AX49" s="32" t="str">
        <f>IF(AND(AX$30,$O49),$E$32,"")</f>
        <v/>
      </c>
      <c r="AY49" s="54" t="str">
        <f>IF(AND(AY$30,$O49),$F$32,"")</f>
        <v/>
      </c>
      <c r="AZ49" s="31" t="str">
        <f>IF(AND(AZ$30,$O49),$C$32,"")</f>
        <v/>
      </c>
      <c r="BA49" s="32" t="str">
        <f>IF(AND(BA$30,$O49),$D$32,"")</f>
        <v/>
      </c>
      <c r="BB49" s="32" t="str">
        <f>IF(AND(BB$30,$O49),$E$32,"")</f>
        <v/>
      </c>
      <c r="BC49" s="54" t="str">
        <f>IF(AND(BC$30,$O49),$F$32,"")</f>
        <v/>
      </c>
      <c r="BD49" s="31" t="str">
        <f>IF(AND(BD$30,$O49),$C$32,"")</f>
        <v/>
      </c>
      <c r="BE49" s="32" t="str">
        <f>IF(AND(BE$30,$O49),$D$32,"")</f>
        <v/>
      </c>
      <c r="BF49" s="32" t="str">
        <f>IF(AND(BF$30,$O49),$E$32,"")</f>
        <v/>
      </c>
      <c r="BG49" s="54" t="str">
        <f>IF(AND(BG$30,$O49),$F$32,"")</f>
        <v/>
      </c>
      <c r="BH49" s="31" t="str">
        <f>IF(AND(BH$30,$O49),$C$32,"")</f>
        <v/>
      </c>
      <c r="BI49" s="32" t="str">
        <f>IF(AND(BI$30,$O49),$D$32,"")</f>
        <v/>
      </c>
      <c r="BJ49" s="32" t="str">
        <f>IF(AND(BJ$30,$O49),$E$32,"")</f>
        <v/>
      </c>
      <c r="BK49" s="54" t="str">
        <f>IF(AND(BK$30,$O49),$F$32,"")</f>
        <v/>
      </c>
      <c r="BL49" s="31" t="str">
        <f>IF(AND(BL$30,$O49),$C$32,"")</f>
        <v/>
      </c>
      <c r="BM49" s="32" t="str">
        <f>IF(AND(BM$30,$O49),$D$32,"")</f>
        <v/>
      </c>
      <c r="BN49" s="32" t="str">
        <f>IF(AND(BN$30,$O49),$E$32,"")</f>
        <v/>
      </c>
      <c r="BO49" s="54" t="str">
        <f>IF(AND(BO$30,$O49),$F$32,"")</f>
        <v/>
      </c>
      <c r="BP49" s="31" t="str">
        <f>IF(AND(BP$30,$O49),$C$32,"")</f>
        <v/>
      </c>
      <c r="BQ49" s="32" t="str">
        <f>IF(AND(BQ$30,$O49),$D$32,"")</f>
        <v/>
      </c>
      <c r="BR49" s="32" t="str">
        <f>IF(AND(BR$30,$O49),$E$32,"")</f>
        <v/>
      </c>
      <c r="BS49" s="54" t="str">
        <f>IF(AND(BS$30,$O49),$F$32,"")</f>
        <v/>
      </c>
      <c r="BT49" s="31" t="str">
        <f>IF(AND(BT$30,$O49),$C$32,"")</f>
        <v/>
      </c>
      <c r="BU49" s="32" t="str">
        <f>IF(AND(BU$30,$O49),$D$32,"")</f>
        <v/>
      </c>
      <c r="BV49" s="32" t="str">
        <f>IF(AND(BV$30,$O49),$E$32,"")</f>
        <v/>
      </c>
      <c r="BW49" s="54" t="str">
        <f>IF(AND(BW$30,$O49),$F$32,"")</f>
        <v/>
      </c>
      <c r="BX49" s="31" t="str">
        <f>IF(AND(BX$30,$O49),$C$32,"")</f>
        <v/>
      </c>
      <c r="BY49" s="32" t="str">
        <f>IF(AND(BY$30,$O49),$D$32,"")</f>
        <v/>
      </c>
      <c r="BZ49" s="32" t="str">
        <f>IF(AND(BZ$30,$O49),$E$32,"")</f>
        <v/>
      </c>
      <c r="CA49" s="54" t="str">
        <f>IF(AND(CA$30,$O49),$F$32,"")</f>
        <v/>
      </c>
      <c r="CB49" s="31" t="str">
        <f>IF(AND(CB$30,$O49),$C$32,"")</f>
        <v/>
      </c>
      <c r="CC49" s="32" t="str">
        <f>IF(AND(CC$30,$O49),$D$32,"")</f>
        <v/>
      </c>
      <c r="CD49" s="32" t="str">
        <f>IF(AND(CD$30,$O49),$E$32,"")</f>
        <v/>
      </c>
      <c r="CE49" s="54" t="str">
        <f>IF(AND(CE$30,$O49),$F$32,"")</f>
        <v/>
      </c>
    </row>
    <row r="50" spans="12:83" ht="15.75" thickBot="1">
      <c r="L50" s="86"/>
      <c r="M50" s="37" t="str">
        <f t="shared" si="20"/>
        <v>-</v>
      </c>
      <c r="O50" s="43">
        <f>BinAnd(N47,G)</f>
        <v>0</v>
      </c>
      <c r="P50" s="55" t="str">
        <f>IF(AND(P$30,$O50),$C$33,"")</f>
        <v/>
      </c>
      <c r="Q50" s="56" t="str">
        <f>IF(AND(Q$30,$O50),$D$33,"")</f>
        <v/>
      </c>
      <c r="R50" s="56" t="str">
        <f>IF(AND(R$30,$O50),$E$33,"")</f>
        <v/>
      </c>
      <c r="S50" s="57" t="str">
        <f>IF(AND(S$30,$O50),$F$33,"")</f>
        <v/>
      </c>
      <c r="T50" s="55" t="str">
        <f>IF(AND(T$30,$O50),$C$33,"")</f>
        <v/>
      </c>
      <c r="U50" s="56" t="str">
        <f>IF(AND(U$30,$O50),$D$33,"")</f>
        <v/>
      </c>
      <c r="V50" s="56" t="str">
        <f>IF(AND(V$30,$O50),$E$33,"")</f>
        <v/>
      </c>
      <c r="W50" s="57" t="str">
        <f>IF(AND(W$30,$O50),$F$33,"")</f>
        <v/>
      </c>
      <c r="X50" s="55" t="str">
        <f>IF(AND(X$30,$O50),$C$33,"")</f>
        <v/>
      </c>
      <c r="Y50" s="56" t="str">
        <f>IF(AND(Y$30,$O50),$D$33,"")</f>
        <v/>
      </c>
      <c r="Z50" s="56" t="str">
        <f>IF(AND(Z$30,$O50),$E$33,"")</f>
        <v/>
      </c>
      <c r="AA50" s="57" t="str">
        <f>IF(AND(AA$30,$O50),$F$33,"")</f>
        <v/>
      </c>
      <c r="AB50" s="55" t="str">
        <f>IF(AND(AB$30,$O50),$C$33,"")</f>
        <v/>
      </c>
      <c r="AC50" s="56" t="str">
        <f>IF(AND(AC$30,$O50),$D$33,"")</f>
        <v/>
      </c>
      <c r="AD50" s="56" t="str">
        <f>IF(AND(AD$30,$O50),$E$33,"")</f>
        <v/>
      </c>
      <c r="AE50" s="57" t="str">
        <f>IF(AND(AE$30,$O50),$F$33,"")</f>
        <v/>
      </c>
      <c r="AF50" s="55" t="str">
        <f>IF(AND(AF$30,$O50),$C$33,"")</f>
        <v/>
      </c>
      <c r="AG50" s="56" t="str">
        <f>IF(AND(AG$30,$O50),$D$33,"")</f>
        <v/>
      </c>
      <c r="AH50" s="56" t="str">
        <f>IF(AND(AH$30,$O50),$E$33,"")</f>
        <v/>
      </c>
      <c r="AI50" s="57" t="str">
        <f>IF(AND(AI$30,$O50),$F$33,"")</f>
        <v/>
      </c>
      <c r="AJ50" s="55" t="str">
        <f>IF(AND(AJ$30,$O50),$C$33,"")</f>
        <v/>
      </c>
      <c r="AK50" s="56" t="str">
        <f>IF(AND(AK$30,$O50),$D$33,"")</f>
        <v/>
      </c>
      <c r="AL50" s="56" t="str">
        <f>IF(AND(AL$30,$O50),$E$33,"")</f>
        <v/>
      </c>
      <c r="AM50" s="57" t="str">
        <f>IF(AND(AM$30,$O50),$F$33,"")</f>
        <v/>
      </c>
      <c r="AN50" s="55" t="str">
        <f>IF(AND(AN$30,$O50),$C$33,"")</f>
        <v/>
      </c>
      <c r="AO50" s="56" t="str">
        <f>IF(AND(AO$30,$O50),$D$33,"")</f>
        <v/>
      </c>
      <c r="AP50" s="56" t="str">
        <f>IF(AND(AP$30,$O50),$E$33,"")</f>
        <v/>
      </c>
      <c r="AQ50" s="57" t="str">
        <f>IF(AND(AQ$30,$O50),$F$33,"")</f>
        <v/>
      </c>
      <c r="AR50" s="55" t="str">
        <f>IF(AND(AR$30,$O50),$C$33,"")</f>
        <v/>
      </c>
      <c r="AS50" s="56" t="str">
        <f>IF(AND(AS$30,$O50),$D$33,"")</f>
        <v/>
      </c>
      <c r="AT50" s="56" t="str">
        <f>IF(AND(AT$30,$O50),$E$33,"")</f>
        <v/>
      </c>
      <c r="AU50" s="57" t="str">
        <f>IF(AND(AU$30,$O50),$F$33,"")</f>
        <v/>
      </c>
      <c r="AV50" s="55" t="str">
        <f>IF(AND(AV$30,$O50),$C$33,"")</f>
        <v/>
      </c>
      <c r="AW50" s="56" t="str">
        <f>IF(AND(AW$30,$O50),$D$33,"")</f>
        <v/>
      </c>
      <c r="AX50" s="56" t="str">
        <f>IF(AND(AX$30,$O50),$E$33,"")</f>
        <v/>
      </c>
      <c r="AY50" s="57" t="str">
        <f>IF(AND(AY$30,$O50),$F$33,"")</f>
        <v/>
      </c>
      <c r="AZ50" s="55" t="str">
        <f>IF(AND(AZ$30,$O50),$C$33,"")</f>
        <v/>
      </c>
      <c r="BA50" s="56" t="str">
        <f>IF(AND(BA$30,$O50),$D$33,"")</f>
        <v/>
      </c>
      <c r="BB50" s="56" t="str">
        <f>IF(AND(BB$30,$O50),$E$33,"")</f>
        <v/>
      </c>
      <c r="BC50" s="57" t="str">
        <f>IF(AND(BC$30,$O50),$F$33,"")</f>
        <v/>
      </c>
      <c r="BD50" s="55" t="str">
        <f>IF(AND(BD$30,$O50),$C$33,"")</f>
        <v/>
      </c>
      <c r="BE50" s="56" t="str">
        <f>IF(AND(BE$30,$O50),$D$33,"")</f>
        <v/>
      </c>
      <c r="BF50" s="56" t="str">
        <f>IF(AND(BF$30,$O50),$E$33,"")</f>
        <v/>
      </c>
      <c r="BG50" s="57" t="str">
        <f>IF(AND(BG$30,$O50),$F$33,"")</f>
        <v/>
      </c>
      <c r="BH50" s="55" t="str">
        <f>IF(AND(BH$30,$O50),$C$33,"")</f>
        <v/>
      </c>
      <c r="BI50" s="56" t="str">
        <f>IF(AND(BI$30,$O50),$D$33,"")</f>
        <v/>
      </c>
      <c r="BJ50" s="56" t="str">
        <f>IF(AND(BJ$30,$O50),$E$33,"")</f>
        <v/>
      </c>
      <c r="BK50" s="57" t="str">
        <f>IF(AND(BK$30,$O50),$F$33,"")</f>
        <v/>
      </c>
      <c r="BL50" s="55" t="str">
        <f>IF(AND(BL$30,$O50),$C$33,"")</f>
        <v/>
      </c>
      <c r="BM50" s="56" t="str">
        <f>IF(AND(BM$30,$O50),$D$33,"")</f>
        <v/>
      </c>
      <c r="BN50" s="56" t="str">
        <f>IF(AND(BN$30,$O50),$E$33,"")</f>
        <v/>
      </c>
      <c r="BO50" s="57" t="str">
        <f>IF(AND(BO$30,$O50),$F$33,"")</f>
        <v/>
      </c>
      <c r="BP50" s="55" t="str">
        <f>IF(AND(BP$30,$O50),$C$33,"")</f>
        <v/>
      </c>
      <c r="BQ50" s="56" t="str">
        <f>IF(AND(BQ$30,$O50),$D$33,"")</f>
        <v/>
      </c>
      <c r="BR50" s="56" t="str">
        <f>IF(AND(BR$30,$O50),$E$33,"")</f>
        <v/>
      </c>
      <c r="BS50" s="57" t="str">
        <f>IF(AND(BS$30,$O50),$F$33,"")</f>
        <v/>
      </c>
      <c r="BT50" s="55" t="str">
        <f>IF(AND(BT$30,$O50),$C$33,"")</f>
        <v/>
      </c>
      <c r="BU50" s="56" t="str">
        <f>IF(AND(BU$30,$O50),$D$33,"")</f>
        <v/>
      </c>
      <c r="BV50" s="56" t="str">
        <f>IF(AND(BV$30,$O50),$E$33,"")</f>
        <v/>
      </c>
      <c r="BW50" s="57" t="str">
        <f>IF(AND(BW$30,$O50),$F$33,"")</f>
        <v/>
      </c>
      <c r="BX50" s="55" t="str">
        <f>IF(AND(BX$30,$O50),$C$33,"")</f>
        <v/>
      </c>
      <c r="BY50" s="56" t="str">
        <f>IF(AND(BY$30,$O50),$D$33,"")</f>
        <v/>
      </c>
      <c r="BZ50" s="56" t="str">
        <f>IF(AND(BZ$30,$O50),$E$33,"")</f>
        <v/>
      </c>
      <c r="CA50" s="57" t="str">
        <f>IF(AND(CA$30,$O50),$F$33,"")</f>
        <v/>
      </c>
      <c r="CB50" s="55" t="str">
        <f>IF(AND(CB$30,$O50),$C$33,"")</f>
        <v/>
      </c>
      <c r="CC50" s="56" t="str">
        <f>IF(AND(CC$30,$O50),$D$33,"")</f>
        <v/>
      </c>
      <c r="CD50" s="56" t="str">
        <f>IF(AND(CD$30,$O50),$E$33,"")</f>
        <v/>
      </c>
      <c r="CE50" s="57" t="str">
        <f>IF(AND(CE$30,$O50),$F$33,"")</f>
        <v/>
      </c>
    </row>
    <row r="51" spans="12:83">
      <c r="L51" s="83" t="str">
        <f>MID(CodDegElegir,N51+1,1)</f>
        <v>K</v>
      </c>
      <c r="M51" s="85" t="str">
        <f t="shared" si="20"/>
        <v>-</v>
      </c>
      <c r="N51">
        <v>5</v>
      </c>
      <c r="O51" s="81">
        <f>BinAnd(N51,A)</f>
        <v>0</v>
      </c>
      <c r="P51" s="29" t="str">
        <f>IF(AND(P$30,$O51),$C$30,"")</f>
        <v/>
      </c>
      <c r="Q51" s="30" t="str">
        <f>IF(AND(Q$30,$O51),$D$30,"")</f>
        <v/>
      </c>
      <c r="R51" s="30" t="str">
        <f>IF(AND(R$30,$O51),$E$30,"")</f>
        <v/>
      </c>
      <c r="S51" s="53" t="str">
        <f>IF(AND(S$30,$O51),$F$30,"")</f>
        <v/>
      </c>
      <c r="T51" s="29" t="str">
        <f>IF(AND(T$30,$O51),$C$30,"")</f>
        <v/>
      </c>
      <c r="U51" s="30" t="str">
        <f>IF(AND(U$30,$O51),$D$30,"")</f>
        <v/>
      </c>
      <c r="V51" s="30" t="str">
        <f>IF(AND(V$30,$O51),$E$30,"")</f>
        <v/>
      </c>
      <c r="W51" s="53" t="str">
        <f>IF(AND(W$30,$O51),$F$30,"")</f>
        <v/>
      </c>
      <c r="X51" s="29" t="str">
        <f>IF(AND(X$30,$O51),$C$30,"")</f>
        <v/>
      </c>
      <c r="Y51" s="30" t="str">
        <f>IF(AND(Y$30,$O51),$D$30,"")</f>
        <v/>
      </c>
      <c r="Z51" s="30" t="str">
        <f>IF(AND(Z$30,$O51),$E$30,"")</f>
        <v/>
      </c>
      <c r="AA51" s="53" t="str">
        <f>IF(AND(AA$30,$O51),$F$30,"")</f>
        <v/>
      </c>
      <c r="AB51" s="29" t="str">
        <f>IF(AND(AB$30,$O51),$C$30,"")</f>
        <v/>
      </c>
      <c r="AC51" s="30" t="str">
        <f>IF(AND(AC$30,$O51),$D$30,"")</f>
        <v/>
      </c>
      <c r="AD51" s="30" t="str">
        <f>IF(AND(AD$30,$O51),$E$30,"")</f>
        <v/>
      </c>
      <c r="AE51" s="53" t="str">
        <f>IF(AND(AE$30,$O51),$F$30,"")</f>
        <v/>
      </c>
      <c r="AF51" s="29" t="str">
        <f>IF(AND(AF$30,$O51),$C$30,"")</f>
        <v/>
      </c>
      <c r="AG51" s="30" t="str">
        <f>IF(AND(AG$30,$O51),$D$30,"")</f>
        <v/>
      </c>
      <c r="AH51" s="30" t="str">
        <f>IF(AND(AH$30,$O51),$E$30,"")</f>
        <v/>
      </c>
      <c r="AI51" s="53" t="str">
        <f>IF(AND(AI$30,$O51),$F$30,"")</f>
        <v/>
      </c>
      <c r="AJ51" s="29" t="str">
        <f>IF(AND(AJ$30,$O51),$C$30,"")</f>
        <v/>
      </c>
      <c r="AK51" s="30" t="str">
        <f>IF(AND(AK$30,$O51),$D$30,"")</f>
        <v/>
      </c>
      <c r="AL51" s="30" t="str">
        <f>IF(AND(AL$30,$O51),$E$30,"")</f>
        <v/>
      </c>
      <c r="AM51" s="53" t="str">
        <f>IF(AND(AM$30,$O51),$F$30,"")</f>
        <v/>
      </c>
      <c r="AN51" s="29" t="str">
        <f>IF(AND(AN$30,$O51),$C$30,"")</f>
        <v/>
      </c>
      <c r="AO51" s="30" t="str">
        <f>IF(AND(AO$30,$O51),$D$30,"")</f>
        <v/>
      </c>
      <c r="AP51" s="30" t="str">
        <f>IF(AND(AP$30,$O51),$E$30,"")</f>
        <v/>
      </c>
      <c r="AQ51" s="53" t="str">
        <f>IF(AND(AQ$30,$O51),$F$30,"")</f>
        <v/>
      </c>
      <c r="AR51" s="29" t="str">
        <f>IF(AND(AR$30,$O51),$C$30,"")</f>
        <v/>
      </c>
      <c r="AS51" s="30" t="str">
        <f>IF(AND(AS$30,$O51),$D$30,"")</f>
        <v/>
      </c>
      <c r="AT51" s="30" t="str">
        <f>IF(AND(AT$30,$O51),$E$30,"")</f>
        <v/>
      </c>
      <c r="AU51" s="53" t="str">
        <f>IF(AND(AU$30,$O51),$F$30,"")</f>
        <v/>
      </c>
      <c r="AV51" s="29" t="str">
        <f>IF(AND(AV$30,$O51),$C$30,"")</f>
        <v/>
      </c>
      <c r="AW51" s="30" t="str">
        <f>IF(AND(AW$30,$O51),$D$30,"")</f>
        <v/>
      </c>
      <c r="AX51" s="30" t="str">
        <f>IF(AND(AX$30,$O51),$E$30,"")</f>
        <v/>
      </c>
      <c r="AY51" s="53" t="str">
        <f>IF(AND(AY$30,$O51),$F$30,"")</f>
        <v/>
      </c>
      <c r="AZ51" s="29" t="str">
        <f>IF(AND(AZ$30,$O51),$C$30,"")</f>
        <v/>
      </c>
      <c r="BA51" s="30" t="str">
        <f>IF(AND(BA$30,$O51),$D$30,"")</f>
        <v/>
      </c>
      <c r="BB51" s="30" t="str">
        <f>IF(AND(BB$30,$O51),$E$30,"")</f>
        <v/>
      </c>
      <c r="BC51" s="53" t="str">
        <f>IF(AND(BC$30,$O51),$F$30,"")</f>
        <v/>
      </c>
      <c r="BD51" s="29" t="str">
        <f>IF(AND(BD$30,$O51),$C$30,"")</f>
        <v/>
      </c>
      <c r="BE51" s="30" t="str">
        <f>IF(AND(BE$30,$O51),$D$30,"")</f>
        <v/>
      </c>
      <c r="BF51" s="30" t="str">
        <f>IF(AND(BF$30,$O51),$E$30,"")</f>
        <v/>
      </c>
      <c r="BG51" s="53" t="str">
        <f>IF(AND(BG$30,$O51),$F$30,"")</f>
        <v/>
      </c>
      <c r="BH51" s="29" t="str">
        <f>IF(AND(BH$30,$O51),$C$30,"")</f>
        <v/>
      </c>
      <c r="BI51" s="30" t="str">
        <f>IF(AND(BI$30,$O51),$D$30,"")</f>
        <v/>
      </c>
      <c r="BJ51" s="30" t="str">
        <f>IF(AND(BJ$30,$O51),$E$30,"")</f>
        <v/>
      </c>
      <c r="BK51" s="53" t="str">
        <f>IF(AND(BK$30,$O51),$F$30,"")</f>
        <v/>
      </c>
      <c r="BL51" s="29" t="str">
        <f>IF(AND(BL$30,$O51),$C$30,"")</f>
        <v/>
      </c>
      <c r="BM51" s="30" t="str">
        <f>IF(AND(BM$30,$O51),$D$30,"")</f>
        <v/>
      </c>
      <c r="BN51" s="30" t="str">
        <f>IF(AND(BN$30,$O51),$E$30,"")</f>
        <v/>
      </c>
      <c r="BO51" s="53" t="str">
        <f>IF(AND(BO$30,$O51),$F$30,"")</f>
        <v/>
      </c>
      <c r="BP51" s="29" t="str">
        <f>IF(AND(BP$30,$O51),$C$30,"")</f>
        <v/>
      </c>
      <c r="BQ51" s="30" t="str">
        <f>IF(AND(BQ$30,$O51),$D$30,"")</f>
        <v/>
      </c>
      <c r="BR51" s="30" t="str">
        <f>IF(AND(BR$30,$O51),$E$30,"")</f>
        <v/>
      </c>
      <c r="BS51" s="53" t="str">
        <f>IF(AND(BS$30,$O51),$F$30,"")</f>
        <v/>
      </c>
      <c r="BT51" s="29" t="str">
        <f>IF(AND(BT$30,$O51),$C$30,"")</f>
        <v/>
      </c>
      <c r="BU51" s="30" t="str">
        <f>IF(AND(BU$30,$O51),$D$30,"")</f>
        <v/>
      </c>
      <c r="BV51" s="30" t="str">
        <f>IF(AND(BV$30,$O51),$E$30,"")</f>
        <v/>
      </c>
      <c r="BW51" s="53" t="str">
        <f>IF(AND(BW$30,$O51),$F$30,"")</f>
        <v/>
      </c>
      <c r="BX51" s="29" t="str">
        <f>IF(AND(BX$30,$O51),$C$30,"")</f>
        <v/>
      </c>
      <c r="BY51" s="30" t="str">
        <f>IF(AND(BY$30,$O51),$D$30,"")</f>
        <v/>
      </c>
      <c r="BZ51" s="30" t="str">
        <f>IF(AND(BZ$30,$O51),$E$30,"")</f>
        <v/>
      </c>
      <c r="CA51" s="53" t="str">
        <f>IF(AND(CA$30,$O51),$F$30,"")</f>
        <v/>
      </c>
      <c r="CB51" s="29" t="str">
        <f>IF(AND(CB$30,$O51),$C$30,"")</f>
        <v/>
      </c>
      <c r="CC51" s="30" t="str">
        <f>IF(AND(CC$30,$O51),$D$30,"")</f>
        <v/>
      </c>
      <c r="CD51" s="30" t="str">
        <f>IF(AND(CD$30,$O51),$E$30,"")</f>
        <v/>
      </c>
      <c r="CE51" s="53" t="str">
        <f>IF(AND(CE$30,$O51),$F$30,"")</f>
        <v/>
      </c>
    </row>
    <row r="52" spans="12:83">
      <c r="L52" s="87"/>
      <c r="M52" s="36" t="str">
        <f t="shared" si="20"/>
        <v>T</v>
      </c>
      <c r="O52" s="82">
        <f>BinAnd(N51,T)</f>
        <v>4</v>
      </c>
      <c r="P52" s="31" t="str">
        <f>IF(AND(P$30,$O52),$C$31,"")</f>
        <v/>
      </c>
      <c r="Q52" s="32" t="str">
        <f>IF(AND(Q$30,$O52),$D$31,"")</f>
        <v/>
      </c>
      <c r="R52" s="32" t="str">
        <f>IF(AND(R$30,$O52),$E$31,"")</f>
        <v/>
      </c>
      <c r="S52" s="54" t="str">
        <f>IF(AND(S$30,$O52),$F$31,"")</f>
        <v/>
      </c>
      <c r="T52" s="31" t="str">
        <f>IF(AND(T$30,$O52),$C$31,"")</f>
        <v/>
      </c>
      <c r="U52" s="32" t="str">
        <f>IF(AND(U$30,$O52),$D$31,"")</f>
        <v/>
      </c>
      <c r="V52" s="32" t="str">
        <f>IF(AND(V$30,$O52),$E$31,"")</f>
        <v/>
      </c>
      <c r="W52" s="54">
        <f>IF(AND(W$30,$O52),$F$31,"")</f>
        <v>7.4</v>
      </c>
      <c r="X52" s="31" t="str">
        <f>IF(AND(X$30,$O52),$C$31,"")</f>
        <v/>
      </c>
      <c r="Y52" s="32" t="str">
        <f>IF(AND(Y$30,$O52),$D$31,"")</f>
        <v/>
      </c>
      <c r="Z52" s="32">
        <f>IF(AND(Z$30,$O52),$E$31,"")</f>
        <v>7.7</v>
      </c>
      <c r="AA52" s="54" t="str">
        <f>IF(AND(AA$30,$O52),$F$31,"")</f>
        <v/>
      </c>
      <c r="AB52" s="31" t="str">
        <f>IF(AND(AB$30,$O52),$C$31,"")</f>
        <v/>
      </c>
      <c r="AC52" s="32" t="str">
        <f>IF(AND(AC$30,$O52),$D$31,"")</f>
        <v/>
      </c>
      <c r="AD52" s="32">
        <f>IF(AND(AD$30,$O52),$E$31,"")</f>
        <v>7.7</v>
      </c>
      <c r="AE52" s="54">
        <f>IF(AND(AE$30,$O52),$F$31,"")</f>
        <v>7.4</v>
      </c>
      <c r="AF52" s="31" t="str">
        <f>IF(AND(AF$30,$O52),$C$31,"")</f>
        <v/>
      </c>
      <c r="AG52" s="32">
        <f>IF(AND(AG$30,$O52),$D$31,"")</f>
        <v>8.4</v>
      </c>
      <c r="AH52" s="32" t="str">
        <f>IF(AND(AH$30,$O52),$E$31,"")</f>
        <v/>
      </c>
      <c r="AI52" s="54" t="str">
        <f>IF(AND(AI$30,$O52),$F$31,"")</f>
        <v/>
      </c>
      <c r="AJ52" s="31" t="str">
        <f>IF(AND(AJ$30,$O52),$C$31,"")</f>
        <v/>
      </c>
      <c r="AK52" s="32">
        <f>IF(AND(AK$30,$O52),$D$31,"")</f>
        <v>8.4</v>
      </c>
      <c r="AL52" s="32" t="str">
        <f>IF(AND(AL$30,$O52),$E$31,"")</f>
        <v/>
      </c>
      <c r="AM52" s="54">
        <f>IF(AND(AM$30,$O52),$F$31,"")</f>
        <v>7.4</v>
      </c>
      <c r="AN52" s="31" t="str">
        <f>IF(AND(AN$30,$O52),$C$31,"")</f>
        <v/>
      </c>
      <c r="AO52" s="32">
        <f>IF(AND(AO$30,$O52),$D$31,"")</f>
        <v>8.4</v>
      </c>
      <c r="AP52" s="32">
        <f>IF(AND(AP$30,$O52),$E$31,"")</f>
        <v>7.7</v>
      </c>
      <c r="AQ52" s="54" t="str">
        <f>IF(AND(AQ$30,$O52),$F$31,"")</f>
        <v/>
      </c>
      <c r="AR52" s="31" t="str">
        <f>IF(AND(AR$30,$O52),$C$31,"")</f>
        <v/>
      </c>
      <c r="AS52" s="32">
        <f>IF(AND(AS$30,$O52),$D$31,"")</f>
        <v>8.4</v>
      </c>
      <c r="AT52" s="32">
        <f>IF(AND(AT$30,$O52),$E$31,"")</f>
        <v>7.7</v>
      </c>
      <c r="AU52" s="54">
        <f>IF(AND(AU$30,$O52),$F$31,"")</f>
        <v>7.4</v>
      </c>
      <c r="AV52" s="31">
        <f>IF(AND(AV$30,$O52),$C$31,"")</f>
        <v>6.3</v>
      </c>
      <c r="AW52" s="32" t="str">
        <f>IF(AND(AW$30,$O52),$D$31,"")</f>
        <v/>
      </c>
      <c r="AX52" s="32" t="str">
        <f>IF(AND(AX$30,$O52),$E$31,"")</f>
        <v/>
      </c>
      <c r="AY52" s="54" t="str">
        <f>IF(AND(AY$30,$O52),$F$31,"")</f>
        <v/>
      </c>
      <c r="AZ52" s="31">
        <f>IF(AND(AZ$30,$O52),$C$31,"")</f>
        <v>6.3</v>
      </c>
      <c r="BA52" s="32" t="str">
        <f>IF(AND(BA$30,$O52),$D$31,"")</f>
        <v/>
      </c>
      <c r="BB52" s="32" t="str">
        <f>IF(AND(BB$30,$O52),$E$31,"")</f>
        <v/>
      </c>
      <c r="BC52" s="54">
        <f>IF(AND(BC$30,$O52),$F$31,"")</f>
        <v>7.4</v>
      </c>
      <c r="BD52" s="31">
        <f>IF(AND(BD$30,$O52),$C$31,"")</f>
        <v>6.3</v>
      </c>
      <c r="BE52" s="32" t="str">
        <f>IF(AND(BE$30,$O52),$D$31,"")</f>
        <v/>
      </c>
      <c r="BF52" s="32">
        <f>IF(AND(BF$30,$O52),$E$31,"")</f>
        <v>7.7</v>
      </c>
      <c r="BG52" s="54" t="str">
        <f>IF(AND(BG$30,$O52),$F$31,"")</f>
        <v/>
      </c>
      <c r="BH52" s="31">
        <f>IF(AND(BH$30,$O52),$C$31,"")</f>
        <v>6.3</v>
      </c>
      <c r="BI52" s="32" t="str">
        <f>IF(AND(BI$30,$O52),$D$31,"")</f>
        <v/>
      </c>
      <c r="BJ52" s="32">
        <f>IF(AND(BJ$30,$O52),$E$31,"")</f>
        <v>7.7</v>
      </c>
      <c r="BK52" s="54">
        <f>IF(AND(BK$30,$O52),$F$31,"")</f>
        <v>7.4</v>
      </c>
      <c r="BL52" s="31">
        <f>IF(AND(BL$30,$O52),$C$31,"")</f>
        <v>6.3</v>
      </c>
      <c r="BM52" s="32">
        <f>IF(AND(BM$30,$O52),$D$31,"")</f>
        <v>8.4</v>
      </c>
      <c r="BN52" s="32" t="str">
        <f>IF(AND(BN$30,$O52),$E$31,"")</f>
        <v/>
      </c>
      <c r="BO52" s="54" t="str">
        <f>IF(AND(BO$30,$O52),$F$31,"")</f>
        <v/>
      </c>
      <c r="BP52" s="31">
        <f>IF(AND(BP$30,$O52),$C$31,"")</f>
        <v>6.3</v>
      </c>
      <c r="BQ52" s="32">
        <f>IF(AND(BQ$30,$O52),$D$31,"")</f>
        <v>8.4</v>
      </c>
      <c r="BR52" s="32" t="str">
        <f>IF(AND(BR$30,$O52),$E$31,"")</f>
        <v/>
      </c>
      <c r="BS52" s="54">
        <f>IF(AND(BS$30,$O52),$F$31,"")</f>
        <v>7.4</v>
      </c>
      <c r="BT52" s="31">
        <f>IF(AND(BT$30,$O52),$C$31,"")</f>
        <v>6.3</v>
      </c>
      <c r="BU52" s="32">
        <f>IF(AND(BU$30,$O52),$D$31,"")</f>
        <v>8.4</v>
      </c>
      <c r="BV52" s="32">
        <f>IF(AND(BV$30,$O52),$E$31,"")</f>
        <v>7.7</v>
      </c>
      <c r="BW52" s="54" t="str">
        <f>IF(AND(BW$30,$O52),$F$31,"")</f>
        <v/>
      </c>
      <c r="BX52" s="31">
        <f>IF(AND(BX$30,$O52),$C$31,"")</f>
        <v>6.3</v>
      </c>
      <c r="BY52" s="32">
        <f>IF(AND(BY$30,$O52),$D$31,"")</f>
        <v>8.4</v>
      </c>
      <c r="BZ52" s="32">
        <f>IF(AND(BZ$30,$O52),$E$31,"")</f>
        <v>7.7</v>
      </c>
      <c r="CA52" s="54">
        <f>IF(AND(CA$30,$O52),$F$31,"")</f>
        <v>7.4</v>
      </c>
      <c r="CB52" s="31" t="str">
        <f>IF(AND(CB$30,$O52),$C$31,"")</f>
        <v/>
      </c>
      <c r="CC52" s="32" t="str">
        <f>IF(AND(CC$30,$O52),$D$31,"")</f>
        <v/>
      </c>
      <c r="CD52" s="32" t="str">
        <f>IF(AND(CD$30,$O52),$E$31,"")</f>
        <v/>
      </c>
      <c r="CE52" s="54" t="str">
        <f>IF(AND(CE$30,$O52),$F$31,"")</f>
        <v/>
      </c>
    </row>
    <row r="53" spans="12:83">
      <c r="L53" s="87"/>
      <c r="M53" s="36" t="str">
        <f t="shared" si="20"/>
        <v>-</v>
      </c>
      <c r="O53" s="82">
        <f>BinAnd(N51,Ce)</f>
        <v>0</v>
      </c>
      <c r="P53" s="31" t="str">
        <f>IF(AND(P$30,$O53),$C$32,"")</f>
        <v/>
      </c>
      <c r="Q53" s="32" t="str">
        <f>IF(AND(Q$30,$O53),$D$32,"")</f>
        <v/>
      </c>
      <c r="R53" s="32" t="str">
        <f>IF(AND(R$30,$O53),$E$32,"")</f>
        <v/>
      </c>
      <c r="S53" s="54" t="str">
        <f>IF(AND(S$30,$O53),$F$32,"")</f>
        <v/>
      </c>
      <c r="T53" s="31" t="str">
        <f>IF(AND(T$30,$O53),$C$32,"")</f>
        <v/>
      </c>
      <c r="U53" s="32" t="str">
        <f>IF(AND(U$30,$O53),$D$32,"")</f>
        <v/>
      </c>
      <c r="V53" s="32" t="str">
        <f>IF(AND(V$30,$O53),$E$32,"")</f>
        <v/>
      </c>
      <c r="W53" s="54" t="str">
        <f>IF(AND(W$30,$O53),$F$32,"")</f>
        <v/>
      </c>
      <c r="X53" s="31" t="str">
        <f>IF(AND(X$30,$O53),$C$32,"")</f>
        <v/>
      </c>
      <c r="Y53" s="32" t="str">
        <f>IF(AND(Y$30,$O53),$D$32,"")</f>
        <v/>
      </c>
      <c r="Z53" s="32" t="str">
        <f>IF(AND(Z$30,$O53),$E$32,"")</f>
        <v/>
      </c>
      <c r="AA53" s="54" t="str">
        <f>IF(AND(AA$30,$O53),$F$32,"")</f>
        <v/>
      </c>
      <c r="AB53" s="31" t="str">
        <f>IF(AND(AB$30,$O53),$C$32,"")</f>
        <v/>
      </c>
      <c r="AC53" s="32" t="str">
        <f>IF(AND(AC$30,$O53),$D$32,"")</f>
        <v/>
      </c>
      <c r="AD53" s="32" t="str">
        <f>IF(AND(AD$30,$O53),$E$32,"")</f>
        <v/>
      </c>
      <c r="AE53" s="54" t="str">
        <f>IF(AND(AE$30,$O53),$F$32,"")</f>
        <v/>
      </c>
      <c r="AF53" s="31" t="str">
        <f>IF(AND(AF$30,$O53),$C$32,"")</f>
        <v/>
      </c>
      <c r="AG53" s="32" t="str">
        <f>IF(AND(AG$30,$O53),$D$32,"")</f>
        <v/>
      </c>
      <c r="AH53" s="32" t="str">
        <f>IF(AND(AH$30,$O53),$E$32,"")</f>
        <v/>
      </c>
      <c r="AI53" s="54" t="str">
        <f>IF(AND(AI$30,$O53),$F$32,"")</f>
        <v/>
      </c>
      <c r="AJ53" s="31" t="str">
        <f>IF(AND(AJ$30,$O53),$C$32,"")</f>
        <v/>
      </c>
      <c r="AK53" s="32" t="str">
        <f>IF(AND(AK$30,$O53),$D$32,"")</f>
        <v/>
      </c>
      <c r="AL53" s="32" t="str">
        <f>IF(AND(AL$30,$O53),$E$32,"")</f>
        <v/>
      </c>
      <c r="AM53" s="54" t="str">
        <f>IF(AND(AM$30,$O53),$F$32,"")</f>
        <v/>
      </c>
      <c r="AN53" s="31" t="str">
        <f>IF(AND(AN$30,$O53),$C$32,"")</f>
        <v/>
      </c>
      <c r="AO53" s="32" t="str">
        <f>IF(AND(AO$30,$O53),$D$32,"")</f>
        <v/>
      </c>
      <c r="AP53" s="32" t="str">
        <f>IF(AND(AP$30,$O53),$E$32,"")</f>
        <v/>
      </c>
      <c r="AQ53" s="54" t="str">
        <f>IF(AND(AQ$30,$O53),$F$32,"")</f>
        <v/>
      </c>
      <c r="AR53" s="31" t="str">
        <f>IF(AND(AR$30,$O53),$C$32,"")</f>
        <v/>
      </c>
      <c r="AS53" s="32" t="str">
        <f>IF(AND(AS$30,$O53),$D$32,"")</f>
        <v/>
      </c>
      <c r="AT53" s="32" t="str">
        <f>IF(AND(AT$30,$O53),$E$32,"")</f>
        <v/>
      </c>
      <c r="AU53" s="54" t="str">
        <f>IF(AND(AU$30,$O53),$F$32,"")</f>
        <v/>
      </c>
      <c r="AV53" s="31" t="str">
        <f>IF(AND(AV$30,$O53),$C$32,"")</f>
        <v/>
      </c>
      <c r="AW53" s="32" t="str">
        <f>IF(AND(AW$30,$O53),$D$32,"")</f>
        <v/>
      </c>
      <c r="AX53" s="32" t="str">
        <f>IF(AND(AX$30,$O53),$E$32,"")</f>
        <v/>
      </c>
      <c r="AY53" s="54" t="str">
        <f>IF(AND(AY$30,$O53),$F$32,"")</f>
        <v/>
      </c>
      <c r="AZ53" s="31" t="str">
        <f>IF(AND(AZ$30,$O53),$C$32,"")</f>
        <v/>
      </c>
      <c r="BA53" s="32" t="str">
        <f>IF(AND(BA$30,$O53),$D$32,"")</f>
        <v/>
      </c>
      <c r="BB53" s="32" t="str">
        <f>IF(AND(BB$30,$O53),$E$32,"")</f>
        <v/>
      </c>
      <c r="BC53" s="54" t="str">
        <f>IF(AND(BC$30,$O53),$F$32,"")</f>
        <v/>
      </c>
      <c r="BD53" s="31" t="str">
        <f>IF(AND(BD$30,$O53),$C$32,"")</f>
        <v/>
      </c>
      <c r="BE53" s="32" t="str">
        <f>IF(AND(BE$30,$O53),$D$32,"")</f>
        <v/>
      </c>
      <c r="BF53" s="32" t="str">
        <f>IF(AND(BF$30,$O53),$E$32,"")</f>
        <v/>
      </c>
      <c r="BG53" s="54" t="str">
        <f>IF(AND(BG$30,$O53),$F$32,"")</f>
        <v/>
      </c>
      <c r="BH53" s="31" t="str">
        <f>IF(AND(BH$30,$O53),$C$32,"")</f>
        <v/>
      </c>
      <c r="BI53" s="32" t="str">
        <f>IF(AND(BI$30,$O53),$D$32,"")</f>
        <v/>
      </c>
      <c r="BJ53" s="32" t="str">
        <f>IF(AND(BJ$30,$O53),$E$32,"")</f>
        <v/>
      </c>
      <c r="BK53" s="54" t="str">
        <f>IF(AND(BK$30,$O53),$F$32,"")</f>
        <v/>
      </c>
      <c r="BL53" s="31" t="str">
        <f>IF(AND(BL$30,$O53),$C$32,"")</f>
        <v/>
      </c>
      <c r="BM53" s="32" t="str">
        <f>IF(AND(BM$30,$O53),$D$32,"")</f>
        <v/>
      </c>
      <c r="BN53" s="32" t="str">
        <f>IF(AND(BN$30,$O53),$E$32,"")</f>
        <v/>
      </c>
      <c r="BO53" s="54" t="str">
        <f>IF(AND(BO$30,$O53),$F$32,"")</f>
        <v/>
      </c>
      <c r="BP53" s="31" t="str">
        <f>IF(AND(BP$30,$O53),$C$32,"")</f>
        <v/>
      </c>
      <c r="BQ53" s="32" t="str">
        <f>IF(AND(BQ$30,$O53),$D$32,"")</f>
        <v/>
      </c>
      <c r="BR53" s="32" t="str">
        <f>IF(AND(BR$30,$O53),$E$32,"")</f>
        <v/>
      </c>
      <c r="BS53" s="54" t="str">
        <f>IF(AND(BS$30,$O53),$F$32,"")</f>
        <v/>
      </c>
      <c r="BT53" s="31" t="str">
        <f>IF(AND(BT$30,$O53),$C$32,"")</f>
        <v/>
      </c>
      <c r="BU53" s="32" t="str">
        <f>IF(AND(BU$30,$O53),$D$32,"")</f>
        <v/>
      </c>
      <c r="BV53" s="32" t="str">
        <f>IF(AND(BV$30,$O53),$E$32,"")</f>
        <v/>
      </c>
      <c r="BW53" s="54" t="str">
        <f>IF(AND(BW$30,$O53),$F$32,"")</f>
        <v/>
      </c>
      <c r="BX53" s="31" t="str">
        <f>IF(AND(BX$30,$O53),$C$32,"")</f>
        <v/>
      </c>
      <c r="BY53" s="32" t="str">
        <f>IF(AND(BY$30,$O53),$D$32,"")</f>
        <v/>
      </c>
      <c r="BZ53" s="32" t="str">
        <f>IF(AND(BZ$30,$O53),$E$32,"")</f>
        <v/>
      </c>
      <c r="CA53" s="54" t="str">
        <f>IF(AND(CA$30,$O53),$F$32,"")</f>
        <v/>
      </c>
      <c r="CB53" s="31" t="str">
        <f>IF(AND(CB$30,$O53),$C$32,"")</f>
        <v/>
      </c>
      <c r="CC53" s="32" t="str">
        <f>IF(AND(CC$30,$O53),$D$32,"")</f>
        <v/>
      </c>
      <c r="CD53" s="32" t="str">
        <f>IF(AND(CD$30,$O53),$E$32,"")</f>
        <v/>
      </c>
      <c r="CE53" s="54" t="str">
        <f>IF(AND(CE$30,$O53),$F$32,"")</f>
        <v/>
      </c>
    </row>
    <row r="54" spans="12:83" ht="15.75" thickBot="1">
      <c r="L54" s="86"/>
      <c r="M54" s="37" t="str">
        <f t="shared" si="20"/>
        <v>G</v>
      </c>
      <c r="O54" s="43">
        <f>BinAnd(N51,G)</f>
        <v>1</v>
      </c>
      <c r="P54" s="55" t="str">
        <f>IF(AND(P$30,$O54),$C$33,"")</f>
        <v/>
      </c>
      <c r="Q54" s="56" t="str">
        <f>IF(AND(Q$30,$O54),$D$33,"")</f>
        <v/>
      </c>
      <c r="R54" s="56" t="str">
        <f>IF(AND(R$30,$O54),$E$33,"")</f>
        <v/>
      </c>
      <c r="S54" s="57" t="str">
        <f>IF(AND(S$30,$O54),$F$33,"")</f>
        <v/>
      </c>
      <c r="T54" s="55" t="str">
        <f>IF(AND(T$30,$O54),$C$33,"")</f>
        <v/>
      </c>
      <c r="U54" s="56" t="str">
        <f>IF(AND(U$30,$O54),$D$33,"")</f>
        <v/>
      </c>
      <c r="V54" s="56" t="str">
        <f>IF(AND(V$30,$O54),$E$33,"")</f>
        <v/>
      </c>
      <c r="W54" s="57">
        <f>IF(AND(W$30,$O54),$F$33,"")</f>
        <v>6.7</v>
      </c>
      <c r="X54" s="55" t="str">
        <f>IF(AND(X$30,$O54),$C$33,"")</f>
        <v/>
      </c>
      <c r="Y54" s="56" t="str">
        <f>IF(AND(Y$30,$O54),$D$33,"")</f>
        <v/>
      </c>
      <c r="Z54" s="56">
        <f>IF(AND(Z$30,$O54),$E$33,"")</f>
        <v>11.1</v>
      </c>
      <c r="AA54" s="57" t="str">
        <f>IF(AND(AA$30,$O54),$F$33,"")</f>
        <v/>
      </c>
      <c r="AB54" s="55" t="str">
        <f>IF(AND(AB$30,$O54),$C$33,"")</f>
        <v/>
      </c>
      <c r="AC54" s="56" t="str">
        <f>IF(AND(AC$30,$O54),$D$33,"")</f>
        <v/>
      </c>
      <c r="AD54" s="56">
        <f>IF(AND(AD$30,$O54),$E$33,"")</f>
        <v>11.1</v>
      </c>
      <c r="AE54" s="57">
        <f>IF(AND(AE$30,$O54),$F$33,"")</f>
        <v>6.7</v>
      </c>
      <c r="AF54" s="55" t="str">
        <f>IF(AND(AF$30,$O54),$C$33,"")</f>
        <v/>
      </c>
      <c r="AG54" s="56">
        <f>IF(AND(AG$30,$O54),$D$33,"")</f>
        <v>8.6</v>
      </c>
      <c r="AH54" s="56" t="str">
        <f>IF(AND(AH$30,$O54),$E$33,"")</f>
        <v/>
      </c>
      <c r="AI54" s="57" t="str">
        <f>IF(AND(AI$30,$O54),$F$33,"")</f>
        <v/>
      </c>
      <c r="AJ54" s="55" t="str">
        <f>IF(AND(AJ$30,$O54),$C$33,"")</f>
        <v/>
      </c>
      <c r="AK54" s="56">
        <f>IF(AND(AK$30,$O54),$D$33,"")</f>
        <v>8.6</v>
      </c>
      <c r="AL54" s="56" t="str">
        <f>IF(AND(AL$30,$O54),$E$33,"")</f>
        <v/>
      </c>
      <c r="AM54" s="57">
        <f>IF(AND(AM$30,$O54),$F$33,"")</f>
        <v>6.7</v>
      </c>
      <c r="AN54" s="55" t="str">
        <f>IF(AND(AN$30,$O54),$C$33,"")</f>
        <v/>
      </c>
      <c r="AO54" s="56">
        <f>IF(AND(AO$30,$O54),$D$33,"")</f>
        <v>8.6</v>
      </c>
      <c r="AP54" s="56">
        <f>IF(AND(AP$30,$O54),$E$33,"")</f>
        <v>11.1</v>
      </c>
      <c r="AQ54" s="57" t="str">
        <f>IF(AND(AQ$30,$O54),$F$33,"")</f>
        <v/>
      </c>
      <c r="AR54" s="55" t="str">
        <f>IF(AND(AR$30,$O54),$C$33,"")</f>
        <v/>
      </c>
      <c r="AS54" s="56">
        <f>IF(AND(AS$30,$O54),$D$33,"")</f>
        <v>8.6</v>
      </c>
      <c r="AT54" s="56">
        <f>IF(AND(AT$30,$O54),$E$33,"")</f>
        <v>11.1</v>
      </c>
      <c r="AU54" s="57">
        <f>IF(AND(AU$30,$O54),$F$33,"")</f>
        <v>6.7</v>
      </c>
      <c r="AV54" s="55">
        <f>IF(AND(AV$30,$O54),$C$33,"")</f>
        <v>7.7</v>
      </c>
      <c r="AW54" s="56" t="str">
        <f>IF(AND(AW$30,$O54),$D$33,"")</f>
        <v/>
      </c>
      <c r="AX54" s="56" t="str">
        <f>IF(AND(AX$30,$O54),$E$33,"")</f>
        <v/>
      </c>
      <c r="AY54" s="57" t="str">
        <f>IF(AND(AY$30,$O54),$F$33,"")</f>
        <v/>
      </c>
      <c r="AZ54" s="55">
        <f>IF(AND(AZ$30,$O54),$C$33,"")</f>
        <v>7.7</v>
      </c>
      <c r="BA54" s="56" t="str">
        <f>IF(AND(BA$30,$O54),$D$33,"")</f>
        <v/>
      </c>
      <c r="BB54" s="56" t="str">
        <f>IF(AND(BB$30,$O54),$E$33,"")</f>
        <v/>
      </c>
      <c r="BC54" s="57">
        <f>IF(AND(BC$30,$O54),$F$33,"")</f>
        <v>6.7</v>
      </c>
      <c r="BD54" s="55">
        <f>IF(AND(BD$30,$O54),$C$33,"")</f>
        <v>7.7</v>
      </c>
      <c r="BE54" s="56" t="str">
        <f>IF(AND(BE$30,$O54),$D$33,"")</f>
        <v/>
      </c>
      <c r="BF54" s="56">
        <f>IF(AND(BF$30,$O54),$E$33,"")</f>
        <v>11.1</v>
      </c>
      <c r="BG54" s="57" t="str">
        <f>IF(AND(BG$30,$O54),$F$33,"")</f>
        <v/>
      </c>
      <c r="BH54" s="55">
        <f>IF(AND(BH$30,$O54),$C$33,"")</f>
        <v>7.7</v>
      </c>
      <c r="BI54" s="56" t="str">
        <f>IF(AND(BI$30,$O54),$D$33,"")</f>
        <v/>
      </c>
      <c r="BJ54" s="56">
        <f>IF(AND(BJ$30,$O54),$E$33,"")</f>
        <v>11.1</v>
      </c>
      <c r="BK54" s="57">
        <f>IF(AND(BK$30,$O54),$F$33,"")</f>
        <v>6.7</v>
      </c>
      <c r="BL54" s="55">
        <f>IF(AND(BL$30,$O54),$C$33,"")</f>
        <v>7.7</v>
      </c>
      <c r="BM54" s="56">
        <f>IF(AND(BM$30,$O54),$D$33,"")</f>
        <v>8.6</v>
      </c>
      <c r="BN54" s="56" t="str">
        <f>IF(AND(BN$30,$O54),$E$33,"")</f>
        <v/>
      </c>
      <c r="BO54" s="57" t="str">
        <f>IF(AND(BO$30,$O54),$F$33,"")</f>
        <v/>
      </c>
      <c r="BP54" s="55">
        <f>IF(AND(BP$30,$O54),$C$33,"")</f>
        <v>7.7</v>
      </c>
      <c r="BQ54" s="56">
        <f>IF(AND(BQ$30,$O54),$D$33,"")</f>
        <v>8.6</v>
      </c>
      <c r="BR54" s="56" t="str">
        <f>IF(AND(BR$30,$O54),$E$33,"")</f>
        <v/>
      </c>
      <c r="BS54" s="57">
        <f>IF(AND(BS$30,$O54),$F$33,"")</f>
        <v>6.7</v>
      </c>
      <c r="BT54" s="55">
        <f>IF(AND(BT$30,$O54),$C$33,"")</f>
        <v>7.7</v>
      </c>
      <c r="BU54" s="56">
        <f>IF(AND(BU$30,$O54),$D$33,"")</f>
        <v>8.6</v>
      </c>
      <c r="BV54" s="56">
        <f>IF(AND(BV$30,$O54),$E$33,"")</f>
        <v>11.1</v>
      </c>
      <c r="BW54" s="57" t="str">
        <f>IF(AND(BW$30,$O54),$F$33,"")</f>
        <v/>
      </c>
      <c r="BX54" s="55">
        <f>IF(AND(BX$30,$O54),$C$33,"")</f>
        <v>7.7</v>
      </c>
      <c r="BY54" s="56">
        <f>IF(AND(BY$30,$O54),$D$33,"")</f>
        <v>8.6</v>
      </c>
      <c r="BZ54" s="56">
        <f>IF(AND(BZ$30,$O54),$E$33,"")</f>
        <v>11.1</v>
      </c>
      <c r="CA54" s="57">
        <f>IF(AND(CA$30,$O54),$F$33,"")</f>
        <v>6.7</v>
      </c>
      <c r="CB54" s="55" t="str">
        <f>IF(AND(CB$30,$O54),$C$33,"")</f>
        <v/>
      </c>
      <c r="CC54" s="56" t="str">
        <f>IF(AND(CC$30,$O54),$D$33,"")</f>
        <v/>
      </c>
      <c r="CD54" s="56" t="str">
        <f>IF(AND(CD$30,$O54),$E$33,"")</f>
        <v/>
      </c>
      <c r="CE54" s="57" t="str">
        <f>IF(AND(CE$30,$O54),$F$33,"")</f>
        <v/>
      </c>
    </row>
    <row r="55" spans="12:83">
      <c r="L55" s="83" t="str">
        <f>MID(CodDegElegir,N55+1,1)</f>
        <v>Y</v>
      </c>
      <c r="M55" s="85" t="str">
        <f t="shared" si="20"/>
        <v>-</v>
      </c>
      <c r="N55">
        <v>6</v>
      </c>
      <c r="O55" s="81">
        <f>BinAnd(N55,A)</f>
        <v>0</v>
      </c>
      <c r="P55" s="29" t="str">
        <f>IF(AND(P$30,$O55),$C$30,"")</f>
        <v/>
      </c>
      <c r="Q55" s="30" t="str">
        <f>IF(AND(Q$30,$O55),$D$30,"")</f>
        <v/>
      </c>
      <c r="R55" s="30" t="str">
        <f>IF(AND(R$30,$O55),$E$30,"")</f>
        <v/>
      </c>
      <c r="S55" s="53" t="str">
        <f>IF(AND(S$30,$O55),$F$30,"")</f>
        <v/>
      </c>
      <c r="T55" s="29" t="str">
        <f>IF(AND(T$30,$O55),$C$30,"")</f>
        <v/>
      </c>
      <c r="U55" s="30" t="str">
        <f>IF(AND(U$30,$O55),$D$30,"")</f>
        <v/>
      </c>
      <c r="V55" s="30" t="str">
        <f>IF(AND(V$30,$O55),$E$30,"")</f>
        <v/>
      </c>
      <c r="W55" s="53" t="str">
        <f>IF(AND(W$30,$O55),$F$30,"")</f>
        <v/>
      </c>
      <c r="X55" s="29" t="str">
        <f>IF(AND(X$30,$O55),$C$30,"")</f>
        <v/>
      </c>
      <c r="Y55" s="30" t="str">
        <f>IF(AND(Y$30,$O55),$D$30,"")</f>
        <v/>
      </c>
      <c r="Z55" s="30" t="str">
        <f>IF(AND(Z$30,$O55),$E$30,"")</f>
        <v/>
      </c>
      <c r="AA55" s="53" t="str">
        <f>IF(AND(AA$30,$O55),$F$30,"")</f>
        <v/>
      </c>
      <c r="AB55" s="29" t="str">
        <f>IF(AND(AB$30,$O55),$C$30,"")</f>
        <v/>
      </c>
      <c r="AC55" s="30" t="str">
        <f>IF(AND(AC$30,$O55),$D$30,"")</f>
        <v/>
      </c>
      <c r="AD55" s="30" t="str">
        <f>IF(AND(AD$30,$O55),$E$30,"")</f>
        <v/>
      </c>
      <c r="AE55" s="53" t="str">
        <f>IF(AND(AE$30,$O55),$F$30,"")</f>
        <v/>
      </c>
      <c r="AF55" s="29" t="str">
        <f>IF(AND(AF$30,$O55),$C$30,"")</f>
        <v/>
      </c>
      <c r="AG55" s="30" t="str">
        <f>IF(AND(AG$30,$O55),$D$30,"")</f>
        <v/>
      </c>
      <c r="AH55" s="30" t="str">
        <f>IF(AND(AH$30,$O55),$E$30,"")</f>
        <v/>
      </c>
      <c r="AI55" s="53" t="str">
        <f>IF(AND(AI$30,$O55),$F$30,"")</f>
        <v/>
      </c>
      <c r="AJ55" s="29" t="str">
        <f>IF(AND(AJ$30,$O55),$C$30,"")</f>
        <v/>
      </c>
      <c r="AK55" s="30" t="str">
        <f>IF(AND(AK$30,$O55),$D$30,"")</f>
        <v/>
      </c>
      <c r="AL55" s="30" t="str">
        <f>IF(AND(AL$30,$O55),$E$30,"")</f>
        <v/>
      </c>
      <c r="AM55" s="53" t="str">
        <f>IF(AND(AM$30,$O55),$F$30,"")</f>
        <v/>
      </c>
      <c r="AN55" s="29" t="str">
        <f>IF(AND(AN$30,$O55),$C$30,"")</f>
        <v/>
      </c>
      <c r="AO55" s="30" t="str">
        <f>IF(AND(AO$30,$O55),$D$30,"")</f>
        <v/>
      </c>
      <c r="AP55" s="30" t="str">
        <f>IF(AND(AP$30,$O55),$E$30,"")</f>
        <v/>
      </c>
      <c r="AQ55" s="53" t="str">
        <f>IF(AND(AQ$30,$O55),$F$30,"")</f>
        <v/>
      </c>
      <c r="AR55" s="29" t="str">
        <f>IF(AND(AR$30,$O55),$C$30,"")</f>
        <v/>
      </c>
      <c r="AS55" s="30" t="str">
        <f>IF(AND(AS$30,$O55),$D$30,"")</f>
        <v/>
      </c>
      <c r="AT55" s="30" t="str">
        <f>IF(AND(AT$30,$O55),$E$30,"")</f>
        <v/>
      </c>
      <c r="AU55" s="53" t="str">
        <f>IF(AND(AU$30,$O55),$F$30,"")</f>
        <v/>
      </c>
      <c r="AV55" s="29" t="str">
        <f>IF(AND(AV$30,$O55),$C$30,"")</f>
        <v/>
      </c>
      <c r="AW55" s="30" t="str">
        <f>IF(AND(AW$30,$O55),$D$30,"")</f>
        <v/>
      </c>
      <c r="AX55" s="30" t="str">
        <f>IF(AND(AX$30,$O55),$E$30,"")</f>
        <v/>
      </c>
      <c r="AY55" s="53" t="str">
        <f>IF(AND(AY$30,$O55),$F$30,"")</f>
        <v/>
      </c>
      <c r="AZ55" s="29" t="str">
        <f>IF(AND(AZ$30,$O55),$C$30,"")</f>
        <v/>
      </c>
      <c r="BA55" s="30" t="str">
        <f>IF(AND(BA$30,$O55),$D$30,"")</f>
        <v/>
      </c>
      <c r="BB55" s="30" t="str">
        <f>IF(AND(BB$30,$O55),$E$30,"")</f>
        <v/>
      </c>
      <c r="BC55" s="53" t="str">
        <f>IF(AND(BC$30,$O55),$F$30,"")</f>
        <v/>
      </c>
      <c r="BD55" s="29" t="str">
        <f>IF(AND(BD$30,$O55),$C$30,"")</f>
        <v/>
      </c>
      <c r="BE55" s="30" t="str">
        <f>IF(AND(BE$30,$O55),$D$30,"")</f>
        <v/>
      </c>
      <c r="BF55" s="30" t="str">
        <f>IF(AND(BF$30,$O55),$E$30,"")</f>
        <v/>
      </c>
      <c r="BG55" s="53" t="str">
        <f>IF(AND(BG$30,$O55),$F$30,"")</f>
        <v/>
      </c>
      <c r="BH55" s="29" t="str">
        <f>IF(AND(BH$30,$O55),$C$30,"")</f>
        <v/>
      </c>
      <c r="BI55" s="30" t="str">
        <f>IF(AND(BI$30,$O55),$D$30,"")</f>
        <v/>
      </c>
      <c r="BJ55" s="30" t="str">
        <f>IF(AND(BJ$30,$O55),$E$30,"")</f>
        <v/>
      </c>
      <c r="BK55" s="53" t="str">
        <f>IF(AND(BK$30,$O55),$F$30,"")</f>
        <v/>
      </c>
      <c r="BL55" s="29" t="str">
        <f>IF(AND(BL$30,$O55),$C$30,"")</f>
        <v/>
      </c>
      <c r="BM55" s="30" t="str">
        <f>IF(AND(BM$30,$O55),$D$30,"")</f>
        <v/>
      </c>
      <c r="BN55" s="30" t="str">
        <f>IF(AND(BN$30,$O55),$E$30,"")</f>
        <v/>
      </c>
      <c r="BO55" s="53" t="str">
        <f>IF(AND(BO$30,$O55),$F$30,"")</f>
        <v/>
      </c>
      <c r="BP55" s="29" t="str">
        <f>IF(AND(BP$30,$O55),$C$30,"")</f>
        <v/>
      </c>
      <c r="BQ55" s="30" t="str">
        <f>IF(AND(BQ$30,$O55),$D$30,"")</f>
        <v/>
      </c>
      <c r="BR55" s="30" t="str">
        <f>IF(AND(BR$30,$O55),$E$30,"")</f>
        <v/>
      </c>
      <c r="BS55" s="53" t="str">
        <f>IF(AND(BS$30,$O55),$F$30,"")</f>
        <v/>
      </c>
      <c r="BT55" s="29" t="str">
        <f>IF(AND(BT$30,$O55),$C$30,"")</f>
        <v/>
      </c>
      <c r="BU55" s="30" t="str">
        <f>IF(AND(BU$30,$O55),$D$30,"")</f>
        <v/>
      </c>
      <c r="BV55" s="30" t="str">
        <f>IF(AND(BV$30,$O55),$E$30,"")</f>
        <v/>
      </c>
      <c r="BW55" s="53" t="str">
        <f>IF(AND(BW$30,$O55),$F$30,"")</f>
        <v/>
      </c>
      <c r="BX55" s="29" t="str">
        <f>IF(AND(BX$30,$O55),$C$30,"")</f>
        <v/>
      </c>
      <c r="BY55" s="30" t="str">
        <f>IF(AND(BY$30,$O55),$D$30,"")</f>
        <v/>
      </c>
      <c r="BZ55" s="30" t="str">
        <f>IF(AND(BZ$30,$O55),$E$30,"")</f>
        <v/>
      </c>
      <c r="CA55" s="53" t="str">
        <f>IF(AND(CA$30,$O55),$F$30,"")</f>
        <v/>
      </c>
      <c r="CB55" s="29" t="str">
        <f>IF(AND(CB$30,$O55),$C$30,"")</f>
        <v/>
      </c>
      <c r="CC55" s="30" t="str">
        <f>IF(AND(CC$30,$O55),$D$30,"")</f>
        <v/>
      </c>
      <c r="CD55" s="30" t="str">
        <f>IF(AND(CD$30,$O55),$E$30,"")</f>
        <v/>
      </c>
      <c r="CE55" s="53" t="str">
        <f>IF(AND(CE$30,$O55),$F$30,"")</f>
        <v/>
      </c>
    </row>
    <row r="56" spans="12:83">
      <c r="L56" s="87"/>
      <c r="M56" s="36" t="str">
        <f t="shared" si="20"/>
        <v>T</v>
      </c>
      <c r="O56" s="82">
        <f>BinAnd(N55,T)</f>
        <v>4</v>
      </c>
      <c r="P56" s="31" t="str">
        <f>IF(AND(P$30,$O56),$C$31,"")</f>
        <v/>
      </c>
      <c r="Q56" s="32" t="str">
        <f>IF(AND(Q$30,$O56),$D$31,"")</f>
        <v/>
      </c>
      <c r="R56" s="32" t="str">
        <f>IF(AND(R$30,$O56),$E$31,"")</f>
        <v/>
      </c>
      <c r="S56" s="54" t="str">
        <f>IF(AND(S$30,$O56),$F$31,"")</f>
        <v/>
      </c>
      <c r="T56" s="31" t="str">
        <f>IF(AND(T$30,$O56),$C$31,"")</f>
        <v/>
      </c>
      <c r="U56" s="32" t="str">
        <f>IF(AND(U$30,$O56),$D$31,"")</f>
        <v/>
      </c>
      <c r="V56" s="32" t="str">
        <f>IF(AND(V$30,$O56),$E$31,"")</f>
        <v/>
      </c>
      <c r="W56" s="54">
        <f>IF(AND(W$30,$O56),$F$31,"")</f>
        <v>7.4</v>
      </c>
      <c r="X56" s="31" t="str">
        <f>IF(AND(X$30,$O56),$C$31,"")</f>
        <v/>
      </c>
      <c r="Y56" s="32" t="str">
        <f>IF(AND(Y$30,$O56),$D$31,"")</f>
        <v/>
      </c>
      <c r="Z56" s="32">
        <f>IF(AND(Z$30,$O56),$E$31,"")</f>
        <v>7.7</v>
      </c>
      <c r="AA56" s="54" t="str">
        <f>IF(AND(AA$30,$O56),$F$31,"")</f>
        <v/>
      </c>
      <c r="AB56" s="31" t="str">
        <f>IF(AND(AB$30,$O56),$C$31,"")</f>
        <v/>
      </c>
      <c r="AC56" s="32" t="str">
        <f>IF(AND(AC$30,$O56),$D$31,"")</f>
        <v/>
      </c>
      <c r="AD56" s="32">
        <f>IF(AND(AD$30,$O56),$E$31,"")</f>
        <v>7.7</v>
      </c>
      <c r="AE56" s="54">
        <f>IF(AND(AE$30,$O56),$F$31,"")</f>
        <v>7.4</v>
      </c>
      <c r="AF56" s="31" t="str">
        <f>IF(AND(AF$30,$O56),$C$31,"")</f>
        <v/>
      </c>
      <c r="AG56" s="32">
        <f>IF(AND(AG$30,$O56),$D$31,"")</f>
        <v>8.4</v>
      </c>
      <c r="AH56" s="32" t="str">
        <f>IF(AND(AH$30,$O56),$E$31,"")</f>
        <v/>
      </c>
      <c r="AI56" s="54" t="str">
        <f>IF(AND(AI$30,$O56),$F$31,"")</f>
        <v/>
      </c>
      <c r="AJ56" s="31" t="str">
        <f>IF(AND(AJ$30,$O56),$C$31,"")</f>
        <v/>
      </c>
      <c r="AK56" s="32">
        <f>IF(AND(AK$30,$O56),$D$31,"")</f>
        <v>8.4</v>
      </c>
      <c r="AL56" s="32" t="str">
        <f>IF(AND(AL$30,$O56),$E$31,"")</f>
        <v/>
      </c>
      <c r="AM56" s="54">
        <f>IF(AND(AM$30,$O56),$F$31,"")</f>
        <v>7.4</v>
      </c>
      <c r="AN56" s="31" t="str">
        <f>IF(AND(AN$30,$O56),$C$31,"")</f>
        <v/>
      </c>
      <c r="AO56" s="32">
        <f>IF(AND(AO$30,$O56),$D$31,"")</f>
        <v>8.4</v>
      </c>
      <c r="AP56" s="32">
        <f>IF(AND(AP$30,$O56),$E$31,"")</f>
        <v>7.7</v>
      </c>
      <c r="AQ56" s="54" t="str">
        <f>IF(AND(AQ$30,$O56),$F$31,"")</f>
        <v/>
      </c>
      <c r="AR56" s="31" t="str">
        <f>IF(AND(AR$30,$O56),$C$31,"")</f>
        <v/>
      </c>
      <c r="AS56" s="32">
        <f>IF(AND(AS$30,$O56),$D$31,"")</f>
        <v>8.4</v>
      </c>
      <c r="AT56" s="32">
        <f>IF(AND(AT$30,$O56),$E$31,"")</f>
        <v>7.7</v>
      </c>
      <c r="AU56" s="54">
        <f>IF(AND(AU$30,$O56),$F$31,"")</f>
        <v>7.4</v>
      </c>
      <c r="AV56" s="31">
        <f>IF(AND(AV$30,$O56),$C$31,"")</f>
        <v>6.3</v>
      </c>
      <c r="AW56" s="32" t="str">
        <f>IF(AND(AW$30,$O56),$D$31,"")</f>
        <v/>
      </c>
      <c r="AX56" s="32" t="str">
        <f>IF(AND(AX$30,$O56),$E$31,"")</f>
        <v/>
      </c>
      <c r="AY56" s="54" t="str">
        <f>IF(AND(AY$30,$O56),$F$31,"")</f>
        <v/>
      </c>
      <c r="AZ56" s="31">
        <f>IF(AND(AZ$30,$O56),$C$31,"")</f>
        <v>6.3</v>
      </c>
      <c r="BA56" s="32" t="str">
        <f>IF(AND(BA$30,$O56),$D$31,"")</f>
        <v/>
      </c>
      <c r="BB56" s="32" t="str">
        <f>IF(AND(BB$30,$O56),$E$31,"")</f>
        <v/>
      </c>
      <c r="BC56" s="54">
        <f>IF(AND(BC$30,$O56),$F$31,"")</f>
        <v>7.4</v>
      </c>
      <c r="BD56" s="31">
        <f>IF(AND(BD$30,$O56),$C$31,"")</f>
        <v>6.3</v>
      </c>
      <c r="BE56" s="32" t="str">
        <f>IF(AND(BE$30,$O56),$D$31,"")</f>
        <v/>
      </c>
      <c r="BF56" s="32">
        <f>IF(AND(BF$30,$O56),$E$31,"")</f>
        <v>7.7</v>
      </c>
      <c r="BG56" s="54" t="str">
        <f>IF(AND(BG$30,$O56),$F$31,"")</f>
        <v/>
      </c>
      <c r="BH56" s="31">
        <f>IF(AND(BH$30,$O56),$C$31,"")</f>
        <v>6.3</v>
      </c>
      <c r="BI56" s="32" t="str">
        <f>IF(AND(BI$30,$O56),$D$31,"")</f>
        <v/>
      </c>
      <c r="BJ56" s="32">
        <f>IF(AND(BJ$30,$O56),$E$31,"")</f>
        <v>7.7</v>
      </c>
      <c r="BK56" s="54">
        <f>IF(AND(BK$30,$O56),$F$31,"")</f>
        <v>7.4</v>
      </c>
      <c r="BL56" s="31">
        <f>IF(AND(BL$30,$O56),$C$31,"")</f>
        <v>6.3</v>
      </c>
      <c r="BM56" s="32">
        <f>IF(AND(BM$30,$O56),$D$31,"")</f>
        <v>8.4</v>
      </c>
      <c r="BN56" s="32" t="str">
        <f>IF(AND(BN$30,$O56),$E$31,"")</f>
        <v/>
      </c>
      <c r="BO56" s="54" t="str">
        <f>IF(AND(BO$30,$O56),$F$31,"")</f>
        <v/>
      </c>
      <c r="BP56" s="31">
        <f>IF(AND(BP$30,$O56),$C$31,"")</f>
        <v>6.3</v>
      </c>
      <c r="BQ56" s="32">
        <f>IF(AND(BQ$30,$O56),$D$31,"")</f>
        <v>8.4</v>
      </c>
      <c r="BR56" s="32" t="str">
        <f>IF(AND(BR$30,$O56),$E$31,"")</f>
        <v/>
      </c>
      <c r="BS56" s="54">
        <f>IF(AND(BS$30,$O56),$F$31,"")</f>
        <v>7.4</v>
      </c>
      <c r="BT56" s="31">
        <f>IF(AND(BT$30,$O56),$C$31,"")</f>
        <v>6.3</v>
      </c>
      <c r="BU56" s="32">
        <f>IF(AND(BU$30,$O56),$D$31,"")</f>
        <v>8.4</v>
      </c>
      <c r="BV56" s="32">
        <f>IF(AND(BV$30,$O56),$E$31,"")</f>
        <v>7.7</v>
      </c>
      <c r="BW56" s="54" t="str">
        <f>IF(AND(BW$30,$O56),$F$31,"")</f>
        <v/>
      </c>
      <c r="BX56" s="31">
        <f>IF(AND(BX$30,$O56),$C$31,"")</f>
        <v>6.3</v>
      </c>
      <c r="BY56" s="32">
        <f>IF(AND(BY$30,$O56),$D$31,"")</f>
        <v>8.4</v>
      </c>
      <c r="BZ56" s="32">
        <f>IF(AND(BZ$30,$O56),$E$31,"")</f>
        <v>7.7</v>
      </c>
      <c r="CA56" s="54">
        <f>IF(AND(CA$30,$O56),$F$31,"")</f>
        <v>7.4</v>
      </c>
      <c r="CB56" s="31" t="str">
        <f>IF(AND(CB$30,$O56),$C$31,"")</f>
        <v/>
      </c>
      <c r="CC56" s="32" t="str">
        <f>IF(AND(CC$30,$O56),$D$31,"")</f>
        <v/>
      </c>
      <c r="CD56" s="32" t="str">
        <f>IF(AND(CD$30,$O56),$E$31,"")</f>
        <v/>
      </c>
      <c r="CE56" s="54" t="str">
        <f>IF(AND(CE$30,$O56),$F$31,"")</f>
        <v/>
      </c>
    </row>
    <row r="57" spans="12:83">
      <c r="L57" s="87"/>
      <c r="M57" s="36" t="str">
        <f t="shared" si="20"/>
        <v>C</v>
      </c>
      <c r="O57" s="82">
        <f>BinAnd(N55,Ce)</f>
        <v>2</v>
      </c>
      <c r="P57" s="31" t="str">
        <f>IF(AND(P$30,$O57),$C$32,"")</f>
        <v/>
      </c>
      <c r="Q57" s="32" t="str">
        <f>IF(AND(Q$30,$O57),$D$32,"")</f>
        <v/>
      </c>
      <c r="R57" s="32" t="str">
        <f>IF(AND(R$30,$O57),$E$32,"")</f>
        <v/>
      </c>
      <c r="S57" s="54" t="str">
        <f>IF(AND(S$30,$O57),$F$32,"")</f>
        <v/>
      </c>
      <c r="T57" s="31" t="str">
        <f>IF(AND(T$30,$O57),$C$32,"")</f>
        <v/>
      </c>
      <c r="U57" s="32" t="str">
        <f>IF(AND(U$30,$O57),$D$32,"")</f>
        <v/>
      </c>
      <c r="V57" s="32" t="str">
        <f>IF(AND(V$30,$O57),$E$32,"")</f>
        <v/>
      </c>
      <c r="W57" s="54">
        <f>IF(AND(W$30,$O57),$F$32,"")</f>
        <v>10.1</v>
      </c>
      <c r="X57" s="31" t="str">
        <f>IF(AND(X$30,$O57),$C$32,"")</f>
        <v/>
      </c>
      <c r="Y57" s="32" t="str">
        <f>IF(AND(Y$30,$O57),$D$32,"")</f>
        <v/>
      </c>
      <c r="Z57" s="32">
        <f>IF(AND(Z$30,$O57),$E$32,"")</f>
        <v>6.7</v>
      </c>
      <c r="AA57" s="54" t="str">
        <f>IF(AND(AA$30,$O57),$F$32,"")</f>
        <v/>
      </c>
      <c r="AB57" s="31" t="str">
        <f>IF(AND(AB$30,$O57),$C$32,"")</f>
        <v/>
      </c>
      <c r="AC57" s="32" t="str">
        <f>IF(AND(AC$30,$O57),$D$32,"")</f>
        <v/>
      </c>
      <c r="AD57" s="32">
        <f>IF(AND(AD$30,$O57),$E$32,"")</f>
        <v>6.7</v>
      </c>
      <c r="AE57" s="54">
        <f>IF(AND(AE$30,$O57),$F$32,"")</f>
        <v>10.1</v>
      </c>
      <c r="AF57" s="31" t="str">
        <f>IF(AND(AF$30,$O57),$C$32,"")</f>
        <v/>
      </c>
      <c r="AG57" s="32">
        <f>IF(AND(AG$30,$O57),$D$32,"")</f>
        <v>6.1</v>
      </c>
      <c r="AH57" s="32" t="str">
        <f>IF(AND(AH$30,$O57),$E$32,"")</f>
        <v/>
      </c>
      <c r="AI57" s="54" t="str">
        <f>IF(AND(AI$30,$O57),$F$32,"")</f>
        <v/>
      </c>
      <c r="AJ57" s="31" t="str">
        <f>IF(AND(AJ$30,$O57),$C$32,"")</f>
        <v/>
      </c>
      <c r="AK57" s="32">
        <f>IF(AND(AK$30,$O57),$D$32,"")</f>
        <v>6.1</v>
      </c>
      <c r="AL57" s="32" t="str">
        <f>IF(AND(AL$30,$O57),$E$32,"")</f>
        <v/>
      </c>
      <c r="AM57" s="54">
        <f>IF(AND(AM$30,$O57),$F$32,"")</f>
        <v>10.1</v>
      </c>
      <c r="AN57" s="31" t="str">
        <f>IF(AND(AN$30,$O57),$C$32,"")</f>
        <v/>
      </c>
      <c r="AO57" s="32">
        <f>IF(AND(AO$30,$O57),$D$32,"")</f>
        <v>6.1</v>
      </c>
      <c r="AP57" s="32">
        <f>IF(AND(AP$30,$O57),$E$32,"")</f>
        <v>6.7</v>
      </c>
      <c r="AQ57" s="54" t="str">
        <f>IF(AND(AQ$30,$O57),$F$32,"")</f>
        <v/>
      </c>
      <c r="AR57" s="31" t="str">
        <f>IF(AND(AR$30,$O57),$C$32,"")</f>
        <v/>
      </c>
      <c r="AS57" s="32">
        <f>IF(AND(AS$30,$O57),$D$32,"")</f>
        <v>6.1</v>
      </c>
      <c r="AT57" s="32">
        <f>IF(AND(AT$30,$O57),$E$32,"")</f>
        <v>6.7</v>
      </c>
      <c r="AU57" s="54">
        <f>IF(AND(AU$30,$O57),$F$32,"")</f>
        <v>10.1</v>
      </c>
      <c r="AV57" s="31">
        <f>IF(AND(AV$30,$O57),$C$32,"")</f>
        <v>7.4</v>
      </c>
      <c r="AW57" s="32" t="str">
        <f>IF(AND(AW$30,$O57),$D$32,"")</f>
        <v/>
      </c>
      <c r="AX57" s="32" t="str">
        <f>IF(AND(AX$30,$O57),$E$32,"")</f>
        <v/>
      </c>
      <c r="AY57" s="54" t="str">
        <f>IF(AND(AY$30,$O57),$F$32,"")</f>
        <v/>
      </c>
      <c r="AZ57" s="31">
        <f>IF(AND(AZ$30,$O57),$C$32,"")</f>
        <v>7.4</v>
      </c>
      <c r="BA57" s="32" t="str">
        <f>IF(AND(BA$30,$O57),$D$32,"")</f>
        <v/>
      </c>
      <c r="BB57" s="32" t="str">
        <f>IF(AND(BB$30,$O57),$E$32,"")</f>
        <v/>
      </c>
      <c r="BC57" s="54">
        <f>IF(AND(BC$30,$O57),$F$32,"")</f>
        <v>10.1</v>
      </c>
      <c r="BD57" s="31">
        <f>IF(AND(BD$30,$O57),$C$32,"")</f>
        <v>7.4</v>
      </c>
      <c r="BE57" s="32" t="str">
        <f>IF(AND(BE$30,$O57),$D$32,"")</f>
        <v/>
      </c>
      <c r="BF57" s="32">
        <f>IF(AND(BF$30,$O57),$E$32,"")</f>
        <v>6.7</v>
      </c>
      <c r="BG57" s="54" t="str">
        <f>IF(AND(BG$30,$O57),$F$32,"")</f>
        <v/>
      </c>
      <c r="BH57" s="31">
        <f>IF(AND(BH$30,$O57),$C$32,"")</f>
        <v>7.4</v>
      </c>
      <c r="BI57" s="32" t="str">
        <f>IF(AND(BI$30,$O57),$D$32,"")</f>
        <v/>
      </c>
      <c r="BJ57" s="32">
        <f>IF(AND(BJ$30,$O57),$E$32,"")</f>
        <v>6.7</v>
      </c>
      <c r="BK57" s="54">
        <f>IF(AND(BK$30,$O57),$F$32,"")</f>
        <v>10.1</v>
      </c>
      <c r="BL57" s="31">
        <f>IF(AND(BL$30,$O57),$C$32,"")</f>
        <v>7.4</v>
      </c>
      <c r="BM57" s="32">
        <f>IF(AND(BM$30,$O57),$D$32,"")</f>
        <v>6.1</v>
      </c>
      <c r="BN57" s="32" t="str">
        <f>IF(AND(BN$30,$O57),$E$32,"")</f>
        <v/>
      </c>
      <c r="BO57" s="54" t="str">
        <f>IF(AND(BO$30,$O57),$F$32,"")</f>
        <v/>
      </c>
      <c r="BP57" s="31">
        <f>IF(AND(BP$30,$O57),$C$32,"")</f>
        <v>7.4</v>
      </c>
      <c r="BQ57" s="32">
        <f>IF(AND(BQ$30,$O57),$D$32,"")</f>
        <v>6.1</v>
      </c>
      <c r="BR57" s="32" t="str">
        <f>IF(AND(BR$30,$O57),$E$32,"")</f>
        <v/>
      </c>
      <c r="BS57" s="54">
        <f>IF(AND(BS$30,$O57),$F$32,"")</f>
        <v>10.1</v>
      </c>
      <c r="BT57" s="31">
        <f>IF(AND(BT$30,$O57),$C$32,"")</f>
        <v>7.4</v>
      </c>
      <c r="BU57" s="32">
        <f>IF(AND(BU$30,$O57),$D$32,"")</f>
        <v>6.1</v>
      </c>
      <c r="BV57" s="32">
        <f>IF(AND(BV$30,$O57),$E$32,"")</f>
        <v>6.7</v>
      </c>
      <c r="BW57" s="54" t="str">
        <f>IF(AND(BW$30,$O57),$F$32,"")</f>
        <v/>
      </c>
      <c r="BX57" s="31">
        <f>IF(AND(BX$30,$O57),$C$32,"")</f>
        <v>7.4</v>
      </c>
      <c r="BY57" s="32">
        <f>IF(AND(BY$30,$O57),$D$32,"")</f>
        <v>6.1</v>
      </c>
      <c r="BZ57" s="32">
        <f>IF(AND(BZ$30,$O57),$E$32,"")</f>
        <v>6.7</v>
      </c>
      <c r="CA57" s="54">
        <f>IF(AND(CA$30,$O57),$F$32,"")</f>
        <v>10.1</v>
      </c>
      <c r="CB57" s="31" t="str">
        <f>IF(AND(CB$30,$O57),$C$32,"")</f>
        <v/>
      </c>
      <c r="CC57" s="32" t="str">
        <f>IF(AND(CC$30,$O57),$D$32,"")</f>
        <v/>
      </c>
      <c r="CD57" s="32" t="str">
        <f>IF(AND(CD$30,$O57),$E$32,"")</f>
        <v/>
      </c>
      <c r="CE57" s="54" t="str">
        <f>IF(AND(CE$30,$O57),$F$32,"")</f>
        <v/>
      </c>
    </row>
    <row r="58" spans="12:83" ht="15.75" thickBot="1">
      <c r="L58" s="86"/>
      <c r="M58" s="37" t="str">
        <f t="shared" si="20"/>
        <v>-</v>
      </c>
      <c r="O58" s="43">
        <f>BinAnd(N55,G)</f>
        <v>0</v>
      </c>
      <c r="P58" s="55" t="str">
        <f>IF(AND(P$30,$O58),$C$33,"")</f>
        <v/>
      </c>
      <c r="Q58" s="56" t="str">
        <f>IF(AND(Q$30,$O58),$D$33,"")</f>
        <v/>
      </c>
      <c r="R58" s="56" t="str">
        <f>IF(AND(R$30,$O58),$E$33,"")</f>
        <v/>
      </c>
      <c r="S58" s="57" t="str">
        <f>IF(AND(S$30,$O58),$F$33,"")</f>
        <v/>
      </c>
      <c r="T58" s="55" t="str">
        <f>IF(AND(T$30,$O58),$C$33,"")</f>
        <v/>
      </c>
      <c r="U58" s="56" t="str">
        <f>IF(AND(U$30,$O58),$D$33,"")</f>
        <v/>
      </c>
      <c r="V58" s="56" t="str">
        <f>IF(AND(V$30,$O58),$E$33,"")</f>
        <v/>
      </c>
      <c r="W58" s="57" t="str">
        <f>IF(AND(W$30,$O58),$F$33,"")</f>
        <v/>
      </c>
      <c r="X58" s="55" t="str">
        <f>IF(AND(X$30,$O58),$C$33,"")</f>
        <v/>
      </c>
      <c r="Y58" s="56" t="str">
        <f>IF(AND(Y$30,$O58),$D$33,"")</f>
        <v/>
      </c>
      <c r="Z58" s="56" t="str">
        <f>IF(AND(Z$30,$O58),$E$33,"")</f>
        <v/>
      </c>
      <c r="AA58" s="57" t="str">
        <f>IF(AND(AA$30,$O58),$F$33,"")</f>
        <v/>
      </c>
      <c r="AB58" s="55" t="str">
        <f>IF(AND(AB$30,$O58),$C$33,"")</f>
        <v/>
      </c>
      <c r="AC58" s="56" t="str">
        <f>IF(AND(AC$30,$O58),$D$33,"")</f>
        <v/>
      </c>
      <c r="AD58" s="56" t="str">
        <f>IF(AND(AD$30,$O58),$E$33,"")</f>
        <v/>
      </c>
      <c r="AE58" s="57" t="str">
        <f>IF(AND(AE$30,$O58),$F$33,"")</f>
        <v/>
      </c>
      <c r="AF58" s="55" t="str">
        <f>IF(AND(AF$30,$O58),$C$33,"")</f>
        <v/>
      </c>
      <c r="AG58" s="56" t="str">
        <f>IF(AND(AG$30,$O58),$D$33,"")</f>
        <v/>
      </c>
      <c r="AH58" s="56" t="str">
        <f>IF(AND(AH$30,$O58),$E$33,"")</f>
        <v/>
      </c>
      <c r="AI58" s="57" t="str">
        <f>IF(AND(AI$30,$O58),$F$33,"")</f>
        <v/>
      </c>
      <c r="AJ58" s="55" t="str">
        <f>IF(AND(AJ$30,$O58),$C$33,"")</f>
        <v/>
      </c>
      <c r="AK58" s="56" t="str">
        <f>IF(AND(AK$30,$O58),$D$33,"")</f>
        <v/>
      </c>
      <c r="AL58" s="56" t="str">
        <f>IF(AND(AL$30,$O58),$E$33,"")</f>
        <v/>
      </c>
      <c r="AM58" s="57" t="str">
        <f>IF(AND(AM$30,$O58),$F$33,"")</f>
        <v/>
      </c>
      <c r="AN58" s="55" t="str">
        <f>IF(AND(AN$30,$O58),$C$33,"")</f>
        <v/>
      </c>
      <c r="AO58" s="56" t="str">
        <f>IF(AND(AO$30,$O58),$D$33,"")</f>
        <v/>
      </c>
      <c r="AP58" s="56" t="str">
        <f>IF(AND(AP$30,$O58),$E$33,"")</f>
        <v/>
      </c>
      <c r="AQ58" s="57" t="str">
        <f>IF(AND(AQ$30,$O58),$F$33,"")</f>
        <v/>
      </c>
      <c r="AR58" s="55" t="str">
        <f>IF(AND(AR$30,$O58),$C$33,"")</f>
        <v/>
      </c>
      <c r="AS58" s="56" t="str">
        <f>IF(AND(AS$30,$O58),$D$33,"")</f>
        <v/>
      </c>
      <c r="AT58" s="56" t="str">
        <f>IF(AND(AT$30,$O58),$E$33,"")</f>
        <v/>
      </c>
      <c r="AU58" s="57" t="str">
        <f>IF(AND(AU$30,$O58),$F$33,"")</f>
        <v/>
      </c>
      <c r="AV58" s="55" t="str">
        <f>IF(AND(AV$30,$O58),$C$33,"")</f>
        <v/>
      </c>
      <c r="AW58" s="56" t="str">
        <f>IF(AND(AW$30,$O58),$D$33,"")</f>
        <v/>
      </c>
      <c r="AX58" s="56" t="str">
        <f>IF(AND(AX$30,$O58),$E$33,"")</f>
        <v/>
      </c>
      <c r="AY58" s="57" t="str">
        <f>IF(AND(AY$30,$O58),$F$33,"")</f>
        <v/>
      </c>
      <c r="AZ58" s="55" t="str">
        <f>IF(AND(AZ$30,$O58),$C$33,"")</f>
        <v/>
      </c>
      <c r="BA58" s="56" t="str">
        <f>IF(AND(BA$30,$O58),$D$33,"")</f>
        <v/>
      </c>
      <c r="BB58" s="56" t="str">
        <f>IF(AND(BB$30,$O58),$E$33,"")</f>
        <v/>
      </c>
      <c r="BC58" s="57" t="str">
        <f>IF(AND(BC$30,$O58),$F$33,"")</f>
        <v/>
      </c>
      <c r="BD58" s="55" t="str">
        <f>IF(AND(BD$30,$O58),$C$33,"")</f>
        <v/>
      </c>
      <c r="BE58" s="56" t="str">
        <f>IF(AND(BE$30,$O58),$D$33,"")</f>
        <v/>
      </c>
      <c r="BF58" s="56" t="str">
        <f>IF(AND(BF$30,$O58),$E$33,"")</f>
        <v/>
      </c>
      <c r="BG58" s="57" t="str">
        <f>IF(AND(BG$30,$O58),$F$33,"")</f>
        <v/>
      </c>
      <c r="BH58" s="55" t="str">
        <f>IF(AND(BH$30,$O58),$C$33,"")</f>
        <v/>
      </c>
      <c r="BI58" s="56" t="str">
        <f>IF(AND(BI$30,$O58),$D$33,"")</f>
        <v/>
      </c>
      <c r="BJ58" s="56" t="str">
        <f>IF(AND(BJ$30,$O58),$E$33,"")</f>
        <v/>
      </c>
      <c r="BK58" s="57" t="str">
        <f>IF(AND(BK$30,$O58),$F$33,"")</f>
        <v/>
      </c>
      <c r="BL58" s="55" t="str">
        <f>IF(AND(BL$30,$O58),$C$33,"")</f>
        <v/>
      </c>
      <c r="BM58" s="56" t="str">
        <f>IF(AND(BM$30,$O58),$D$33,"")</f>
        <v/>
      </c>
      <c r="BN58" s="56" t="str">
        <f>IF(AND(BN$30,$O58),$E$33,"")</f>
        <v/>
      </c>
      <c r="BO58" s="57" t="str">
        <f>IF(AND(BO$30,$O58),$F$33,"")</f>
        <v/>
      </c>
      <c r="BP58" s="55" t="str">
        <f>IF(AND(BP$30,$O58),$C$33,"")</f>
        <v/>
      </c>
      <c r="BQ58" s="56" t="str">
        <f>IF(AND(BQ$30,$O58),$D$33,"")</f>
        <v/>
      </c>
      <c r="BR58" s="56" t="str">
        <f>IF(AND(BR$30,$O58),$E$33,"")</f>
        <v/>
      </c>
      <c r="BS58" s="57" t="str">
        <f>IF(AND(BS$30,$O58),$F$33,"")</f>
        <v/>
      </c>
      <c r="BT58" s="55" t="str">
        <f>IF(AND(BT$30,$O58),$C$33,"")</f>
        <v/>
      </c>
      <c r="BU58" s="56" t="str">
        <f>IF(AND(BU$30,$O58),$D$33,"")</f>
        <v/>
      </c>
      <c r="BV58" s="56" t="str">
        <f>IF(AND(BV$30,$O58),$E$33,"")</f>
        <v/>
      </c>
      <c r="BW58" s="57" t="str">
        <f>IF(AND(BW$30,$O58),$F$33,"")</f>
        <v/>
      </c>
      <c r="BX58" s="55" t="str">
        <f>IF(AND(BX$30,$O58),$C$33,"")</f>
        <v/>
      </c>
      <c r="BY58" s="56" t="str">
        <f>IF(AND(BY$30,$O58),$D$33,"")</f>
        <v/>
      </c>
      <c r="BZ58" s="56" t="str">
        <f>IF(AND(BZ$30,$O58),$E$33,"")</f>
        <v/>
      </c>
      <c r="CA58" s="57" t="str">
        <f>IF(AND(CA$30,$O58),$F$33,"")</f>
        <v/>
      </c>
      <c r="CB58" s="55" t="str">
        <f>IF(AND(CB$30,$O58),$C$33,"")</f>
        <v/>
      </c>
      <c r="CC58" s="56" t="str">
        <f>IF(AND(CC$30,$O58),$D$33,"")</f>
        <v/>
      </c>
      <c r="CD58" s="56" t="str">
        <f>IF(AND(CD$30,$O58),$E$33,"")</f>
        <v/>
      </c>
      <c r="CE58" s="57" t="str">
        <f>IF(AND(CE$30,$O58),$F$33,"")</f>
        <v/>
      </c>
    </row>
    <row r="59" spans="12:83">
      <c r="L59" s="83" t="str">
        <f>MID(CodDegElegir,N59+1,1)</f>
        <v>B</v>
      </c>
      <c r="M59" s="85" t="str">
        <f t="shared" si="20"/>
        <v>-</v>
      </c>
      <c r="N59">
        <v>7</v>
      </c>
      <c r="O59" s="81">
        <f>BinAnd(N59,A)</f>
        <v>0</v>
      </c>
      <c r="P59" s="29" t="str">
        <f>IF(AND(P$30,$O59),$C$30,"")</f>
        <v/>
      </c>
      <c r="Q59" s="30" t="str">
        <f>IF(AND(Q$30,$O59),$D$30,"")</f>
        <v/>
      </c>
      <c r="R59" s="30" t="str">
        <f>IF(AND(R$30,$O59),$E$30,"")</f>
        <v/>
      </c>
      <c r="S59" s="53" t="str">
        <f>IF(AND(S$30,$O59),$F$30,"")</f>
        <v/>
      </c>
      <c r="T59" s="29" t="str">
        <f>IF(AND(T$30,$O59),$C$30,"")</f>
        <v/>
      </c>
      <c r="U59" s="30" t="str">
        <f>IF(AND(U$30,$O59),$D$30,"")</f>
        <v/>
      </c>
      <c r="V59" s="30" t="str">
        <f>IF(AND(V$30,$O59),$E$30,"")</f>
        <v/>
      </c>
      <c r="W59" s="53" t="str">
        <f>IF(AND(W$30,$O59),$F$30,"")</f>
        <v/>
      </c>
      <c r="X59" s="29" t="str">
        <f>IF(AND(X$30,$O59),$C$30,"")</f>
        <v/>
      </c>
      <c r="Y59" s="30" t="str">
        <f>IF(AND(Y$30,$O59),$D$30,"")</f>
        <v/>
      </c>
      <c r="Z59" s="30" t="str">
        <f>IF(AND(Z$30,$O59),$E$30,"")</f>
        <v/>
      </c>
      <c r="AA59" s="53" t="str">
        <f>IF(AND(AA$30,$O59),$F$30,"")</f>
        <v/>
      </c>
      <c r="AB59" s="29" t="str">
        <f>IF(AND(AB$30,$O59),$C$30,"")</f>
        <v/>
      </c>
      <c r="AC59" s="30" t="str">
        <f>IF(AND(AC$30,$O59),$D$30,"")</f>
        <v/>
      </c>
      <c r="AD59" s="30" t="str">
        <f>IF(AND(AD$30,$O59),$E$30,"")</f>
        <v/>
      </c>
      <c r="AE59" s="53" t="str">
        <f>IF(AND(AE$30,$O59),$F$30,"")</f>
        <v/>
      </c>
      <c r="AF59" s="29" t="str">
        <f>IF(AND(AF$30,$O59),$C$30,"")</f>
        <v/>
      </c>
      <c r="AG59" s="30" t="str">
        <f>IF(AND(AG$30,$O59),$D$30,"")</f>
        <v/>
      </c>
      <c r="AH59" s="30" t="str">
        <f>IF(AND(AH$30,$O59),$E$30,"")</f>
        <v/>
      </c>
      <c r="AI59" s="53" t="str">
        <f>IF(AND(AI$30,$O59),$F$30,"")</f>
        <v/>
      </c>
      <c r="AJ59" s="29" t="str">
        <f>IF(AND(AJ$30,$O59),$C$30,"")</f>
        <v/>
      </c>
      <c r="AK59" s="30" t="str">
        <f>IF(AND(AK$30,$O59),$D$30,"")</f>
        <v/>
      </c>
      <c r="AL59" s="30" t="str">
        <f>IF(AND(AL$30,$O59),$E$30,"")</f>
        <v/>
      </c>
      <c r="AM59" s="53" t="str">
        <f>IF(AND(AM$30,$O59),$F$30,"")</f>
        <v/>
      </c>
      <c r="AN59" s="29" t="str">
        <f>IF(AND(AN$30,$O59),$C$30,"")</f>
        <v/>
      </c>
      <c r="AO59" s="30" t="str">
        <f>IF(AND(AO$30,$O59),$D$30,"")</f>
        <v/>
      </c>
      <c r="AP59" s="30" t="str">
        <f>IF(AND(AP$30,$O59),$E$30,"")</f>
        <v/>
      </c>
      <c r="AQ59" s="53" t="str">
        <f>IF(AND(AQ$30,$O59),$F$30,"")</f>
        <v/>
      </c>
      <c r="AR59" s="29" t="str">
        <f>IF(AND(AR$30,$O59),$C$30,"")</f>
        <v/>
      </c>
      <c r="AS59" s="30" t="str">
        <f>IF(AND(AS$30,$O59),$D$30,"")</f>
        <v/>
      </c>
      <c r="AT59" s="30" t="str">
        <f>IF(AND(AT$30,$O59),$E$30,"")</f>
        <v/>
      </c>
      <c r="AU59" s="53" t="str">
        <f>IF(AND(AU$30,$O59),$F$30,"")</f>
        <v/>
      </c>
      <c r="AV59" s="29" t="str">
        <f>IF(AND(AV$30,$O59),$C$30,"")</f>
        <v/>
      </c>
      <c r="AW59" s="30" t="str">
        <f>IF(AND(AW$30,$O59),$D$30,"")</f>
        <v/>
      </c>
      <c r="AX59" s="30" t="str">
        <f>IF(AND(AX$30,$O59),$E$30,"")</f>
        <v/>
      </c>
      <c r="AY59" s="53" t="str">
        <f>IF(AND(AY$30,$O59),$F$30,"")</f>
        <v/>
      </c>
      <c r="AZ59" s="29" t="str">
        <f>IF(AND(AZ$30,$O59),$C$30,"")</f>
        <v/>
      </c>
      <c r="BA59" s="30" t="str">
        <f>IF(AND(BA$30,$O59),$D$30,"")</f>
        <v/>
      </c>
      <c r="BB59" s="30" t="str">
        <f>IF(AND(BB$30,$O59),$E$30,"")</f>
        <v/>
      </c>
      <c r="BC59" s="53" t="str">
        <f>IF(AND(BC$30,$O59),$F$30,"")</f>
        <v/>
      </c>
      <c r="BD59" s="29" t="str">
        <f>IF(AND(BD$30,$O59),$C$30,"")</f>
        <v/>
      </c>
      <c r="BE59" s="30" t="str">
        <f>IF(AND(BE$30,$O59),$D$30,"")</f>
        <v/>
      </c>
      <c r="BF59" s="30" t="str">
        <f>IF(AND(BF$30,$O59),$E$30,"")</f>
        <v/>
      </c>
      <c r="BG59" s="53" t="str">
        <f>IF(AND(BG$30,$O59),$F$30,"")</f>
        <v/>
      </c>
      <c r="BH59" s="29" t="str">
        <f>IF(AND(BH$30,$O59),$C$30,"")</f>
        <v/>
      </c>
      <c r="BI59" s="30" t="str">
        <f>IF(AND(BI$30,$O59),$D$30,"")</f>
        <v/>
      </c>
      <c r="BJ59" s="30" t="str">
        <f>IF(AND(BJ$30,$O59),$E$30,"")</f>
        <v/>
      </c>
      <c r="BK59" s="53" t="str">
        <f>IF(AND(BK$30,$O59),$F$30,"")</f>
        <v/>
      </c>
      <c r="BL59" s="29" t="str">
        <f>IF(AND(BL$30,$O59),$C$30,"")</f>
        <v/>
      </c>
      <c r="BM59" s="30" t="str">
        <f>IF(AND(BM$30,$O59),$D$30,"")</f>
        <v/>
      </c>
      <c r="BN59" s="30" t="str">
        <f>IF(AND(BN$30,$O59),$E$30,"")</f>
        <v/>
      </c>
      <c r="BO59" s="53" t="str">
        <f>IF(AND(BO$30,$O59),$F$30,"")</f>
        <v/>
      </c>
      <c r="BP59" s="29" t="str">
        <f>IF(AND(BP$30,$O59),$C$30,"")</f>
        <v/>
      </c>
      <c r="BQ59" s="30" t="str">
        <f>IF(AND(BQ$30,$O59),$D$30,"")</f>
        <v/>
      </c>
      <c r="BR59" s="30" t="str">
        <f>IF(AND(BR$30,$O59),$E$30,"")</f>
        <v/>
      </c>
      <c r="BS59" s="53" t="str">
        <f>IF(AND(BS$30,$O59),$F$30,"")</f>
        <v/>
      </c>
      <c r="BT59" s="29" t="str">
        <f>IF(AND(BT$30,$O59),$C$30,"")</f>
        <v/>
      </c>
      <c r="BU59" s="30" t="str">
        <f>IF(AND(BU$30,$O59),$D$30,"")</f>
        <v/>
      </c>
      <c r="BV59" s="30" t="str">
        <f>IF(AND(BV$30,$O59),$E$30,"")</f>
        <v/>
      </c>
      <c r="BW59" s="53" t="str">
        <f>IF(AND(BW$30,$O59),$F$30,"")</f>
        <v/>
      </c>
      <c r="BX59" s="29" t="str">
        <f>IF(AND(BX$30,$O59),$C$30,"")</f>
        <v/>
      </c>
      <c r="BY59" s="30" t="str">
        <f>IF(AND(BY$30,$O59),$D$30,"")</f>
        <v/>
      </c>
      <c r="BZ59" s="30" t="str">
        <f>IF(AND(BZ$30,$O59),$E$30,"")</f>
        <v/>
      </c>
      <c r="CA59" s="53" t="str">
        <f>IF(AND(CA$30,$O59),$F$30,"")</f>
        <v/>
      </c>
      <c r="CB59" s="29" t="str">
        <f>IF(AND(CB$30,$O59),$C$30,"")</f>
        <v/>
      </c>
      <c r="CC59" s="30" t="str">
        <f>IF(AND(CC$30,$O59),$D$30,"")</f>
        <v/>
      </c>
      <c r="CD59" s="30" t="str">
        <f>IF(AND(CD$30,$O59),$E$30,"")</f>
        <v/>
      </c>
      <c r="CE59" s="53" t="str">
        <f>IF(AND(CE$30,$O59),$F$30,"")</f>
        <v/>
      </c>
    </row>
    <row r="60" spans="12:83">
      <c r="L60" s="87"/>
      <c r="M60" s="36" t="str">
        <f t="shared" si="20"/>
        <v>T</v>
      </c>
      <c r="O60" s="82">
        <f>BinAnd(N59,T)</f>
        <v>4</v>
      </c>
      <c r="P60" s="31" t="str">
        <f>IF(AND(P$30,$O60),$C$31,"")</f>
        <v/>
      </c>
      <c r="Q60" s="32" t="str">
        <f>IF(AND(Q$30,$O60),$D$31,"")</f>
        <v/>
      </c>
      <c r="R60" s="32" t="str">
        <f>IF(AND(R$30,$O60),$E$31,"")</f>
        <v/>
      </c>
      <c r="S60" s="54" t="str">
        <f>IF(AND(S$30,$O60),$F$31,"")</f>
        <v/>
      </c>
      <c r="T60" s="31" t="str">
        <f>IF(AND(T$30,$O60),$C$31,"")</f>
        <v/>
      </c>
      <c r="U60" s="32" t="str">
        <f>IF(AND(U$30,$O60),$D$31,"")</f>
        <v/>
      </c>
      <c r="V60" s="32" t="str">
        <f>IF(AND(V$30,$O60),$E$31,"")</f>
        <v/>
      </c>
      <c r="W60" s="54">
        <f>IF(AND(W$30,$O60),$F$31,"")</f>
        <v>7.4</v>
      </c>
      <c r="X60" s="31" t="str">
        <f>IF(AND(X$30,$O60),$C$31,"")</f>
        <v/>
      </c>
      <c r="Y60" s="32" t="str">
        <f>IF(AND(Y$30,$O60),$D$31,"")</f>
        <v/>
      </c>
      <c r="Z60" s="32">
        <f>IF(AND(Z$30,$O60),$E$31,"")</f>
        <v>7.7</v>
      </c>
      <c r="AA60" s="54" t="str">
        <f>IF(AND(AA$30,$O60),$F$31,"")</f>
        <v/>
      </c>
      <c r="AB60" s="31" t="str">
        <f>IF(AND(AB$30,$O60),$C$31,"")</f>
        <v/>
      </c>
      <c r="AC60" s="32" t="str">
        <f>IF(AND(AC$30,$O60),$D$31,"")</f>
        <v/>
      </c>
      <c r="AD60" s="32">
        <f>IF(AND(AD$30,$O60),$E$31,"")</f>
        <v>7.7</v>
      </c>
      <c r="AE60" s="54">
        <f>IF(AND(AE$30,$O60),$F$31,"")</f>
        <v>7.4</v>
      </c>
      <c r="AF60" s="31" t="str">
        <f>IF(AND(AF$30,$O60),$C$31,"")</f>
        <v/>
      </c>
      <c r="AG60" s="32">
        <f>IF(AND(AG$30,$O60),$D$31,"")</f>
        <v>8.4</v>
      </c>
      <c r="AH60" s="32" t="str">
        <f>IF(AND(AH$30,$O60),$E$31,"")</f>
        <v/>
      </c>
      <c r="AI60" s="54" t="str">
        <f>IF(AND(AI$30,$O60),$F$31,"")</f>
        <v/>
      </c>
      <c r="AJ60" s="31" t="str">
        <f>IF(AND(AJ$30,$O60),$C$31,"")</f>
        <v/>
      </c>
      <c r="AK60" s="32">
        <f>IF(AND(AK$30,$O60),$D$31,"")</f>
        <v>8.4</v>
      </c>
      <c r="AL60" s="32" t="str">
        <f>IF(AND(AL$30,$O60),$E$31,"")</f>
        <v/>
      </c>
      <c r="AM60" s="54">
        <f>IF(AND(AM$30,$O60),$F$31,"")</f>
        <v>7.4</v>
      </c>
      <c r="AN60" s="31" t="str">
        <f>IF(AND(AN$30,$O60),$C$31,"")</f>
        <v/>
      </c>
      <c r="AO60" s="32">
        <f>IF(AND(AO$30,$O60),$D$31,"")</f>
        <v>8.4</v>
      </c>
      <c r="AP60" s="32">
        <f>IF(AND(AP$30,$O60),$E$31,"")</f>
        <v>7.7</v>
      </c>
      <c r="AQ60" s="54" t="str">
        <f>IF(AND(AQ$30,$O60),$F$31,"")</f>
        <v/>
      </c>
      <c r="AR60" s="31" t="str">
        <f>IF(AND(AR$30,$O60),$C$31,"")</f>
        <v/>
      </c>
      <c r="AS60" s="32">
        <f>IF(AND(AS$30,$O60),$D$31,"")</f>
        <v>8.4</v>
      </c>
      <c r="AT60" s="32">
        <f>IF(AND(AT$30,$O60),$E$31,"")</f>
        <v>7.7</v>
      </c>
      <c r="AU60" s="54">
        <f>IF(AND(AU$30,$O60),$F$31,"")</f>
        <v>7.4</v>
      </c>
      <c r="AV60" s="31">
        <f>IF(AND(AV$30,$O60),$C$31,"")</f>
        <v>6.3</v>
      </c>
      <c r="AW60" s="32" t="str">
        <f>IF(AND(AW$30,$O60),$D$31,"")</f>
        <v/>
      </c>
      <c r="AX60" s="32" t="str">
        <f>IF(AND(AX$30,$O60),$E$31,"")</f>
        <v/>
      </c>
      <c r="AY60" s="54" t="str">
        <f>IF(AND(AY$30,$O60),$F$31,"")</f>
        <v/>
      </c>
      <c r="AZ60" s="31">
        <f>IF(AND(AZ$30,$O60),$C$31,"")</f>
        <v>6.3</v>
      </c>
      <c r="BA60" s="32" t="str">
        <f>IF(AND(BA$30,$O60),$D$31,"")</f>
        <v/>
      </c>
      <c r="BB60" s="32" t="str">
        <f>IF(AND(BB$30,$O60),$E$31,"")</f>
        <v/>
      </c>
      <c r="BC60" s="54">
        <f>IF(AND(BC$30,$O60),$F$31,"")</f>
        <v>7.4</v>
      </c>
      <c r="BD60" s="31">
        <f>IF(AND(BD$30,$O60),$C$31,"")</f>
        <v>6.3</v>
      </c>
      <c r="BE60" s="32" t="str">
        <f>IF(AND(BE$30,$O60),$D$31,"")</f>
        <v/>
      </c>
      <c r="BF60" s="32">
        <f>IF(AND(BF$30,$O60),$E$31,"")</f>
        <v>7.7</v>
      </c>
      <c r="BG60" s="54" t="str">
        <f>IF(AND(BG$30,$O60),$F$31,"")</f>
        <v/>
      </c>
      <c r="BH60" s="31">
        <f>IF(AND(BH$30,$O60),$C$31,"")</f>
        <v>6.3</v>
      </c>
      <c r="BI60" s="32" t="str">
        <f>IF(AND(BI$30,$O60),$D$31,"")</f>
        <v/>
      </c>
      <c r="BJ60" s="32">
        <f>IF(AND(BJ$30,$O60),$E$31,"")</f>
        <v>7.7</v>
      </c>
      <c r="BK60" s="54">
        <f>IF(AND(BK$30,$O60),$F$31,"")</f>
        <v>7.4</v>
      </c>
      <c r="BL60" s="31">
        <f>IF(AND(BL$30,$O60),$C$31,"")</f>
        <v>6.3</v>
      </c>
      <c r="BM60" s="32">
        <f>IF(AND(BM$30,$O60),$D$31,"")</f>
        <v>8.4</v>
      </c>
      <c r="BN60" s="32" t="str">
        <f>IF(AND(BN$30,$O60),$E$31,"")</f>
        <v/>
      </c>
      <c r="BO60" s="54" t="str">
        <f>IF(AND(BO$30,$O60),$F$31,"")</f>
        <v/>
      </c>
      <c r="BP60" s="31">
        <f>IF(AND(BP$30,$O60),$C$31,"")</f>
        <v>6.3</v>
      </c>
      <c r="BQ60" s="32">
        <f>IF(AND(BQ$30,$O60),$D$31,"")</f>
        <v>8.4</v>
      </c>
      <c r="BR60" s="32" t="str">
        <f>IF(AND(BR$30,$O60),$E$31,"")</f>
        <v/>
      </c>
      <c r="BS60" s="54">
        <f>IF(AND(BS$30,$O60),$F$31,"")</f>
        <v>7.4</v>
      </c>
      <c r="BT60" s="31">
        <f>IF(AND(BT$30,$O60),$C$31,"")</f>
        <v>6.3</v>
      </c>
      <c r="BU60" s="32">
        <f>IF(AND(BU$30,$O60),$D$31,"")</f>
        <v>8.4</v>
      </c>
      <c r="BV60" s="32">
        <f>IF(AND(BV$30,$O60),$E$31,"")</f>
        <v>7.7</v>
      </c>
      <c r="BW60" s="54" t="str">
        <f>IF(AND(BW$30,$O60),$F$31,"")</f>
        <v/>
      </c>
      <c r="BX60" s="31">
        <f>IF(AND(BX$30,$O60),$C$31,"")</f>
        <v>6.3</v>
      </c>
      <c r="BY60" s="32">
        <f>IF(AND(BY$30,$O60),$D$31,"")</f>
        <v>8.4</v>
      </c>
      <c r="BZ60" s="32">
        <f>IF(AND(BZ$30,$O60),$E$31,"")</f>
        <v>7.7</v>
      </c>
      <c r="CA60" s="54">
        <f>IF(AND(CA$30,$O60),$F$31,"")</f>
        <v>7.4</v>
      </c>
      <c r="CB60" s="31" t="str">
        <f>IF(AND(CB$30,$O60),$C$31,"")</f>
        <v/>
      </c>
      <c r="CC60" s="32" t="str">
        <f>IF(AND(CC$30,$O60),$D$31,"")</f>
        <v/>
      </c>
      <c r="CD60" s="32" t="str">
        <f>IF(AND(CD$30,$O60),$E$31,"")</f>
        <v/>
      </c>
      <c r="CE60" s="54" t="str">
        <f>IF(AND(CE$30,$O60),$F$31,"")</f>
        <v/>
      </c>
    </row>
    <row r="61" spans="12:83">
      <c r="L61" s="87"/>
      <c r="M61" s="36" t="str">
        <f t="shared" si="20"/>
        <v>C</v>
      </c>
      <c r="O61" s="82">
        <f>BinAnd(N59,Ce)</f>
        <v>2</v>
      </c>
      <c r="P61" s="31" t="str">
        <f>IF(AND(P$30,$O61),$C$32,"")</f>
        <v/>
      </c>
      <c r="Q61" s="32" t="str">
        <f>IF(AND(Q$30,$O61),$D$32,"")</f>
        <v/>
      </c>
      <c r="R61" s="32" t="str">
        <f>IF(AND(R$30,$O61),$E$32,"")</f>
        <v/>
      </c>
      <c r="S61" s="54" t="str">
        <f>IF(AND(S$30,$O61),$F$32,"")</f>
        <v/>
      </c>
      <c r="T61" s="31" t="str">
        <f>IF(AND(T$30,$O61),$C$32,"")</f>
        <v/>
      </c>
      <c r="U61" s="32" t="str">
        <f>IF(AND(U$30,$O61),$D$32,"")</f>
        <v/>
      </c>
      <c r="V61" s="32" t="str">
        <f>IF(AND(V$30,$O61),$E$32,"")</f>
        <v/>
      </c>
      <c r="W61" s="54">
        <f>IF(AND(W$30,$O61),$F$32,"")</f>
        <v>10.1</v>
      </c>
      <c r="X61" s="31" t="str">
        <f>IF(AND(X$30,$O61),$C$32,"")</f>
        <v/>
      </c>
      <c r="Y61" s="32" t="str">
        <f>IF(AND(Y$30,$O61),$D$32,"")</f>
        <v/>
      </c>
      <c r="Z61" s="32">
        <f>IF(AND(Z$30,$O61),$E$32,"")</f>
        <v>6.7</v>
      </c>
      <c r="AA61" s="54" t="str">
        <f>IF(AND(AA$30,$O61),$F$32,"")</f>
        <v/>
      </c>
      <c r="AB61" s="31" t="str">
        <f>IF(AND(AB$30,$O61),$C$32,"")</f>
        <v/>
      </c>
      <c r="AC61" s="32" t="str">
        <f>IF(AND(AC$30,$O61),$D$32,"")</f>
        <v/>
      </c>
      <c r="AD61" s="32">
        <f>IF(AND(AD$30,$O61),$E$32,"")</f>
        <v>6.7</v>
      </c>
      <c r="AE61" s="54">
        <f>IF(AND(AE$30,$O61),$F$32,"")</f>
        <v>10.1</v>
      </c>
      <c r="AF61" s="31" t="str">
        <f>IF(AND(AF$30,$O61),$C$32,"")</f>
        <v/>
      </c>
      <c r="AG61" s="32">
        <f>IF(AND(AG$30,$O61),$D$32,"")</f>
        <v>6.1</v>
      </c>
      <c r="AH61" s="32" t="str">
        <f>IF(AND(AH$30,$O61),$E$32,"")</f>
        <v/>
      </c>
      <c r="AI61" s="54" t="str">
        <f>IF(AND(AI$30,$O61),$F$32,"")</f>
        <v/>
      </c>
      <c r="AJ61" s="31" t="str">
        <f>IF(AND(AJ$30,$O61),$C$32,"")</f>
        <v/>
      </c>
      <c r="AK61" s="32">
        <f>IF(AND(AK$30,$O61),$D$32,"")</f>
        <v>6.1</v>
      </c>
      <c r="AL61" s="32" t="str">
        <f>IF(AND(AL$30,$O61),$E$32,"")</f>
        <v/>
      </c>
      <c r="AM61" s="54">
        <f>IF(AND(AM$30,$O61),$F$32,"")</f>
        <v>10.1</v>
      </c>
      <c r="AN61" s="31" t="str">
        <f>IF(AND(AN$30,$O61),$C$32,"")</f>
        <v/>
      </c>
      <c r="AO61" s="32">
        <f>IF(AND(AO$30,$O61),$D$32,"")</f>
        <v>6.1</v>
      </c>
      <c r="AP61" s="32">
        <f>IF(AND(AP$30,$O61),$E$32,"")</f>
        <v>6.7</v>
      </c>
      <c r="AQ61" s="54" t="str">
        <f>IF(AND(AQ$30,$O61),$F$32,"")</f>
        <v/>
      </c>
      <c r="AR61" s="31" t="str">
        <f>IF(AND(AR$30,$O61),$C$32,"")</f>
        <v/>
      </c>
      <c r="AS61" s="32">
        <f>IF(AND(AS$30,$O61),$D$32,"")</f>
        <v>6.1</v>
      </c>
      <c r="AT61" s="32">
        <f>IF(AND(AT$30,$O61),$E$32,"")</f>
        <v>6.7</v>
      </c>
      <c r="AU61" s="54">
        <f>IF(AND(AU$30,$O61),$F$32,"")</f>
        <v>10.1</v>
      </c>
      <c r="AV61" s="31">
        <f>IF(AND(AV$30,$O61),$C$32,"")</f>
        <v>7.4</v>
      </c>
      <c r="AW61" s="32" t="str">
        <f>IF(AND(AW$30,$O61),$D$32,"")</f>
        <v/>
      </c>
      <c r="AX61" s="32" t="str">
        <f>IF(AND(AX$30,$O61),$E$32,"")</f>
        <v/>
      </c>
      <c r="AY61" s="54" t="str">
        <f>IF(AND(AY$30,$O61),$F$32,"")</f>
        <v/>
      </c>
      <c r="AZ61" s="31">
        <f>IF(AND(AZ$30,$O61),$C$32,"")</f>
        <v>7.4</v>
      </c>
      <c r="BA61" s="32" t="str">
        <f>IF(AND(BA$30,$O61),$D$32,"")</f>
        <v/>
      </c>
      <c r="BB61" s="32" t="str">
        <f>IF(AND(BB$30,$O61),$E$32,"")</f>
        <v/>
      </c>
      <c r="BC61" s="54">
        <f>IF(AND(BC$30,$O61),$F$32,"")</f>
        <v>10.1</v>
      </c>
      <c r="BD61" s="31">
        <f>IF(AND(BD$30,$O61),$C$32,"")</f>
        <v>7.4</v>
      </c>
      <c r="BE61" s="32" t="str">
        <f>IF(AND(BE$30,$O61),$D$32,"")</f>
        <v/>
      </c>
      <c r="BF61" s="32">
        <f>IF(AND(BF$30,$O61),$E$32,"")</f>
        <v>6.7</v>
      </c>
      <c r="BG61" s="54" t="str">
        <f>IF(AND(BG$30,$O61),$F$32,"")</f>
        <v/>
      </c>
      <c r="BH61" s="31">
        <f>IF(AND(BH$30,$O61),$C$32,"")</f>
        <v>7.4</v>
      </c>
      <c r="BI61" s="32" t="str">
        <f>IF(AND(BI$30,$O61),$D$32,"")</f>
        <v/>
      </c>
      <c r="BJ61" s="32">
        <f>IF(AND(BJ$30,$O61),$E$32,"")</f>
        <v>6.7</v>
      </c>
      <c r="BK61" s="54">
        <f>IF(AND(BK$30,$O61),$F$32,"")</f>
        <v>10.1</v>
      </c>
      <c r="BL61" s="31">
        <f>IF(AND(BL$30,$O61),$C$32,"")</f>
        <v>7.4</v>
      </c>
      <c r="BM61" s="32">
        <f>IF(AND(BM$30,$O61),$D$32,"")</f>
        <v>6.1</v>
      </c>
      <c r="BN61" s="32" t="str">
        <f>IF(AND(BN$30,$O61),$E$32,"")</f>
        <v/>
      </c>
      <c r="BO61" s="54" t="str">
        <f>IF(AND(BO$30,$O61),$F$32,"")</f>
        <v/>
      </c>
      <c r="BP61" s="31">
        <f>IF(AND(BP$30,$O61),$C$32,"")</f>
        <v>7.4</v>
      </c>
      <c r="BQ61" s="32">
        <f>IF(AND(BQ$30,$O61),$D$32,"")</f>
        <v>6.1</v>
      </c>
      <c r="BR61" s="32" t="str">
        <f>IF(AND(BR$30,$O61),$E$32,"")</f>
        <v/>
      </c>
      <c r="BS61" s="54">
        <f>IF(AND(BS$30,$O61),$F$32,"")</f>
        <v>10.1</v>
      </c>
      <c r="BT61" s="31">
        <f>IF(AND(BT$30,$O61),$C$32,"")</f>
        <v>7.4</v>
      </c>
      <c r="BU61" s="32">
        <f>IF(AND(BU$30,$O61),$D$32,"")</f>
        <v>6.1</v>
      </c>
      <c r="BV61" s="32">
        <f>IF(AND(BV$30,$O61),$E$32,"")</f>
        <v>6.7</v>
      </c>
      <c r="BW61" s="54" t="str">
        <f>IF(AND(BW$30,$O61),$F$32,"")</f>
        <v/>
      </c>
      <c r="BX61" s="31">
        <f>IF(AND(BX$30,$O61),$C$32,"")</f>
        <v>7.4</v>
      </c>
      <c r="BY61" s="32">
        <f>IF(AND(BY$30,$O61),$D$32,"")</f>
        <v>6.1</v>
      </c>
      <c r="BZ61" s="32">
        <f>IF(AND(BZ$30,$O61),$E$32,"")</f>
        <v>6.7</v>
      </c>
      <c r="CA61" s="54">
        <f>IF(AND(CA$30,$O61),$F$32,"")</f>
        <v>10.1</v>
      </c>
      <c r="CB61" s="31" t="str">
        <f>IF(AND(CB$30,$O61),$C$32,"")</f>
        <v/>
      </c>
      <c r="CC61" s="32" t="str">
        <f>IF(AND(CC$30,$O61),$D$32,"")</f>
        <v/>
      </c>
      <c r="CD61" s="32" t="str">
        <f>IF(AND(CD$30,$O61),$E$32,"")</f>
        <v/>
      </c>
      <c r="CE61" s="54" t="str">
        <f>IF(AND(CE$30,$O61),$F$32,"")</f>
        <v/>
      </c>
    </row>
    <row r="62" spans="12:83" ht="15.75" thickBot="1">
      <c r="L62" s="86"/>
      <c r="M62" s="37" t="str">
        <f t="shared" si="20"/>
        <v>G</v>
      </c>
      <c r="O62" s="43">
        <f>BinAnd(N59,G)</f>
        <v>1</v>
      </c>
      <c r="P62" s="55" t="str">
        <f>IF(AND(P$30,$O62),$C$33,"")</f>
        <v/>
      </c>
      <c r="Q62" s="56" t="str">
        <f>IF(AND(Q$30,$O62),$D$33,"")</f>
        <v/>
      </c>
      <c r="R62" s="56" t="str">
        <f>IF(AND(R$30,$O62),$E$33,"")</f>
        <v/>
      </c>
      <c r="S62" s="57" t="str">
        <f>IF(AND(S$30,$O62),$F$33,"")</f>
        <v/>
      </c>
      <c r="T62" s="55" t="str">
        <f>IF(AND(T$30,$O62),$C$33,"")</f>
        <v/>
      </c>
      <c r="U62" s="56" t="str">
        <f>IF(AND(U$30,$O62),$D$33,"")</f>
        <v/>
      </c>
      <c r="V62" s="56" t="str">
        <f>IF(AND(V$30,$O62),$E$33,"")</f>
        <v/>
      </c>
      <c r="W62" s="57">
        <f>IF(AND(W$30,$O62),$F$33,"")</f>
        <v>6.7</v>
      </c>
      <c r="X62" s="55" t="str">
        <f>IF(AND(X$30,$O62),$C$33,"")</f>
        <v/>
      </c>
      <c r="Y62" s="56" t="str">
        <f>IF(AND(Y$30,$O62),$D$33,"")</f>
        <v/>
      </c>
      <c r="Z62" s="56">
        <f>IF(AND(Z$30,$O62),$E$33,"")</f>
        <v>11.1</v>
      </c>
      <c r="AA62" s="57" t="str">
        <f>IF(AND(AA$30,$O62),$F$33,"")</f>
        <v/>
      </c>
      <c r="AB62" s="55" t="str">
        <f>IF(AND(AB$30,$O62),$C$33,"")</f>
        <v/>
      </c>
      <c r="AC62" s="56" t="str">
        <f>IF(AND(AC$30,$O62),$D$33,"")</f>
        <v/>
      </c>
      <c r="AD62" s="56">
        <f>IF(AND(AD$30,$O62),$E$33,"")</f>
        <v>11.1</v>
      </c>
      <c r="AE62" s="57">
        <f>IF(AND(AE$30,$O62),$F$33,"")</f>
        <v>6.7</v>
      </c>
      <c r="AF62" s="55" t="str">
        <f>IF(AND(AF$30,$O62),$C$33,"")</f>
        <v/>
      </c>
      <c r="AG62" s="56">
        <f>IF(AND(AG$30,$O62),$D$33,"")</f>
        <v>8.6</v>
      </c>
      <c r="AH62" s="56" t="str">
        <f>IF(AND(AH$30,$O62),$E$33,"")</f>
        <v/>
      </c>
      <c r="AI62" s="57" t="str">
        <f>IF(AND(AI$30,$O62),$F$33,"")</f>
        <v/>
      </c>
      <c r="AJ62" s="55" t="str">
        <f>IF(AND(AJ$30,$O62),$C$33,"")</f>
        <v/>
      </c>
      <c r="AK62" s="56">
        <f>IF(AND(AK$30,$O62),$D$33,"")</f>
        <v>8.6</v>
      </c>
      <c r="AL62" s="56" t="str">
        <f>IF(AND(AL$30,$O62),$E$33,"")</f>
        <v/>
      </c>
      <c r="AM62" s="57">
        <f>IF(AND(AM$30,$O62),$F$33,"")</f>
        <v>6.7</v>
      </c>
      <c r="AN62" s="55" t="str">
        <f>IF(AND(AN$30,$O62),$C$33,"")</f>
        <v/>
      </c>
      <c r="AO62" s="56">
        <f>IF(AND(AO$30,$O62),$D$33,"")</f>
        <v>8.6</v>
      </c>
      <c r="AP62" s="56">
        <f>IF(AND(AP$30,$O62),$E$33,"")</f>
        <v>11.1</v>
      </c>
      <c r="AQ62" s="57" t="str">
        <f>IF(AND(AQ$30,$O62),$F$33,"")</f>
        <v/>
      </c>
      <c r="AR62" s="55" t="str">
        <f>IF(AND(AR$30,$O62),$C$33,"")</f>
        <v/>
      </c>
      <c r="AS62" s="56">
        <f>IF(AND(AS$30,$O62),$D$33,"")</f>
        <v>8.6</v>
      </c>
      <c r="AT62" s="56">
        <f>IF(AND(AT$30,$O62),$E$33,"")</f>
        <v>11.1</v>
      </c>
      <c r="AU62" s="57">
        <f>IF(AND(AU$30,$O62),$F$33,"")</f>
        <v>6.7</v>
      </c>
      <c r="AV62" s="55">
        <f>IF(AND(AV$30,$O62),$C$33,"")</f>
        <v>7.7</v>
      </c>
      <c r="AW62" s="56" t="str">
        <f>IF(AND(AW$30,$O62),$D$33,"")</f>
        <v/>
      </c>
      <c r="AX62" s="56" t="str">
        <f>IF(AND(AX$30,$O62),$E$33,"")</f>
        <v/>
      </c>
      <c r="AY62" s="57" t="str">
        <f>IF(AND(AY$30,$O62),$F$33,"")</f>
        <v/>
      </c>
      <c r="AZ62" s="55">
        <f>IF(AND(AZ$30,$O62),$C$33,"")</f>
        <v>7.7</v>
      </c>
      <c r="BA62" s="56" t="str">
        <f>IF(AND(BA$30,$O62),$D$33,"")</f>
        <v/>
      </c>
      <c r="BB62" s="56" t="str">
        <f>IF(AND(BB$30,$O62),$E$33,"")</f>
        <v/>
      </c>
      <c r="BC62" s="57">
        <f>IF(AND(BC$30,$O62),$F$33,"")</f>
        <v>6.7</v>
      </c>
      <c r="BD62" s="55">
        <f>IF(AND(BD$30,$O62),$C$33,"")</f>
        <v>7.7</v>
      </c>
      <c r="BE62" s="56" t="str">
        <f>IF(AND(BE$30,$O62),$D$33,"")</f>
        <v/>
      </c>
      <c r="BF62" s="56">
        <f>IF(AND(BF$30,$O62),$E$33,"")</f>
        <v>11.1</v>
      </c>
      <c r="BG62" s="57" t="str">
        <f>IF(AND(BG$30,$O62),$F$33,"")</f>
        <v/>
      </c>
      <c r="BH62" s="55">
        <f>IF(AND(BH$30,$O62),$C$33,"")</f>
        <v>7.7</v>
      </c>
      <c r="BI62" s="56" t="str">
        <f>IF(AND(BI$30,$O62),$D$33,"")</f>
        <v/>
      </c>
      <c r="BJ62" s="56">
        <f>IF(AND(BJ$30,$O62),$E$33,"")</f>
        <v>11.1</v>
      </c>
      <c r="BK62" s="57">
        <f>IF(AND(BK$30,$O62),$F$33,"")</f>
        <v>6.7</v>
      </c>
      <c r="BL62" s="55">
        <f>IF(AND(BL$30,$O62),$C$33,"")</f>
        <v>7.7</v>
      </c>
      <c r="BM62" s="56">
        <f>IF(AND(BM$30,$O62),$D$33,"")</f>
        <v>8.6</v>
      </c>
      <c r="BN62" s="56" t="str">
        <f>IF(AND(BN$30,$O62),$E$33,"")</f>
        <v/>
      </c>
      <c r="BO62" s="57" t="str">
        <f>IF(AND(BO$30,$O62),$F$33,"")</f>
        <v/>
      </c>
      <c r="BP62" s="55">
        <f>IF(AND(BP$30,$O62),$C$33,"")</f>
        <v>7.7</v>
      </c>
      <c r="BQ62" s="56">
        <f>IF(AND(BQ$30,$O62),$D$33,"")</f>
        <v>8.6</v>
      </c>
      <c r="BR62" s="56" t="str">
        <f>IF(AND(BR$30,$O62),$E$33,"")</f>
        <v/>
      </c>
      <c r="BS62" s="57">
        <f>IF(AND(BS$30,$O62),$F$33,"")</f>
        <v>6.7</v>
      </c>
      <c r="BT62" s="55">
        <f>IF(AND(BT$30,$O62),$C$33,"")</f>
        <v>7.7</v>
      </c>
      <c r="BU62" s="56">
        <f>IF(AND(BU$30,$O62),$D$33,"")</f>
        <v>8.6</v>
      </c>
      <c r="BV62" s="56">
        <f>IF(AND(BV$30,$O62),$E$33,"")</f>
        <v>11.1</v>
      </c>
      <c r="BW62" s="57" t="str">
        <f>IF(AND(BW$30,$O62),$F$33,"")</f>
        <v/>
      </c>
      <c r="BX62" s="55">
        <f>IF(AND(BX$30,$O62),$C$33,"")</f>
        <v>7.7</v>
      </c>
      <c r="BY62" s="56">
        <f>IF(AND(BY$30,$O62),$D$33,"")</f>
        <v>8.6</v>
      </c>
      <c r="BZ62" s="56">
        <f>IF(AND(BZ$30,$O62),$E$33,"")</f>
        <v>11.1</v>
      </c>
      <c r="CA62" s="57">
        <f>IF(AND(CA$30,$O62),$F$33,"")</f>
        <v>6.7</v>
      </c>
      <c r="CB62" s="55" t="str">
        <f>IF(AND(CB$30,$O62),$C$33,"")</f>
        <v/>
      </c>
      <c r="CC62" s="56" t="str">
        <f>IF(AND(CC$30,$O62),$D$33,"")</f>
        <v/>
      </c>
      <c r="CD62" s="56" t="str">
        <f>IF(AND(CD$30,$O62),$E$33,"")</f>
        <v/>
      </c>
      <c r="CE62" s="57" t="str">
        <f>IF(AND(CE$30,$O62),$F$33,"")</f>
        <v/>
      </c>
    </row>
    <row r="63" spans="12:83">
      <c r="L63" s="83" t="str">
        <f>MID(CodDegElegir,N63+1,1)</f>
        <v>A</v>
      </c>
      <c r="M63" s="85" t="str">
        <f t="shared" si="20"/>
        <v>A</v>
      </c>
      <c r="N63">
        <v>8</v>
      </c>
      <c r="O63" s="81">
        <f>BinAnd(N63,A)</f>
        <v>8</v>
      </c>
      <c r="P63" s="29" t="str">
        <f>IF(AND(P$30,$O63),$C$30,"")</f>
        <v/>
      </c>
      <c r="Q63" s="30" t="str">
        <f>IF(AND(Q$30,$O63),$D$30,"")</f>
        <v/>
      </c>
      <c r="R63" s="30" t="str">
        <f>IF(AND(R$30,$O63),$E$30,"")</f>
        <v/>
      </c>
      <c r="S63" s="53" t="str">
        <f>IF(AND(S$30,$O63),$F$30,"")</f>
        <v/>
      </c>
      <c r="T63" s="29" t="str">
        <f>IF(AND(T$30,$O63),$C$30,"")</f>
        <v/>
      </c>
      <c r="U63" s="30" t="str">
        <f>IF(AND(U$30,$O63),$D$30,"")</f>
        <v/>
      </c>
      <c r="V63" s="30" t="str">
        <f>IF(AND(V$30,$O63),$E$30,"")</f>
        <v/>
      </c>
      <c r="W63" s="53">
        <f>IF(AND(W$30,$O63),$F$30,"")</f>
        <v>6.1</v>
      </c>
      <c r="X63" s="29" t="str">
        <f>IF(AND(X$30,$O63),$C$30,"")</f>
        <v/>
      </c>
      <c r="Y63" s="30" t="str">
        <f>IF(AND(Y$30,$O63),$D$30,"")</f>
        <v/>
      </c>
      <c r="Z63" s="30">
        <f>IF(AND(Z$30,$O63),$E$30,"")</f>
        <v>8.6</v>
      </c>
      <c r="AA63" s="53" t="str">
        <f>IF(AND(AA$30,$O63),$F$30,"")</f>
        <v/>
      </c>
      <c r="AB63" s="29" t="str">
        <f>IF(AND(AB$30,$O63),$C$30,"")</f>
        <v/>
      </c>
      <c r="AC63" s="30" t="str">
        <f>IF(AND(AC$30,$O63),$D$30,"")</f>
        <v/>
      </c>
      <c r="AD63" s="30">
        <f>IF(AND(AD$30,$O63),$E$30,"")</f>
        <v>8.6</v>
      </c>
      <c r="AE63" s="53">
        <f>IF(AND(AE$30,$O63),$F$30,"")</f>
        <v>6.1</v>
      </c>
      <c r="AF63" s="29" t="str">
        <f>IF(AND(AF$30,$O63),$C$30,"")</f>
        <v/>
      </c>
      <c r="AG63" s="30">
        <f>IF(AND(AG$30,$O63),$D$30,"")</f>
        <v>6.5</v>
      </c>
      <c r="AH63" s="30" t="str">
        <f>IF(AND(AH$30,$O63),$E$30,"")</f>
        <v/>
      </c>
      <c r="AI63" s="53" t="str">
        <f>IF(AND(AI$30,$O63),$F$30,"")</f>
        <v/>
      </c>
      <c r="AJ63" s="29" t="str">
        <f>IF(AND(AJ$30,$O63),$C$30,"")</f>
        <v/>
      </c>
      <c r="AK63" s="30">
        <f>IF(AND(AK$30,$O63),$D$30,"")</f>
        <v>6.5</v>
      </c>
      <c r="AL63" s="30" t="str">
        <f>IF(AND(AL$30,$O63),$E$30,"")</f>
        <v/>
      </c>
      <c r="AM63" s="53">
        <f>IF(AND(AM$30,$O63),$F$30,"")</f>
        <v>6.1</v>
      </c>
      <c r="AN63" s="29" t="str">
        <f>IF(AND(AN$30,$O63),$C$30,"")</f>
        <v/>
      </c>
      <c r="AO63" s="30">
        <f>IF(AND(AO$30,$O63),$D$30,"")</f>
        <v>6.5</v>
      </c>
      <c r="AP63" s="30">
        <f>IF(AND(AP$30,$O63),$E$30,"")</f>
        <v>8.6</v>
      </c>
      <c r="AQ63" s="53" t="str">
        <f>IF(AND(AQ$30,$O63),$F$30,"")</f>
        <v/>
      </c>
      <c r="AR63" s="29" t="str">
        <f>IF(AND(AR$30,$O63),$C$30,"")</f>
        <v/>
      </c>
      <c r="AS63" s="30">
        <f>IF(AND(AS$30,$O63),$D$30,"")</f>
        <v>6.5</v>
      </c>
      <c r="AT63" s="30">
        <f>IF(AND(AT$30,$O63),$E$30,"")</f>
        <v>8.6</v>
      </c>
      <c r="AU63" s="53">
        <f>IF(AND(AU$30,$O63),$F$30,"")</f>
        <v>6.1</v>
      </c>
      <c r="AV63" s="29">
        <f>IF(AND(AV$30,$O63),$C$30,"")</f>
        <v>8.4</v>
      </c>
      <c r="AW63" s="30" t="str">
        <f>IF(AND(AW$30,$O63),$D$30,"")</f>
        <v/>
      </c>
      <c r="AX63" s="30" t="str">
        <f>IF(AND(AX$30,$O63),$E$30,"")</f>
        <v/>
      </c>
      <c r="AY63" s="53" t="str">
        <f>IF(AND(AY$30,$O63),$F$30,"")</f>
        <v/>
      </c>
      <c r="AZ63" s="29">
        <f>IF(AND(AZ$30,$O63),$C$30,"")</f>
        <v>8.4</v>
      </c>
      <c r="BA63" s="30" t="str">
        <f>IF(AND(BA$30,$O63),$D$30,"")</f>
        <v/>
      </c>
      <c r="BB63" s="30" t="str">
        <f>IF(AND(BB$30,$O63),$E$30,"")</f>
        <v/>
      </c>
      <c r="BC63" s="53">
        <f>IF(AND(BC$30,$O63),$F$30,"")</f>
        <v>6.1</v>
      </c>
      <c r="BD63" s="29">
        <f>IF(AND(BD$30,$O63),$C$30,"")</f>
        <v>8.4</v>
      </c>
      <c r="BE63" s="30" t="str">
        <f>IF(AND(BE$30,$O63),$D$30,"")</f>
        <v/>
      </c>
      <c r="BF63" s="30">
        <f>IF(AND(BF$30,$O63),$E$30,"")</f>
        <v>8.6</v>
      </c>
      <c r="BG63" s="53" t="str">
        <f>IF(AND(BG$30,$O63),$F$30,"")</f>
        <v/>
      </c>
      <c r="BH63" s="29">
        <f>IF(AND(BH$30,$O63),$C$30,"")</f>
        <v>8.4</v>
      </c>
      <c r="BI63" s="30" t="str">
        <f>IF(AND(BI$30,$O63),$D$30,"")</f>
        <v/>
      </c>
      <c r="BJ63" s="30">
        <f>IF(AND(BJ$30,$O63),$E$30,"")</f>
        <v>8.6</v>
      </c>
      <c r="BK63" s="53">
        <f>IF(AND(BK$30,$O63),$F$30,"")</f>
        <v>6.1</v>
      </c>
      <c r="BL63" s="29">
        <f>IF(AND(BL$30,$O63),$C$30,"")</f>
        <v>8.4</v>
      </c>
      <c r="BM63" s="30">
        <f>IF(AND(BM$30,$O63),$D$30,"")</f>
        <v>6.5</v>
      </c>
      <c r="BN63" s="30" t="str">
        <f>IF(AND(BN$30,$O63),$E$30,"")</f>
        <v/>
      </c>
      <c r="BO63" s="53" t="str">
        <f>IF(AND(BO$30,$O63),$F$30,"")</f>
        <v/>
      </c>
      <c r="BP63" s="29">
        <f>IF(AND(BP$30,$O63),$C$30,"")</f>
        <v>8.4</v>
      </c>
      <c r="BQ63" s="30">
        <f>IF(AND(BQ$30,$O63),$D$30,"")</f>
        <v>6.5</v>
      </c>
      <c r="BR63" s="30" t="str">
        <f>IF(AND(BR$30,$O63),$E$30,"")</f>
        <v/>
      </c>
      <c r="BS63" s="53">
        <f>IF(AND(BS$30,$O63),$F$30,"")</f>
        <v>6.1</v>
      </c>
      <c r="BT63" s="29">
        <f>IF(AND(BT$30,$O63),$C$30,"")</f>
        <v>8.4</v>
      </c>
      <c r="BU63" s="30">
        <f>IF(AND(BU$30,$O63),$D$30,"")</f>
        <v>6.5</v>
      </c>
      <c r="BV63" s="30">
        <f>IF(AND(BV$30,$O63),$E$30,"")</f>
        <v>8.6</v>
      </c>
      <c r="BW63" s="53" t="str">
        <f>IF(AND(BW$30,$O63),$F$30,"")</f>
        <v/>
      </c>
      <c r="BX63" s="29">
        <f>IF(AND(BX$30,$O63),$C$30,"")</f>
        <v>8.4</v>
      </c>
      <c r="BY63" s="30">
        <f>IF(AND(BY$30,$O63),$D$30,"")</f>
        <v>6.5</v>
      </c>
      <c r="BZ63" s="30">
        <f>IF(AND(BZ$30,$O63),$E$30,"")</f>
        <v>8.6</v>
      </c>
      <c r="CA63" s="53">
        <f>IF(AND(CA$30,$O63),$F$30,"")</f>
        <v>6.1</v>
      </c>
      <c r="CB63" s="29" t="str">
        <f>IF(AND(CB$30,$O63),$C$30,"")</f>
        <v/>
      </c>
      <c r="CC63" s="30" t="str">
        <f>IF(AND(CC$30,$O63),$D$30,"")</f>
        <v/>
      </c>
      <c r="CD63" s="30" t="str">
        <f>IF(AND(CD$30,$O63),$E$30,"")</f>
        <v/>
      </c>
      <c r="CE63" s="53" t="str">
        <f>IF(AND(CE$30,$O63),$F$30,"")</f>
        <v/>
      </c>
    </row>
    <row r="64" spans="12:83">
      <c r="L64" s="87"/>
      <c r="M64" s="36" t="str">
        <f t="shared" ref="M64:M98" si="21">MID(CodDegElegir,O64+1,1)</f>
        <v>-</v>
      </c>
      <c r="O64" s="82">
        <f>BinAnd(N63,T)</f>
        <v>0</v>
      </c>
      <c r="P64" s="31" t="str">
        <f>IF(AND(P$30,$O64),$C$31,"")</f>
        <v/>
      </c>
      <c r="Q64" s="32" t="str">
        <f>IF(AND(Q$30,$O64),$D$31,"")</f>
        <v/>
      </c>
      <c r="R64" s="32" t="str">
        <f>IF(AND(R$30,$O64),$E$31,"")</f>
        <v/>
      </c>
      <c r="S64" s="54" t="str">
        <f>IF(AND(S$30,$O64),$F$31,"")</f>
        <v/>
      </c>
      <c r="T64" s="31" t="str">
        <f>IF(AND(T$30,$O64),$C$31,"")</f>
        <v/>
      </c>
      <c r="U64" s="32" t="str">
        <f>IF(AND(U$30,$O64),$D$31,"")</f>
        <v/>
      </c>
      <c r="V64" s="32" t="str">
        <f>IF(AND(V$30,$O64),$E$31,"")</f>
        <v/>
      </c>
      <c r="W64" s="54" t="str">
        <f>IF(AND(W$30,$O64),$F$31,"")</f>
        <v/>
      </c>
      <c r="X64" s="31" t="str">
        <f>IF(AND(X$30,$O64),$C$31,"")</f>
        <v/>
      </c>
      <c r="Y64" s="32" t="str">
        <f>IF(AND(Y$30,$O64),$D$31,"")</f>
        <v/>
      </c>
      <c r="Z64" s="32" t="str">
        <f>IF(AND(Z$30,$O64),$E$31,"")</f>
        <v/>
      </c>
      <c r="AA64" s="54" t="str">
        <f>IF(AND(AA$30,$O64),$F$31,"")</f>
        <v/>
      </c>
      <c r="AB64" s="31" t="str">
        <f>IF(AND(AB$30,$O64),$C$31,"")</f>
        <v/>
      </c>
      <c r="AC64" s="32" t="str">
        <f>IF(AND(AC$30,$O64),$D$31,"")</f>
        <v/>
      </c>
      <c r="AD64" s="32" t="str">
        <f>IF(AND(AD$30,$O64),$E$31,"")</f>
        <v/>
      </c>
      <c r="AE64" s="54" t="str">
        <f>IF(AND(AE$30,$O64),$F$31,"")</f>
        <v/>
      </c>
      <c r="AF64" s="31" t="str">
        <f>IF(AND(AF$30,$O64),$C$31,"")</f>
        <v/>
      </c>
      <c r="AG64" s="32" t="str">
        <f>IF(AND(AG$30,$O64),$D$31,"")</f>
        <v/>
      </c>
      <c r="AH64" s="32" t="str">
        <f>IF(AND(AH$30,$O64),$E$31,"")</f>
        <v/>
      </c>
      <c r="AI64" s="54" t="str">
        <f>IF(AND(AI$30,$O64),$F$31,"")</f>
        <v/>
      </c>
      <c r="AJ64" s="31" t="str">
        <f>IF(AND(AJ$30,$O64),$C$31,"")</f>
        <v/>
      </c>
      <c r="AK64" s="32" t="str">
        <f>IF(AND(AK$30,$O64),$D$31,"")</f>
        <v/>
      </c>
      <c r="AL64" s="32" t="str">
        <f>IF(AND(AL$30,$O64),$E$31,"")</f>
        <v/>
      </c>
      <c r="AM64" s="54" t="str">
        <f>IF(AND(AM$30,$O64),$F$31,"")</f>
        <v/>
      </c>
      <c r="AN64" s="31" t="str">
        <f>IF(AND(AN$30,$O64),$C$31,"")</f>
        <v/>
      </c>
      <c r="AO64" s="32" t="str">
        <f>IF(AND(AO$30,$O64),$D$31,"")</f>
        <v/>
      </c>
      <c r="AP64" s="32" t="str">
        <f>IF(AND(AP$30,$O64),$E$31,"")</f>
        <v/>
      </c>
      <c r="AQ64" s="54" t="str">
        <f>IF(AND(AQ$30,$O64),$F$31,"")</f>
        <v/>
      </c>
      <c r="AR64" s="31" t="str">
        <f>IF(AND(AR$30,$O64),$C$31,"")</f>
        <v/>
      </c>
      <c r="AS64" s="32" t="str">
        <f>IF(AND(AS$30,$O64),$D$31,"")</f>
        <v/>
      </c>
      <c r="AT64" s="32" t="str">
        <f>IF(AND(AT$30,$O64),$E$31,"")</f>
        <v/>
      </c>
      <c r="AU64" s="54" t="str">
        <f>IF(AND(AU$30,$O64),$F$31,"")</f>
        <v/>
      </c>
      <c r="AV64" s="31" t="str">
        <f>IF(AND(AV$30,$O64),$C$31,"")</f>
        <v/>
      </c>
      <c r="AW64" s="32" t="str">
        <f>IF(AND(AW$30,$O64),$D$31,"")</f>
        <v/>
      </c>
      <c r="AX64" s="32" t="str">
        <f>IF(AND(AX$30,$O64),$E$31,"")</f>
        <v/>
      </c>
      <c r="AY64" s="54" t="str">
        <f>IF(AND(AY$30,$O64),$F$31,"")</f>
        <v/>
      </c>
      <c r="AZ64" s="31" t="str">
        <f>IF(AND(AZ$30,$O64),$C$31,"")</f>
        <v/>
      </c>
      <c r="BA64" s="32" t="str">
        <f>IF(AND(BA$30,$O64),$D$31,"")</f>
        <v/>
      </c>
      <c r="BB64" s="32" t="str">
        <f>IF(AND(BB$30,$O64),$E$31,"")</f>
        <v/>
      </c>
      <c r="BC64" s="54" t="str">
        <f>IF(AND(BC$30,$O64),$F$31,"")</f>
        <v/>
      </c>
      <c r="BD64" s="31" t="str">
        <f>IF(AND(BD$30,$O64),$C$31,"")</f>
        <v/>
      </c>
      <c r="BE64" s="32" t="str">
        <f>IF(AND(BE$30,$O64),$D$31,"")</f>
        <v/>
      </c>
      <c r="BF64" s="32" t="str">
        <f>IF(AND(BF$30,$O64),$E$31,"")</f>
        <v/>
      </c>
      <c r="BG64" s="54" t="str">
        <f>IF(AND(BG$30,$O64),$F$31,"")</f>
        <v/>
      </c>
      <c r="BH64" s="31" t="str">
        <f>IF(AND(BH$30,$O64),$C$31,"")</f>
        <v/>
      </c>
      <c r="BI64" s="32" t="str">
        <f>IF(AND(BI$30,$O64),$D$31,"")</f>
        <v/>
      </c>
      <c r="BJ64" s="32" t="str">
        <f>IF(AND(BJ$30,$O64),$E$31,"")</f>
        <v/>
      </c>
      <c r="BK64" s="54" t="str">
        <f>IF(AND(BK$30,$O64),$F$31,"")</f>
        <v/>
      </c>
      <c r="BL64" s="31" t="str">
        <f>IF(AND(BL$30,$O64),$C$31,"")</f>
        <v/>
      </c>
      <c r="BM64" s="32" t="str">
        <f>IF(AND(BM$30,$O64),$D$31,"")</f>
        <v/>
      </c>
      <c r="BN64" s="32" t="str">
        <f>IF(AND(BN$30,$O64),$E$31,"")</f>
        <v/>
      </c>
      <c r="BO64" s="54" t="str">
        <f>IF(AND(BO$30,$O64),$F$31,"")</f>
        <v/>
      </c>
      <c r="BP64" s="31" t="str">
        <f>IF(AND(BP$30,$O64),$C$31,"")</f>
        <v/>
      </c>
      <c r="BQ64" s="32" t="str">
        <f>IF(AND(BQ$30,$O64),$D$31,"")</f>
        <v/>
      </c>
      <c r="BR64" s="32" t="str">
        <f>IF(AND(BR$30,$O64),$E$31,"")</f>
        <v/>
      </c>
      <c r="BS64" s="54" t="str">
        <f>IF(AND(BS$30,$O64),$F$31,"")</f>
        <v/>
      </c>
      <c r="BT64" s="31" t="str">
        <f>IF(AND(BT$30,$O64),$C$31,"")</f>
        <v/>
      </c>
      <c r="BU64" s="32" t="str">
        <f>IF(AND(BU$30,$O64),$D$31,"")</f>
        <v/>
      </c>
      <c r="BV64" s="32" t="str">
        <f>IF(AND(BV$30,$O64),$E$31,"")</f>
        <v/>
      </c>
      <c r="BW64" s="54" t="str">
        <f>IF(AND(BW$30,$O64),$F$31,"")</f>
        <v/>
      </c>
      <c r="BX64" s="31" t="str">
        <f>IF(AND(BX$30,$O64),$C$31,"")</f>
        <v/>
      </c>
      <c r="BY64" s="32" t="str">
        <f>IF(AND(BY$30,$O64),$D$31,"")</f>
        <v/>
      </c>
      <c r="BZ64" s="32" t="str">
        <f>IF(AND(BZ$30,$O64),$E$31,"")</f>
        <v/>
      </c>
      <c r="CA64" s="54" t="str">
        <f>IF(AND(CA$30,$O64),$F$31,"")</f>
        <v/>
      </c>
      <c r="CB64" s="31" t="str">
        <f>IF(AND(CB$30,$O64),$C$31,"")</f>
        <v/>
      </c>
      <c r="CC64" s="32" t="str">
        <f>IF(AND(CC$30,$O64),$D$31,"")</f>
        <v/>
      </c>
      <c r="CD64" s="32" t="str">
        <f>IF(AND(CD$30,$O64),$E$31,"")</f>
        <v/>
      </c>
      <c r="CE64" s="54" t="str">
        <f>IF(AND(CE$30,$O64),$F$31,"")</f>
        <v/>
      </c>
    </row>
    <row r="65" spans="12:83">
      <c r="L65" s="87"/>
      <c r="M65" s="36" t="str">
        <f t="shared" si="21"/>
        <v>-</v>
      </c>
      <c r="O65" s="82">
        <f>BinAnd(N63,Ce)</f>
        <v>0</v>
      </c>
      <c r="P65" s="31" t="str">
        <f>IF(AND(P$30,$O65),$C$32,"")</f>
        <v/>
      </c>
      <c r="Q65" s="32" t="str">
        <f>IF(AND(Q$30,$O65),$D$32,"")</f>
        <v/>
      </c>
      <c r="R65" s="32" t="str">
        <f>IF(AND(R$30,$O65),$E$32,"")</f>
        <v/>
      </c>
      <c r="S65" s="54" t="str">
        <f>IF(AND(S$30,$O65),$F$32,"")</f>
        <v/>
      </c>
      <c r="T65" s="31" t="str">
        <f>IF(AND(T$30,$O65),$C$32,"")</f>
        <v/>
      </c>
      <c r="U65" s="32" t="str">
        <f>IF(AND(U$30,$O65),$D$32,"")</f>
        <v/>
      </c>
      <c r="V65" s="32" t="str">
        <f>IF(AND(V$30,$O65),$E$32,"")</f>
        <v/>
      </c>
      <c r="W65" s="54" t="str">
        <f>IF(AND(W$30,$O65),$F$32,"")</f>
        <v/>
      </c>
      <c r="X65" s="31" t="str">
        <f>IF(AND(X$30,$O65),$C$32,"")</f>
        <v/>
      </c>
      <c r="Y65" s="32" t="str">
        <f>IF(AND(Y$30,$O65),$D$32,"")</f>
        <v/>
      </c>
      <c r="Z65" s="32" t="str">
        <f>IF(AND(Z$30,$O65),$E$32,"")</f>
        <v/>
      </c>
      <c r="AA65" s="54" t="str">
        <f>IF(AND(AA$30,$O65),$F$32,"")</f>
        <v/>
      </c>
      <c r="AB65" s="31" t="str">
        <f>IF(AND(AB$30,$O65),$C$32,"")</f>
        <v/>
      </c>
      <c r="AC65" s="32" t="str">
        <f>IF(AND(AC$30,$O65),$D$32,"")</f>
        <v/>
      </c>
      <c r="AD65" s="32" t="str">
        <f>IF(AND(AD$30,$O65),$E$32,"")</f>
        <v/>
      </c>
      <c r="AE65" s="54" t="str">
        <f>IF(AND(AE$30,$O65),$F$32,"")</f>
        <v/>
      </c>
      <c r="AF65" s="31" t="str">
        <f>IF(AND(AF$30,$O65),$C$32,"")</f>
        <v/>
      </c>
      <c r="AG65" s="32" t="str">
        <f>IF(AND(AG$30,$O65),$D$32,"")</f>
        <v/>
      </c>
      <c r="AH65" s="32" t="str">
        <f>IF(AND(AH$30,$O65),$E$32,"")</f>
        <v/>
      </c>
      <c r="AI65" s="54" t="str">
        <f>IF(AND(AI$30,$O65),$F$32,"")</f>
        <v/>
      </c>
      <c r="AJ65" s="31" t="str">
        <f>IF(AND(AJ$30,$O65),$C$32,"")</f>
        <v/>
      </c>
      <c r="AK65" s="32" t="str">
        <f>IF(AND(AK$30,$O65),$D$32,"")</f>
        <v/>
      </c>
      <c r="AL65" s="32" t="str">
        <f>IF(AND(AL$30,$O65),$E$32,"")</f>
        <v/>
      </c>
      <c r="AM65" s="54" t="str">
        <f>IF(AND(AM$30,$O65),$F$32,"")</f>
        <v/>
      </c>
      <c r="AN65" s="31" t="str">
        <f>IF(AND(AN$30,$O65),$C$32,"")</f>
        <v/>
      </c>
      <c r="AO65" s="32" t="str">
        <f>IF(AND(AO$30,$O65),$D$32,"")</f>
        <v/>
      </c>
      <c r="AP65" s="32" t="str">
        <f>IF(AND(AP$30,$O65),$E$32,"")</f>
        <v/>
      </c>
      <c r="AQ65" s="54" t="str">
        <f>IF(AND(AQ$30,$O65),$F$32,"")</f>
        <v/>
      </c>
      <c r="AR65" s="31" t="str">
        <f>IF(AND(AR$30,$O65),$C$32,"")</f>
        <v/>
      </c>
      <c r="AS65" s="32" t="str">
        <f>IF(AND(AS$30,$O65),$D$32,"")</f>
        <v/>
      </c>
      <c r="AT65" s="32" t="str">
        <f>IF(AND(AT$30,$O65),$E$32,"")</f>
        <v/>
      </c>
      <c r="AU65" s="54" t="str">
        <f>IF(AND(AU$30,$O65),$F$32,"")</f>
        <v/>
      </c>
      <c r="AV65" s="31" t="str">
        <f>IF(AND(AV$30,$O65),$C$32,"")</f>
        <v/>
      </c>
      <c r="AW65" s="32" t="str">
        <f>IF(AND(AW$30,$O65),$D$32,"")</f>
        <v/>
      </c>
      <c r="AX65" s="32" t="str">
        <f>IF(AND(AX$30,$O65),$E$32,"")</f>
        <v/>
      </c>
      <c r="AY65" s="54" t="str">
        <f>IF(AND(AY$30,$O65),$F$32,"")</f>
        <v/>
      </c>
      <c r="AZ65" s="31" t="str">
        <f>IF(AND(AZ$30,$O65),$C$32,"")</f>
        <v/>
      </c>
      <c r="BA65" s="32" t="str">
        <f>IF(AND(BA$30,$O65),$D$32,"")</f>
        <v/>
      </c>
      <c r="BB65" s="32" t="str">
        <f>IF(AND(BB$30,$O65),$E$32,"")</f>
        <v/>
      </c>
      <c r="BC65" s="54" t="str">
        <f>IF(AND(BC$30,$O65),$F$32,"")</f>
        <v/>
      </c>
      <c r="BD65" s="31" t="str">
        <f>IF(AND(BD$30,$O65),$C$32,"")</f>
        <v/>
      </c>
      <c r="BE65" s="32" t="str">
        <f>IF(AND(BE$30,$O65),$D$32,"")</f>
        <v/>
      </c>
      <c r="BF65" s="32" t="str">
        <f>IF(AND(BF$30,$O65),$E$32,"")</f>
        <v/>
      </c>
      <c r="BG65" s="54" t="str">
        <f>IF(AND(BG$30,$O65),$F$32,"")</f>
        <v/>
      </c>
      <c r="BH65" s="31" t="str">
        <f>IF(AND(BH$30,$O65),$C$32,"")</f>
        <v/>
      </c>
      <c r="BI65" s="32" t="str">
        <f>IF(AND(BI$30,$O65),$D$32,"")</f>
        <v/>
      </c>
      <c r="BJ65" s="32" t="str">
        <f>IF(AND(BJ$30,$O65),$E$32,"")</f>
        <v/>
      </c>
      <c r="BK65" s="54" t="str">
        <f>IF(AND(BK$30,$O65),$F$32,"")</f>
        <v/>
      </c>
      <c r="BL65" s="31" t="str">
        <f>IF(AND(BL$30,$O65),$C$32,"")</f>
        <v/>
      </c>
      <c r="BM65" s="32" t="str">
        <f>IF(AND(BM$30,$O65),$D$32,"")</f>
        <v/>
      </c>
      <c r="BN65" s="32" t="str">
        <f>IF(AND(BN$30,$O65),$E$32,"")</f>
        <v/>
      </c>
      <c r="BO65" s="54" t="str">
        <f>IF(AND(BO$30,$O65),$F$32,"")</f>
        <v/>
      </c>
      <c r="BP65" s="31" t="str">
        <f>IF(AND(BP$30,$O65),$C$32,"")</f>
        <v/>
      </c>
      <c r="BQ65" s="32" t="str">
        <f>IF(AND(BQ$30,$O65),$D$32,"")</f>
        <v/>
      </c>
      <c r="BR65" s="32" t="str">
        <f>IF(AND(BR$30,$O65),$E$32,"")</f>
        <v/>
      </c>
      <c r="BS65" s="54" t="str">
        <f>IF(AND(BS$30,$O65),$F$32,"")</f>
        <v/>
      </c>
      <c r="BT65" s="31" t="str">
        <f>IF(AND(BT$30,$O65),$C$32,"")</f>
        <v/>
      </c>
      <c r="BU65" s="32" t="str">
        <f>IF(AND(BU$30,$O65),$D$32,"")</f>
        <v/>
      </c>
      <c r="BV65" s="32" t="str">
        <f>IF(AND(BV$30,$O65),$E$32,"")</f>
        <v/>
      </c>
      <c r="BW65" s="54" t="str">
        <f>IF(AND(BW$30,$O65),$F$32,"")</f>
        <v/>
      </c>
      <c r="BX65" s="31" t="str">
        <f>IF(AND(BX$30,$O65),$C$32,"")</f>
        <v/>
      </c>
      <c r="BY65" s="32" t="str">
        <f>IF(AND(BY$30,$O65),$D$32,"")</f>
        <v/>
      </c>
      <c r="BZ65" s="32" t="str">
        <f>IF(AND(BZ$30,$O65),$E$32,"")</f>
        <v/>
      </c>
      <c r="CA65" s="54" t="str">
        <f>IF(AND(CA$30,$O65),$F$32,"")</f>
        <v/>
      </c>
      <c r="CB65" s="31" t="str">
        <f>IF(AND(CB$30,$O65),$C$32,"")</f>
        <v/>
      </c>
      <c r="CC65" s="32" t="str">
        <f>IF(AND(CC$30,$O65),$D$32,"")</f>
        <v/>
      </c>
      <c r="CD65" s="32" t="str">
        <f>IF(AND(CD$30,$O65),$E$32,"")</f>
        <v/>
      </c>
      <c r="CE65" s="54" t="str">
        <f>IF(AND(CE$30,$O65),$F$32,"")</f>
        <v/>
      </c>
    </row>
    <row r="66" spans="12:83" ht="15.75" thickBot="1">
      <c r="L66" s="86"/>
      <c r="M66" s="37" t="str">
        <f t="shared" si="21"/>
        <v>-</v>
      </c>
      <c r="O66" s="43">
        <f>BinAnd(N63,G)</f>
        <v>0</v>
      </c>
      <c r="P66" s="55" t="str">
        <f>IF(AND(P$30,$O66),$C$33,"")</f>
        <v/>
      </c>
      <c r="Q66" s="56" t="str">
        <f>IF(AND(Q$30,$O66),$D$33,"")</f>
        <v/>
      </c>
      <c r="R66" s="56" t="str">
        <f>IF(AND(R$30,$O66),$E$33,"")</f>
        <v/>
      </c>
      <c r="S66" s="57" t="str">
        <f>IF(AND(S$30,$O66),$F$33,"")</f>
        <v/>
      </c>
      <c r="T66" s="55" t="str">
        <f>IF(AND(T$30,$O66),$C$33,"")</f>
        <v/>
      </c>
      <c r="U66" s="56" t="str">
        <f>IF(AND(U$30,$O66),$D$33,"")</f>
        <v/>
      </c>
      <c r="V66" s="56" t="str">
        <f>IF(AND(V$30,$O66),$E$33,"")</f>
        <v/>
      </c>
      <c r="W66" s="57" t="str">
        <f>IF(AND(W$30,$O66),$F$33,"")</f>
        <v/>
      </c>
      <c r="X66" s="55" t="str">
        <f>IF(AND(X$30,$O66),$C$33,"")</f>
        <v/>
      </c>
      <c r="Y66" s="56" t="str">
        <f>IF(AND(Y$30,$O66),$D$33,"")</f>
        <v/>
      </c>
      <c r="Z66" s="56" t="str">
        <f>IF(AND(Z$30,$O66),$E$33,"")</f>
        <v/>
      </c>
      <c r="AA66" s="57" t="str">
        <f>IF(AND(AA$30,$O66),$F$33,"")</f>
        <v/>
      </c>
      <c r="AB66" s="55" t="str">
        <f>IF(AND(AB$30,$O66),$C$33,"")</f>
        <v/>
      </c>
      <c r="AC66" s="56" t="str">
        <f>IF(AND(AC$30,$O66),$D$33,"")</f>
        <v/>
      </c>
      <c r="AD66" s="56" t="str">
        <f>IF(AND(AD$30,$O66),$E$33,"")</f>
        <v/>
      </c>
      <c r="AE66" s="57" t="str">
        <f>IF(AND(AE$30,$O66),$F$33,"")</f>
        <v/>
      </c>
      <c r="AF66" s="55" t="str">
        <f>IF(AND(AF$30,$O66),$C$33,"")</f>
        <v/>
      </c>
      <c r="AG66" s="56" t="str">
        <f>IF(AND(AG$30,$O66),$D$33,"")</f>
        <v/>
      </c>
      <c r="AH66" s="56" t="str">
        <f>IF(AND(AH$30,$O66),$E$33,"")</f>
        <v/>
      </c>
      <c r="AI66" s="57" t="str">
        <f>IF(AND(AI$30,$O66),$F$33,"")</f>
        <v/>
      </c>
      <c r="AJ66" s="55" t="str">
        <f>IF(AND(AJ$30,$O66),$C$33,"")</f>
        <v/>
      </c>
      <c r="AK66" s="56" t="str">
        <f>IF(AND(AK$30,$O66),$D$33,"")</f>
        <v/>
      </c>
      <c r="AL66" s="56" t="str">
        <f>IF(AND(AL$30,$O66),$E$33,"")</f>
        <v/>
      </c>
      <c r="AM66" s="57" t="str">
        <f>IF(AND(AM$30,$O66),$F$33,"")</f>
        <v/>
      </c>
      <c r="AN66" s="55" t="str">
        <f>IF(AND(AN$30,$O66),$C$33,"")</f>
        <v/>
      </c>
      <c r="AO66" s="56" t="str">
        <f>IF(AND(AO$30,$O66),$D$33,"")</f>
        <v/>
      </c>
      <c r="AP66" s="56" t="str">
        <f>IF(AND(AP$30,$O66),$E$33,"")</f>
        <v/>
      </c>
      <c r="AQ66" s="57" t="str">
        <f>IF(AND(AQ$30,$O66),$F$33,"")</f>
        <v/>
      </c>
      <c r="AR66" s="55" t="str">
        <f>IF(AND(AR$30,$O66),$C$33,"")</f>
        <v/>
      </c>
      <c r="AS66" s="56" t="str">
        <f>IF(AND(AS$30,$O66),$D$33,"")</f>
        <v/>
      </c>
      <c r="AT66" s="56" t="str">
        <f>IF(AND(AT$30,$O66),$E$33,"")</f>
        <v/>
      </c>
      <c r="AU66" s="57" t="str">
        <f>IF(AND(AU$30,$O66),$F$33,"")</f>
        <v/>
      </c>
      <c r="AV66" s="55" t="str">
        <f>IF(AND(AV$30,$O66),$C$33,"")</f>
        <v/>
      </c>
      <c r="AW66" s="56" t="str">
        <f>IF(AND(AW$30,$O66),$D$33,"")</f>
        <v/>
      </c>
      <c r="AX66" s="56" t="str">
        <f>IF(AND(AX$30,$O66),$E$33,"")</f>
        <v/>
      </c>
      <c r="AY66" s="57" t="str">
        <f>IF(AND(AY$30,$O66),$F$33,"")</f>
        <v/>
      </c>
      <c r="AZ66" s="55" t="str">
        <f>IF(AND(AZ$30,$O66),$C$33,"")</f>
        <v/>
      </c>
      <c r="BA66" s="56" t="str">
        <f>IF(AND(BA$30,$O66),$D$33,"")</f>
        <v/>
      </c>
      <c r="BB66" s="56" t="str">
        <f>IF(AND(BB$30,$O66),$E$33,"")</f>
        <v/>
      </c>
      <c r="BC66" s="57" t="str">
        <f>IF(AND(BC$30,$O66),$F$33,"")</f>
        <v/>
      </c>
      <c r="BD66" s="55" t="str">
        <f>IF(AND(BD$30,$O66),$C$33,"")</f>
        <v/>
      </c>
      <c r="BE66" s="56" t="str">
        <f>IF(AND(BE$30,$O66),$D$33,"")</f>
        <v/>
      </c>
      <c r="BF66" s="56" t="str">
        <f>IF(AND(BF$30,$O66),$E$33,"")</f>
        <v/>
      </c>
      <c r="BG66" s="57" t="str">
        <f>IF(AND(BG$30,$O66),$F$33,"")</f>
        <v/>
      </c>
      <c r="BH66" s="55" t="str">
        <f>IF(AND(BH$30,$O66),$C$33,"")</f>
        <v/>
      </c>
      <c r="BI66" s="56" t="str">
        <f>IF(AND(BI$30,$O66),$D$33,"")</f>
        <v/>
      </c>
      <c r="BJ66" s="56" t="str">
        <f>IF(AND(BJ$30,$O66),$E$33,"")</f>
        <v/>
      </c>
      <c r="BK66" s="57" t="str">
        <f>IF(AND(BK$30,$O66),$F$33,"")</f>
        <v/>
      </c>
      <c r="BL66" s="55" t="str">
        <f>IF(AND(BL$30,$O66),$C$33,"")</f>
        <v/>
      </c>
      <c r="BM66" s="56" t="str">
        <f>IF(AND(BM$30,$O66),$D$33,"")</f>
        <v/>
      </c>
      <c r="BN66" s="56" t="str">
        <f>IF(AND(BN$30,$O66),$E$33,"")</f>
        <v/>
      </c>
      <c r="BO66" s="57" t="str">
        <f>IF(AND(BO$30,$O66),$F$33,"")</f>
        <v/>
      </c>
      <c r="BP66" s="55" t="str">
        <f>IF(AND(BP$30,$O66),$C$33,"")</f>
        <v/>
      </c>
      <c r="BQ66" s="56" t="str">
        <f>IF(AND(BQ$30,$O66),$D$33,"")</f>
        <v/>
      </c>
      <c r="BR66" s="56" t="str">
        <f>IF(AND(BR$30,$O66),$E$33,"")</f>
        <v/>
      </c>
      <c r="BS66" s="57" t="str">
        <f>IF(AND(BS$30,$O66),$F$33,"")</f>
        <v/>
      </c>
      <c r="BT66" s="55" t="str">
        <f>IF(AND(BT$30,$O66),$C$33,"")</f>
        <v/>
      </c>
      <c r="BU66" s="56" t="str">
        <f>IF(AND(BU$30,$O66),$D$33,"")</f>
        <v/>
      </c>
      <c r="BV66" s="56" t="str">
        <f>IF(AND(BV$30,$O66),$E$33,"")</f>
        <v/>
      </c>
      <c r="BW66" s="57" t="str">
        <f>IF(AND(BW$30,$O66),$F$33,"")</f>
        <v/>
      </c>
      <c r="BX66" s="55" t="str">
        <f>IF(AND(BX$30,$O66),$C$33,"")</f>
        <v/>
      </c>
      <c r="BY66" s="56" t="str">
        <f>IF(AND(BY$30,$O66),$D$33,"")</f>
        <v/>
      </c>
      <c r="BZ66" s="56" t="str">
        <f>IF(AND(BZ$30,$O66),$E$33,"")</f>
        <v/>
      </c>
      <c r="CA66" s="57" t="str">
        <f>IF(AND(CA$30,$O66),$F$33,"")</f>
        <v/>
      </c>
      <c r="CB66" s="55" t="str">
        <f>IF(AND(CB$30,$O66),$C$33,"")</f>
        <v/>
      </c>
      <c r="CC66" s="56" t="str">
        <f>IF(AND(CC$30,$O66),$D$33,"")</f>
        <v/>
      </c>
      <c r="CD66" s="56" t="str">
        <f>IF(AND(CD$30,$O66),$E$33,"")</f>
        <v/>
      </c>
      <c r="CE66" s="57" t="str">
        <f>IF(AND(CE$30,$O66),$F$33,"")</f>
        <v/>
      </c>
    </row>
    <row r="67" spans="12:83">
      <c r="L67" s="83" t="str">
        <f>MID(CodDegElegir,N67+1,1)</f>
        <v>R</v>
      </c>
      <c r="M67" s="85" t="str">
        <f t="shared" si="21"/>
        <v>A</v>
      </c>
      <c r="N67">
        <v>9</v>
      </c>
      <c r="O67" s="81">
        <f>BinAnd(N67,A)</f>
        <v>8</v>
      </c>
      <c r="P67" s="29" t="str">
        <f>IF(AND(P$30,$O67),$C$30,"")</f>
        <v/>
      </c>
      <c r="Q67" s="30" t="str">
        <f>IF(AND(Q$30,$O67),$D$30,"")</f>
        <v/>
      </c>
      <c r="R67" s="30" t="str">
        <f>IF(AND(R$30,$O67),$E$30,"")</f>
        <v/>
      </c>
      <c r="S67" s="53" t="str">
        <f>IF(AND(S$30,$O67),$F$30,"")</f>
        <v/>
      </c>
      <c r="T67" s="29" t="str">
        <f>IF(AND(T$30,$O67),$C$30,"")</f>
        <v/>
      </c>
      <c r="U67" s="30" t="str">
        <f>IF(AND(U$30,$O67),$D$30,"")</f>
        <v/>
      </c>
      <c r="V67" s="30" t="str">
        <f>IF(AND(V$30,$O67),$E$30,"")</f>
        <v/>
      </c>
      <c r="W67" s="53">
        <f>IF(AND(W$30,$O67),$F$30,"")</f>
        <v>6.1</v>
      </c>
      <c r="X67" s="29" t="str">
        <f>IF(AND(X$30,$O67),$C$30,"")</f>
        <v/>
      </c>
      <c r="Y67" s="30" t="str">
        <f>IF(AND(Y$30,$O67),$D$30,"")</f>
        <v/>
      </c>
      <c r="Z67" s="30">
        <f>IF(AND(Z$30,$O67),$E$30,"")</f>
        <v>8.6</v>
      </c>
      <c r="AA67" s="53" t="str">
        <f>IF(AND(AA$30,$O67),$F$30,"")</f>
        <v/>
      </c>
      <c r="AB67" s="29" t="str">
        <f>IF(AND(AB$30,$O67),$C$30,"")</f>
        <v/>
      </c>
      <c r="AC67" s="30" t="str">
        <f>IF(AND(AC$30,$O67),$D$30,"")</f>
        <v/>
      </c>
      <c r="AD67" s="30">
        <f>IF(AND(AD$30,$O67),$E$30,"")</f>
        <v>8.6</v>
      </c>
      <c r="AE67" s="53">
        <f>IF(AND(AE$30,$O67),$F$30,"")</f>
        <v>6.1</v>
      </c>
      <c r="AF67" s="29" t="str">
        <f>IF(AND(AF$30,$O67),$C$30,"")</f>
        <v/>
      </c>
      <c r="AG67" s="30">
        <f>IF(AND(AG$30,$O67),$D$30,"")</f>
        <v>6.5</v>
      </c>
      <c r="AH67" s="30" t="str">
        <f>IF(AND(AH$30,$O67),$E$30,"")</f>
        <v/>
      </c>
      <c r="AI67" s="53" t="str">
        <f>IF(AND(AI$30,$O67),$F$30,"")</f>
        <v/>
      </c>
      <c r="AJ67" s="29" t="str">
        <f>IF(AND(AJ$30,$O67),$C$30,"")</f>
        <v/>
      </c>
      <c r="AK67" s="30">
        <f>IF(AND(AK$30,$O67),$D$30,"")</f>
        <v>6.5</v>
      </c>
      <c r="AL67" s="30" t="str">
        <f>IF(AND(AL$30,$O67),$E$30,"")</f>
        <v/>
      </c>
      <c r="AM67" s="53">
        <f>IF(AND(AM$30,$O67),$F$30,"")</f>
        <v>6.1</v>
      </c>
      <c r="AN67" s="29" t="str">
        <f>IF(AND(AN$30,$O67),$C$30,"")</f>
        <v/>
      </c>
      <c r="AO67" s="30">
        <f>IF(AND(AO$30,$O67),$D$30,"")</f>
        <v>6.5</v>
      </c>
      <c r="AP67" s="30">
        <f>IF(AND(AP$30,$O67),$E$30,"")</f>
        <v>8.6</v>
      </c>
      <c r="AQ67" s="53" t="str">
        <f>IF(AND(AQ$30,$O67),$F$30,"")</f>
        <v/>
      </c>
      <c r="AR67" s="29" t="str">
        <f>IF(AND(AR$30,$O67),$C$30,"")</f>
        <v/>
      </c>
      <c r="AS67" s="30">
        <f>IF(AND(AS$30,$O67),$D$30,"")</f>
        <v>6.5</v>
      </c>
      <c r="AT67" s="30">
        <f>IF(AND(AT$30,$O67),$E$30,"")</f>
        <v>8.6</v>
      </c>
      <c r="AU67" s="53">
        <f>IF(AND(AU$30,$O67),$F$30,"")</f>
        <v>6.1</v>
      </c>
      <c r="AV67" s="29">
        <f>IF(AND(AV$30,$O67),$C$30,"")</f>
        <v>8.4</v>
      </c>
      <c r="AW67" s="30" t="str">
        <f>IF(AND(AW$30,$O67),$D$30,"")</f>
        <v/>
      </c>
      <c r="AX67" s="30" t="str">
        <f>IF(AND(AX$30,$O67),$E$30,"")</f>
        <v/>
      </c>
      <c r="AY67" s="53" t="str">
        <f>IF(AND(AY$30,$O67),$F$30,"")</f>
        <v/>
      </c>
      <c r="AZ67" s="29">
        <f>IF(AND(AZ$30,$O67),$C$30,"")</f>
        <v>8.4</v>
      </c>
      <c r="BA67" s="30" t="str">
        <f>IF(AND(BA$30,$O67),$D$30,"")</f>
        <v/>
      </c>
      <c r="BB67" s="30" t="str">
        <f>IF(AND(BB$30,$O67),$E$30,"")</f>
        <v/>
      </c>
      <c r="BC67" s="53">
        <f>IF(AND(BC$30,$O67),$F$30,"")</f>
        <v>6.1</v>
      </c>
      <c r="BD67" s="29">
        <f>IF(AND(BD$30,$O67),$C$30,"")</f>
        <v>8.4</v>
      </c>
      <c r="BE67" s="30" t="str">
        <f>IF(AND(BE$30,$O67),$D$30,"")</f>
        <v/>
      </c>
      <c r="BF67" s="30">
        <f>IF(AND(BF$30,$O67),$E$30,"")</f>
        <v>8.6</v>
      </c>
      <c r="BG67" s="53" t="str">
        <f>IF(AND(BG$30,$O67),$F$30,"")</f>
        <v/>
      </c>
      <c r="BH67" s="29">
        <f>IF(AND(BH$30,$O67),$C$30,"")</f>
        <v>8.4</v>
      </c>
      <c r="BI67" s="30" t="str">
        <f>IF(AND(BI$30,$O67),$D$30,"")</f>
        <v/>
      </c>
      <c r="BJ67" s="30">
        <f>IF(AND(BJ$30,$O67),$E$30,"")</f>
        <v>8.6</v>
      </c>
      <c r="BK67" s="53">
        <f>IF(AND(BK$30,$O67),$F$30,"")</f>
        <v>6.1</v>
      </c>
      <c r="BL67" s="29">
        <f>IF(AND(BL$30,$O67),$C$30,"")</f>
        <v>8.4</v>
      </c>
      <c r="BM67" s="30">
        <f>IF(AND(BM$30,$O67),$D$30,"")</f>
        <v>6.5</v>
      </c>
      <c r="BN67" s="30" t="str">
        <f>IF(AND(BN$30,$O67),$E$30,"")</f>
        <v/>
      </c>
      <c r="BO67" s="53" t="str">
        <f>IF(AND(BO$30,$O67),$F$30,"")</f>
        <v/>
      </c>
      <c r="BP67" s="29">
        <f>IF(AND(BP$30,$O67),$C$30,"")</f>
        <v>8.4</v>
      </c>
      <c r="BQ67" s="30">
        <f>IF(AND(BQ$30,$O67),$D$30,"")</f>
        <v>6.5</v>
      </c>
      <c r="BR67" s="30" t="str">
        <f>IF(AND(BR$30,$O67),$E$30,"")</f>
        <v/>
      </c>
      <c r="BS67" s="53">
        <f>IF(AND(BS$30,$O67),$F$30,"")</f>
        <v>6.1</v>
      </c>
      <c r="BT67" s="29">
        <f>IF(AND(BT$30,$O67),$C$30,"")</f>
        <v>8.4</v>
      </c>
      <c r="BU67" s="30">
        <f>IF(AND(BU$30,$O67),$D$30,"")</f>
        <v>6.5</v>
      </c>
      <c r="BV67" s="30">
        <f>IF(AND(BV$30,$O67),$E$30,"")</f>
        <v>8.6</v>
      </c>
      <c r="BW67" s="53" t="str">
        <f>IF(AND(BW$30,$O67),$F$30,"")</f>
        <v/>
      </c>
      <c r="BX67" s="29">
        <f>IF(AND(BX$30,$O67),$C$30,"")</f>
        <v>8.4</v>
      </c>
      <c r="BY67" s="30">
        <f>IF(AND(BY$30,$O67),$D$30,"")</f>
        <v>6.5</v>
      </c>
      <c r="BZ67" s="30">
        <f>IF(AND(BZ$30,$O67),$E$30,"")</f>
        <v>8.6</v>
      </c>
      <c r="CA67" s="53">
        <f>IF(AND(CA$30,$O67),$F$30,"")</f>
        <v>6.1</v>
      </c>
      <c r="CB67" s="29" t="str">
        <f>IF(AND(CB$30,$O67),$C$30,"")</f>
        <v/>
      </c>
      <c r="CC67" s="30" t="str">
        <f>IF(AND(CC$30,$O67),$D$30,"")</f>
        <v/>
      </c>
      <c r="CD67" s="30" t="str">
        <f>IF(AND(CD$30,$O67),$E$30,"")</f>
        <v/>
      </c>
      <c r="CE67" s="53" t="str">
        <f>IF(AND(CE$30,$O67),$F$30,"")</f>
        <v/>
      </c>
    </row>
    <row r="68" spans="12:83">
      <c r="L68" s="87"/>
      <c r="M68" s="36" t="str">
        <f t="shared" si="21"/>
        <v>-</v>
      </c>
      <c r="O68" s="82">
        <f>BinAnd(N67,T)</f>
        <v>0</v>
      </c>
      <c r="P68" s="31" t="str">
        <f>IF(AND(P$30,$O68),$C$31,"")</f>
        <v/>
      </c>
      <c r="Q68" s="32" t="str">
        <f>IF(AND(Q$30,$O68),$D$31,"")</f>
        <v/>
      </c>
      <c r="R68" s="32" t="str">
        <f>IF(AND(R$30,$O68),$E$31,"")</f>
        <v/>
      </c>
      <c r="S68" s="54" t="str">
        <f>IF(AND(S$30,$O68),$F$31,"")</f>
        <v/>
      </c>
      <c r="T68" s="31" t="str">
        <f>IF(AND(T$30,$O68),$C$31,"")</f>
        <v/>
      </c>
      <c r="U68" s="32" t="str">
        <f>IF(AND(U$30,$O68),$D$31,"")</f>
        <v/>
      </c>
      <c r="V68" s="32" t="str">
        <f>IF(AND(V$30,$O68),$E$31,"")</f>
        <v/>
      </c>
      <c r="W68" s="54" t="str">
        <f>IF(AND(W$30,$O68),$F$31,"")</f>
        <v/>
      </c>
      <c r="X68" s="31" t="str">
        <f>IF(AND(X$30,$O68),$C$31,"")</f>
        <v/>
      </c>
      <c r="Y68" s="32" t="str">
        <f>IF(AND(Y$30,$O68),$D$31,"")</f>
        <v/>
      </c>
      <c r="Z68" s="32" t="str">
        <f>IF(AND(Z$30,$O68),$E$31,"")</f>
        <v/>
      </c>
      <c r="AA68" s="54" t="str">
        <f>IF(AND(AA$30,$O68),$F$31,"")</f>
        <v/>
      </c>
      <c r="AB68" s="31" t="str">
        <f>IF(AND(AB$30,$O68),$C$31,"")</f>
        <v/>
      </c>
      <c r="AC68" s="32" t="str">
        <f>IF(AND(AC$30,$O68),$D$31,"")</f>
        <v/>
      </c>
      <c r="AD68" s="32" t="str">
        <f>IF(AND(AD$30,$O68),$E$31,"")</f>
        <v/>
      </c>
      <c r="AE68" s="54" t="str">
        <f>IF(AND(AE$30,$O68),$F$31,"")</f>
        <v/>
      </c>
      <c r="AF68" s="31" t="str">
        <f>IF(AND(AF$30,$O68),$C$31,"")</f>
        <v/>
      </c>
      <c r="AG68" s="32" t="str">
        <f>IF(AND(AG$30,$O68),$D$31,"")</f>
        <v/>
      </c>
      <c r="AH68" s="32" t="str">
        <f>IF(AND(AH$30,$O68),$E$31,"")</f>
        <v/>
      </c>
      <c r="AI68" s="54" t="str">
        <f>IF(AND(AI$30,$O68),$F$31,"")</f>
        <v/>
      </c>
      <c r="AJ68" s="31" t="str">
        <f>IF(AND(AJ$30,$O68),$C$31,"")</f>
        <v/>
      </c>
      <c r="AK68" s="32" t="str">
        <f>IF(AND(AK$30,$O68),$D$31,"")</f>
        <v/>
      </c>
      <c r="AL68" s="32" t="str">
        <f>IF(AND(AL$30,$O68),$E$31,"")</f>
        <v/>
      </c>
      <c r="AM68" s="54" t="str">
        <f>IF(AND(AM$30,$O68),$F$31,"")</f>
        <v/>
      </c>
      <c r="AN68" s="31" t="str">
        <f>IF(AND(AN$30,$O68),$C$31,"")</f>
        <v/>
      </c>
      <c r="AO68" s="32" t="str">
        <f>IF(AND(AO$30,$O68),$D$31,"")</f>
        <v/>
      </c>
      <c r="AP68" s="32" t="str">
        <f>IF(AND(AP$30,$O68),$E$31,"")</f>
        <v/>
      </c>
      <c r="AQ68" s="54" t="str">
        <f>IF(AND(AQ$30,$O68),$F$31,"")</f>
        <v/>
      </c>
      <c r="AR68" s="31" t="str">
        <f>IF(AND(AR$30,$O68),$C$31,"")</f>
        <v/>
      </c>
      <c r="AS68" s="32" t="str">
        <f>IF(AND(AS$30,$O68),$D$31,"")</f>
        <v/>
      </c>
      <c r="AT68" s="32" t="str">
        <f>IF(AND(AT$30,$O68),$E$31,"")</f>
        <v/>
      </c>
      <c r="AU68" s="54" t="str">
        <f>IF(AND(AU$30,$O68),$F$31,"")</f>
        <v/>
      </c>
      <c r="AV68" s="31" t="str">
        <f>IF(AND(AV$30,$O68),$C$31,"")</f>
        <v/>
      </c>
      <c r="AW68" s="32" t="str">
        <f>IF(AND(AW$30,$O68),$D$31,"")</f>
        <v/>
      </c>
      <c r="AX68" s="32" t="str">
        <f>IF(AND(AX$30,$O68),$E$31,"")</f>
        <v/>
      </c>
      <c r="AY68" s="54" t="str">
        <f>IF(AND(AY$30,$O68),$F$31,"")</f>
        <v/>
      </c>
      <c r="AZ68" s="31" t="str">
        <f>IF(AND(AZ$30,$O68),$C$31,"")</f>
        <v/>
      </c>
      <c r="BA68" s="32" t="str">
        <f>IF(AND(BA$30,$O68),$D$31,"")</f>
        <v/>
      </c>
      <c r="BB68" s="32" t="str">
        <f>IF(AND(BB$30,$O68),$E$31,"")</f>
        <v/>
      </c>
      <c r="BC68" s="54" t="str">
        <f>IF(AND(BC$30,$O68),$F$31,"")</f>
        <v/>
      </c>
      <c r="BD68" s="31" t="str">
        <f>IF(AND(BD$30,$O68),$C$31,"")</f>
        <v/>
      </c>
      <c r="BE68" s="32" t="str">
        <f>IF(AND(BE$30,$O68),$D$31,"")</f>
        <v/>
      </c>
      <c r="BF68" s="32" t="str">
        <f>IF(AND(BF$30,$O68),$E$31,"")</f>
        <v/>
      </c>
      <c r="BG68" s="54" t="str">
        <f>IF(AND(BG$30,$O68),$F$31,"")</f>
        <v/>
      </c>
      <c r="BH68" s="31" t="str">
        <f>IF(AND(BH$30,$O68),$C$31,"")</f>
        <v/>
      </c>
      <c r="BI68" s="32" t="str">
        <f>IF(AND(BI$30,$O68),$D$31,"")</f>
        <v/>
      </c>
      <c r="BJ68" s="32" t="str">
        <f>IF(AND(BJ$30,$O68),$E$31,"")</f>
        <v/>
      </c>
      <c r="BK68" s="54" t="str">
        <f>IF(AND(BK$30,$O68),$F$31,"")</f>
        <v/>
      </c>
      <c r="BL68" s="31" t="str">
        <f>IF(AND(BL$30,$O68),$C$31,"")</f>
        <v/>
      </c>
      <c r="BM68" s="32" t="str">
        <f>IF(AND(BM$30,$O68),$D$31,"")</f>
        <v/>
      </c>
      <c r="BN68" s="32" t="str">
        <f>IF(AND(BN$30,$O68),$E$31,"")</f>
        <v/>
      </c>
      <c r="BO68" s="54" t="str">
        <f>IF(AND(BO$30,$O68),$F$31,"")</f>
        <v/>
      </c>
      <c r="BP68" s="31" t="str">
        <f>IF(AND(BP$30,$O68),$C$31,"")</f>
        <v/>
      </c>
      <c r="BQ68" s="32" t="str">
        <f>IF(AND(BQ$30,$O68),$D$31,"")</f>
        <v/>
      </c>
      <c r="BR68" s="32" t="str">
        <f>IF(AND(BR$30,$O68),$E$31,"")</f>
        <v/>
      </c>
      <c r="BS68" s="54" t="str">
        <f>IF(AND(BS$30,$O68),$F$31,"")</f>
        <v/>
      </c>
      <c r="BT68" s="31" t="str">
        <f>IF(AND(BT$30,$O68),$C$31,"")</f>
        <v/>
      </c>
      <c r="BU68" s="32" t="str">
        <f>IF(AND(BU$30,$O68),$D$31,"")</f>
        <v/>
      </c>
      <c r="BV68" s="32" t="str">
        <f>IF(AND(BV$30,$O68),$E$31,"")</f>
        <v/>
      </c>
      <c r="BW68" s="54" t="str">
        <f>IF(AND(BW$30,$O68),$F$31,"")</f>
        <v/>
      </c>
      <c r="BX68" s="31" t="str">
        <f>IF(AND(BX$30,$O68),$C$31,"")</f>
        <v/>
      </c>
      <c r="BY68" s="32" t="str">
        <f>IF(AND(BY$30,$O68),$D$31,"")</f>
        <v/>
      </c>
      <c r="BZ68" s="32" t="str">
        <f>IF(AND(BZ$30,$O68),$E$31,"")</f>
        <v/>
      </c>
      <c r="CA68" s="54" t="str">
        <f>IF(AND(CA$30,$O68),$F$31,"")</f>
        <v/>
      </c>
      <c r="CB68" s="31" t="str">
        <f>IF(AND(CB$30,$O68),$C$31,"")</f>
        <v/>
      </c>
      <c r="CC68" s="32" t="str">
        <f>IF(AND(CC$30,$O68),$D$31,"")</f>
        <v/>
      </c>
      <c r="CD68" s="32" t="str">
        <f>IF(AND(CD$30,$O68),$E$31,"")</f>
        <v/>
      </c>
      <c r="CE68" s="54" t="str">
        <f>IF(AND(CE$30,$O68),$F$31,"")</f>
        <v/>
      </c>
    </row>
    <row r="69" spans="12:83">
      <c r="L69" s="87"/>
      <c r="M69" s="36" t="str">
        <f t="shared" si="21"/>
        <v>-</v>
      </c>
      <c r="O69" s="82">
        <f>BinAnd(N67,Ce)</f>
        <v>0</v>
      </c>
      <c r="P69" s="31" t="str">
        <f>IF(AND(P$30,$O69),$C$32,"")</f>
        <v/>
      </c>
      <c r="Q69" s="32" t="str">
        <f>IF(AND(Q$30,$O69),$D$32,"")</f>
        <v/>
      </c>
      <c r="R69" s="32" t="str">
        <f>IF(AND(R$30,$O69),$E$32,"")</f>
        <v/>
      </c>
      <c r="S69" s="54" t="str">
        <f>IF(AND(S$30,$O69),$F$32,"")</f>
        <v/>
      </c>
      <c r="T69" s="31" t="str">
        <f>IF(AND(T$30,$O69),$C$32,"")</f>
        <v/>
      </c>
      <c r="U69" s="32" t="str">
        <f>IF(AND(U$30,$O69),$D$32,"")</f>
        <v/>
      </c>
      <c r="V69" s="32" t="str">
        <f>IF(AND(V$30,$O69),$E$32,"")</f>
        <v/>
      </c>
      <c r="W69" s="54" t="str">
        <f>IF(AND(W$30,$O69),$F$32,"")</f>
        <v/>
      </c>
      <c r="X69" s="31" t="str">
        <f>IF(AND(X$30,$O69),$C$32,"")</f>
        <v/>
      </c>
      <c r="Y69" s="32" t="str">
        <f>IF(AND(Y$30,$O69),$D$32,"")</f>
        <v/>
      </c>
      <c r="Z69" s="32" t="str">
        <f>IF(AND(Z$30,$O69),$E$32,"")</f>
        <v/>
      </c>
      <c r="AA69" s="54" t="str">
        <f>IF(AND(AA$30,$O69),$F$32,"")</f>
        <v/>
      </c>
      <c r="AB69" s="31" t="str">
        <f>IF(AND(AB$30,$O69),$C$32,"")</f>
        <v/>
      </c>
      <c r="AC69" s="32" t="str">
        <f>IF(AND(AC$30,$O69),$D$32,"")</f>
        <v/>
      </c>
      <c r="AD69" s="32" t="str">
        <f>IF(AND(AD$30,$O69),$E$32,"")</f>
        <v/>
      </c>
      <c r="AE69" s="54" t="str">
        <f>IF(AND(AE$30,$O69),$F$32,"")</f>
        <v/>
      </c>
      <c r="AF69" s="31" t="str">
        <f>IF(AND(AF$30,$O69),$C$32,"")</f>
        <v/>
      </c>
      <c r="AG69" s="32" t="str">
        <f>IF(AND(AG$30,$O69),$D$32,"")</f>
        <v/>
      </c>
      <c r="AH69" s="32" t="str">
        <f>IF(AND(AH$30,$O69),$E$32,"")</f>
        <v/>
      </c>
      <c r="AI69" s="54" t="str">
        <f>IF(AND(AI$30,$O69),$F$32,"")</f>
        <v/>
      </c>
      <c r="AJ69" s="31" t="str">
        <f>IF(AND(AJ$30,$O69),$C$32,"")</f>
        <v/>
      </c>
      <c r="AK69" s="32" t="str">
        <f>IF(AND(AK$30,$O69),$D$32,"")</f>
        <v/>
      </c>
      <c r="AL69" s="32" t="str">
        <f>IF(AND(AL$30,$O69),$E$32,"")</f>
        <v/>
      </c>
      <c r="AM69" s="54" t="str">
        <f>IF(AND(AM$30,$O69),$F$32,"")</f>
        <v/>
      </c>
      <c r="AN69" s="31" t="str">
        <f>IF(AND(AN$30,$O69),$C$32,"")</f>
        <v/>
      </c>
      <c r="AO69" s="32" t="str">
        <f>IF(AND(AO$30,$O69),$D$32,"")</f>
        <v/>
      </c>
      <c r="AP69" s="32" t="str">
        <f>IF(AND(AP$30,$O69),$E$32,"")</f>
        <v/>
      </c>
      <c r="AQ69" s="54" t="str">
        <f>IF(AND(AQ$30,$O69),$F$32,"")</f>
        <v/>
      </c>
      <c r="AR69" s="31" t="str">
        <f>IF(AND(AR$30,$O69),$C$32,"")</f>
        <v/>
      </c>
      <c r="AS69" s="32" t="str">
        <f>IF(AND(AS$30,$O69),$D$32,"")</f>
        <v/>
      </c>
      <c r="AT69" s="32" t="str">
        <f>IF(AND(AT$30,$O69),$E$32,"")</f>
        <v/>
      </c>
      <c r="AU69" s="54" t="str">
        <f>IF(AND(AU$30,$O69),$F$32,"")</f>
        <v/>
      </c>
      <c r="AV69" s="31" t="str">
        <f>IF(AND(AV$30,$O69),$C$32,"")</f>
        <v/>
      </c>
      <c r="AW69" s="32" t="str">
        <f>IF(AND(AW$30,$O69),$D$32,"")</f>
        <v/>
      </c>
      <c r="AX69" s="32" t="str">
        <f>IF(AND(AX$30,$O69),$E$32,"")</f>
        <v/>
      </c>
      <c r="AY69" s="54" t="str">
        <f>IF(AND(AY$30,$O69),$F$32,"")</f>
        <v/>
      </c>
      <c r="AZ69" s="31" t="str">
        <f>IF(AND(AZ$30,$O69),$C$32,"")</f>
        <v/>
      </c>
      <c r="BA69" s="32" t="str">
        <f>IF(AND(BA$30,$O69),$D$32,"")</f>
        <v/>
      </c>
      <c r="BB69" s="32" t="str">
        <f>IF(AND(BB$30,$O69),$E$32,"")</f>
        <v/>
      </c>
      <c r="BC69" s="54" t="str">
        <f>IF(AND(BC$30,$O69),$F$32,"")</f>
        <v/>
      </c>
      <c r="BD69" s="31" t="str">
        <f>IF(AND(BD$30,$O69),$C$32,"")</f>
        <v/>
      </c>
      <c r="BE69" s="32" t="str">
        <f>IF(AND(BE$30,$O69),$D$32,"")</f>
        <v/>
      </c>
      <c r="BF69" s="32" t="str">
        <f>IF(AND(BF$30,$O69),$E$32,"")</f>
        <v/>
      </c>
      <c r="BG69" s="54" t="str">
        <f>IF(AND(BG$30,$O69),$F$32,"")</f>
        <v/>
      </c>
      <c r="BH69" s="31" t="str">
        <f>IF(AND(BH$30,$O69),$C$32,"")</f>
        <v/>
      </c>
      <c r="BI69" s="32" t="str">
        <f>IF(AND(BI$30,$O69),$D$32,"")</f>
        <v/>
      </c>
      <c r="BJ69" s="32" t="str">
        <f>IF(AND(BJ$30,$O69),$E$32,"")</f>
        <v/>
      </c>
      <c r="BK69" s="54" t="str">
        <f>IF(AND(BK$30,$O69),$F$32,"")</f>
        <v/>
      </c>
      <c r="BL69" s="31" t="str">
        <f>IF(AND(BL$30,$O69),$C$32,"")</f>
        <v/>
      </c>
      <c r="BM69" s="32" t="str">
        <f>IF(AND(BM$30,$O69),$D$32,"")</f>
        <v/>
      </c>
      <c r="BN69" s="32" t="str">
        <f>IF(AND(BN$30,$O69),$E$32,"")</f>
        <v/>
      </c>
      <c r="BO69" s="54" t="str">
        <f>IF(AND(BO$30,$O69),$F$32,"")</f>
        <v/>
      </c>
      <c r="BP69" s="31" t="str">
        <f>IF(AND(BP$30,$O69),$C$32,"")</f>
        <v/>
      </c>
      <c r="BQ69" s="32" t="str">
        <f>IF(AND(BQ$30,$O69),$D$32,"")</f>
        <v/>
      </c>
      <c r="BR69" s="32" t="str">
        <f>IF(AND(BR$30,$O69),$E$32,"")</f>
        <v/>
      </c>
      <c r="BS69" s="54" t="str">
        <f>IF(AND(BS$30,$O69),$F$32,"")</f>
        <v/>
      </c>
      <c r="BT69" s="31" t="str">
        <f>IF(AND(BT$30,$O69),$C$32,"")</f>
        <v/>
      </c>
      <c r="BU69" s="32" t="str">
        <f>IF(AND(BU$30,$O69),$D$32,"")</f>
        <v/>
      </c>
      <c r="BV69" s="32" t="str">
        <f>IF(AND(BV$30,$O69),$E$32,"")</f>
        <v/>
      </c>
      <c r="BW69" s="54" t="str">
        <f>IF(AND(BW$30,$O69),$F$32,"")</f>
        <v/>
      </c>
      <c r="BX69" s="31" t="str">
        <f>IF(AND(BX$30,$O69),$C$32,"")</f>
        <v/>
      </c>
      <c r="BY69" s="32" t="str">
        <f>IF(AND(BY$30,$O69),$D$32,"")</f>
        <v/>
      </c>
      <c r="BZ69" s="32" t="str">
        <f>IF(AND(BZ$30,$O69),$E$32,"")</f>
        <v/>
      </c>
      <c r="CA69" s="54" t="str">
        <f>IF(AND(CA$30,$O69),$F$32,"")</f>
        <v/>
      </c>
      <c r="CB69" s="31" t="str">
        <f>IF(AND(CB$30,$O69),$C$32,"")</f>
        <v/>
      </c>
      <c r="CC69" s="32" t="str">
        <f>IF(AND(CC$30,$O69),$D$32,"")</f>
        <v/>
      </c>
      <c r="CD69" s="32" t="str">
        <f>IF(AND(CD$30,$O69),$E$32,"")</f>
        <v/>
      </c>
      <c r="CE69" s="54" t="str">
        <f>IF(AND(CE$30,$O69),$F$32,"")</f>
        <v/>
      </c>
    </row>
    <row r="70" spans="12:83" ht="15.75" thickBot="1">
      <c r="L70" s="86"/>
      <c r="M70" s="37" t="str">
        <f t="shared" si="21"/>
        <v>G</v>
      </c>
      <c r="O70" s="43">
        <f>BinAnd(N67,G)</f>
        <v>1</v>
      </c>
      <c r="P70" s="55" t="str">
        <f>IF(AND(P$30,$O70),$C$33,"")</f>
        <v/>
      </c>
      <c r="Q70" s="56" t="str">
        <f>IF(AND(Q$30,$O70),$D$33,"")</f>
        <v/>
      </c>
      <c r="R70" s="56" t="str">
        <f>IF(AND(R$30,$O70),$E$33,"")</f>
        <v/>
      </c>
      <c r="S70" s="57" t="str">
        <f>IF(AND(S$30,$O70),$F$33,"")</f>
        <v/>
      </c>
      <c r="T70" s="55" t="str">
        <f>IF(AND(T$30,$O70),$C$33,"")</f>
        <v/>
      </c>
      <c r="U70" s="56" t="str">
        <f>IF(AND(U$30,$O70),$D$33,"")</f>
        <v/>
      </c>
      <c r="V70" s="56" t="str">
        <f>IF(AND(V$30,$O70),$E$33,"")</f>
        <v/>
      </c>
      <c r="W70" s="57">
        <f>IF(AND(W$30,$O70),$F$33,"")</f>
        <v>6.7</v>
      </c>
      <c r="X70" s="55" t="str">
        <f>IF(AND(X$30,$O70),$C$33,"")</f>
        <v/>
      </c>
      <c r="Y70" s="56" t="str">
        <f>IF(AND(Y$30,$O70),$D$33,"")</f>
        <v/>
      </c>
      <c r="Z70" s="56">
        <f>IF(AND(Z$30,$O70),$E$33,"")</f>
        <v>11.1</v>
      </c>
      <c r="AA70" s="57" t="str">
        <f>IF(AND(AA$30,$O70),$F$33,"")</f>
        <v/>
      </c>
      <c r="AB70" s="55" t="str">
        <f>IF(AND(AB$30,$O70),$C$33,"")</f>
        <v/>
      </c>
      <c r="AC70" s="56" t="str">
        <f>IF(AND(AC$30,$O70),$D$33,"")</f>
        <v/>
      </c>
      <c r="AD70" s="56">
        <f>IF(AND(AD$30,$O70),$E$33,"")</f>
        <v>11.1</v>
      </c>
      <c r="AE70" s="57">
        <f>IF(AND(AE$30,$O70),$F$33,"")</f>
        <v>6.7</v>
      </c>
      <c r="AF70" s="55" t="str">
        <f>IF(AND(AF$30,$O70),$C$33,"")</f>
        <v/>
      </c>
      <c r="AG70" s="56">
        <f>IF(AND(AG$30,$O70),$D$33,"")</f>
        <v>8.6</v>
      </c>
      <c r="AH70" s="56" t="str">
        <f>IF(AND(AH$30,$O70),$E$33,"")</f>
        <v/>
      </c>
      <c r="AI70" s="57" t="str">
        <f>IF(AND(AI$30,$O70),$F$33,"")</f>
        <v/>
      </c>
      <c r="AJ70" s="55" t="str">
        <f>IF(AND(AJ$30,$O70),$C$33,"")</f>
        <v/>
      </c>
      <c r="AK70" s="56">
        <f>IF(AND(AK$30,$O70),$D$33,"")</f>
        <v>8.6</v>
      </c>
      <c r="AL70" s="56" t="str">
        <f>IF(AND(AL$30,$O70),$E$33,"")</f>
        <v/>
      </c>
      <c r="AM70" s="57">
        <f>IF(AND(AM$30,$O70),$F$33,"")</f>
        <v>6.7</v>
      </c>
      <c r="AN70" s="55" t="str">
        <f>IF(AND(AN$30,$O70),$C$33,"")</f>
        <v/>
      </c>
      <c r="AO70" s="56">
        <f>IF(AND(AO$30,$O70),$D$33,"")</f>
        <v>8.6</v>
      </c>
      <c r="AP70" s="56">
        <f>IF(AND(AP$30,$O70),$E$33,"")</f>
        <v>11.1</v>
      </c>
      <c r="AQ70" s="57" t="str">
        <f>IF(AND(AQ$30,$O70),$F$33,"")</f>
        <v/>
      </c>
      <c r="AR70" s="55" t="str">
        <f>IF(AND(AR$30,$O70),$C$33,"")</f>
        <v/>
      </c>
      <c r="AS70" s="56">
        <f>IF(AND(AS$30,$O70),$D$33,"")</f>
        <v>8.6</v>
      </c>
      <c r="AT70" s="56">
        <f>IF(AND(AT$30,$O70),$E$33,"")</f>
        <v>11.1</v>
      </c>
      <c r="AU70" s="57">
        <f>IF(AND(AU$30,$O70),$F$33,"")</f>
        <v>6.7</v>
      </c>
      <c r="AV70" s="55">
        <f>IF(AND(AV$30,$O70),$C$33,"")</f>
        <v>7.7</v>
      </c>
      <c r="AW70" s="56" t="str">
        <f>IF(AND(AW$30,$O70),$D$33,"")</f>
        <v/>
      </c>
      <c r="AX70" s="56" t="str">
        <f>IF(AND(AX$30,$O70),$E$33,"")</f>
        <v/>
      </c>
      <c r="AY70" s="57" t="str">
        <f>IF(AND(AY$30,$O70),$F$33,"")</f>
        <v/>
      </c>
      <c r="AZ70" s="55">
        <f>IF(AND(AZ$30,$O70),$C$33,"")</f>
        <v>7.7</v>
      </c>
      <c r="BA70" s="56" t="str">
        <f>IF(AND(BA$30,$O70),$D$33,"")</f>
        <v/>
      </c>
      <c r="BB70" s="56" t="str">
        <f>IF(AND(BB$30,$O70),$E$33,"")</f>
        <v/>
      </c>
      <c r="BC70" s="57">
        <f>IF(AND(BC$30,$O70),$F$33,"")</f>
        <v>6.7</v>
      </c>
      <c r="BD70" s="55">
        <f>IF(AND(BD$30,$O70),$C$33,"")</f>
        <v>7.7</v>
      </c>
      <c r="BE70" s="56" t="str">
        <f>IF(AND(BE$30,$O70),$D$33,"")</f>
        <v/>
      </c>
      <c r="BF70" s="56">
        <f>IF(AND(BF$30,$O70),$E$33,"")</f>
        <v>11.1</v>
      </c>
      <c r="BG70" s="57" t="str">
        <f>IF(AND(BG$30,$O70),$F$33,"")</f>
        <v/>
      </c>
      <c r="BH70" s="55">
        <f>IF(AND(BH$30,$O70),$C$33,"")</f>
        <v>7.7</v>
      </c>
      <c r="BI70" s="56" t="str">
        <f>IF(AND(BI$30,$O70),$D$33,"")</f>
        <v/>
      </c>
      <c r="BJ70" s="56">
        <f>IF(AND(BJ$30,$O70),$E$33,"")</f>
        <v>11.1</v>
      </c>
      <c r="BK70" s="57">
        <f>IF(AND(BK$30,$O70),$F$33,"")</f>
        <v>6.7</v>
      </c>
      <c r="BL70" s="55">
        <f>IF(AND(BL$30,$O70),$C$33,"")</f>
        <v>7.7</v>
      </c>
      <c r="BM70" s="56">
        <f>IF(AND(BM$30,$O70),$D$33,"")</f>
        <v>8.6</v>
      </c>
      <c r="BN70" s="56" t="str">
        <f>IF(AND(BN$30,$O70),$E$33,"")</f>
        <v/>
      </c>
      <c r="BO70" s="57" t="str">
        <f>IF(AND(BO$30,$O70),$F$33,"")</f>
        <v/>
      </c>
      <c r="BP70" s="55">
        <f>IF(AND(BP$30,$O70),$C$33,"")</f>
        <v>7.7</v>
      </c>
      <c r="BQ70" s="56">
        <f>IF(AND(BQ$30,$O70),$D$33,"")</f>
        <v>8.6</v>
      </c>
      <c r="BR70" s="56" t="str">
        <f>IF(AND(BR$30,$O70),$E$33,"")</f>
        <v/>
      </c>
      <c r="BS70" s="57">
        <f>IF(AND(BS$30,$O70),$F$33,"")</f>
        <v>6.7</v>
      </c>
      <c r="BT70" s="55">
        <f>IF(AND(BT$30,$O70),$C$33,"")</f>
        <v>7.7</v>
      </c>
      <c r="BU70" s="56">
        <f>IF(AND(BU$30,$O70),$D$33,"")</f>
        <v>8.6</v>
      </c>
      <c r="BV70" s="56">
        <f>IF(AND(BV$30,$O70),$E$33,"")</f>
        <v>11.1</v>
      </c>
      <c r="BW70" s="57" t="str">
        <f>IF(AND(BW$30,$O70),$F$33,"")</f>
        <v/>
      </c>
      <c r="BX70" s="55">
        <f>IF(AND(BX$30,$O70),$C$33,"")</f>
        <v>7.7</v>
      </c>
      <c r="BY70" s="56">
        <f>IF(AND(BY$30,$O70),$D$33,"")</f>
        <v>8.6</v>
      </c>
      <c r="BZ70" s="56">
        <f>IF(AND(BZ$30,$O70),$E$33,"")</f>
        <v>11.1</v>
      </c>
      <c r="CA70" s="57">
        <f>IF(AND(CA$30,$O70),$F$33,"")</f>
        <v>6.7</v>
      </c>
      <c r="CB70" s="55" t="str">
        <f>IF(AND(CB$30,$O70),$C$33,"")</f>
        <v/>
      </c>
      <c r="CC70" s="56" t="str">
        <f>IF(AND(CC$30,$O70),$D$33,"")</f>
        <v/>
      </c>
      <c r="CD70" s="56" t="str">
        <f>IF(AND(CD$30,$O70),$E$33,"")</f>
        <v/>
      </c>
      <c r="CE70" s="57" t="str">
        <f>IF(AND(CE$30,$O70),$F$33,"")</f>
        <v/>
      </c>
    </row>
    <row r="71" spans="12:83">
      <c r="L71" s="83" t="str">
        <f>MID(CodDegElegir,N71+1,1)</f>
        <v>M</v>
      </c>
      <c r="M71" s="85" t="str">
        <f t="shared" si="21"/>
        <v>A</v>
      </c>
      <c r="N71">
        <v>10</v>
      </c>
      <c r="O71" s="81">
        <f>BinAnd(N71,A)</f>
        <v>8</v>
      </c>
      <c r="P71" s="29" t="str">
        <f>IF(AND(P$30,$O71),$C$30,"")</f>
        <v/>
      </c>
      <c r="Q71" s="30" t="str">
        <f>IF(AND(Q$30,$O71),$D$30,"")</f>
        <v/>
      </c>
      <c r="R71" s="30" t="str">
        <f>IF(AND(R$30,$O71),$E$30,"")</f>
        <v/>
      </c>
      <c r="S71" s="53" t="str">
        <f>IF(AND(S$30,$O71),$F$30,"")</f>
        <v/>
      </c>
      <c r="T71" s="29" t="str">
        <f>IF(AND(T$30,$O71),$C$30,"")</f>
        <v/>
      </c>
      <c r="U71" s="30" t="str">
        <f>IF(AND(U$30,$O71),$D$30,"")</f>
        <v/>
      </c>
      <c r="V71" s="30" t="str">
        <f>IF(AND(V$30,$O71),$E$30,"")</f>
        <v/>
      </c>
      <c r="W71" s="53">
        <f>IF(AND(W$30,$O71),$F$30,"")</f>
        <v>6.1</v>
      </c>
      <c r="X71" s="29" t="str">
        <f>IF(AND(X$30,$O71),$C$30,"")</f>
        <v/>
      </c>
      <c r="Y71" s="30" t="str">
        <f>IF(AND(Y$30,$O71),$D$30,"")</f>
        <v/>
      </c>
      <c r="Z71" s="30">
        <f>IF(AND(Z$30,$O71),$E$30,"")</f>
        <v>8.6</v>
      </c>
      <c r="AA71" s="53" t="str">
        <f>IF(AND(AA$30,$O71),$F$30,"")</f>
        <v/>
      </c>
      <c r="AB71" s="29" t="str">
        <f>IF(AND(AB$30,$O71),$C$30,"")</f>
        <v/>
      </c>
      <c r="AC71" s="30" t="str">
        <f>IF(AND(AC$30,$O71),$D$30,"")</f>
        <v/>
      </c>
      <c r="AD71" s="30">
        <f>IF(AND(AD$30,$O71),$E$30,"")</f>
        <v>8.6</v>
      </c>
      <c r="AE71" s="53">
        <f>IF(AND(AE$30,$O71),$F$30,"")</f>
        <v>6.1</v>
      </c>
      <c r="AF71" s="29" t="str">
        <f>IF(AND(AF$30,$O71),$C$30,"")</f>
        <v/>
      </c>
      <c r="AG71" s="30">
        <f>IF(AND(AG$30,$O71),$D$30,"")</f>
        <v>6.5</v>
      </c>
      <c r="AH71" s="30" t="str">
        <f>IF(AND(AH$30,$O71),$E$30,"")</f>
        <v/>
      </c>
      <c r="AI71" s="53" t="str">
        <f>IF(AND(AI$30,$O71),$F$30,"")</f>
        <v/>
      </c>
      <c r="AJ71" s="29" t="str">
        <f>IF(AND(AJ$30,$O71),$C$30,"")</f>
        <v/>
      </c>
      <c r="AK71" s="30">
        <f>IF(AND(AK$30,$O71),$D$30,"")</f>
        <v>6.5</v>
      </c>
      <c r="AL71" s="30" t="str">
        <f>IF(AND(AL$30,$O71),$E$30,"")</f>
        <v/>
      </c>
      <c r="AM71" s="53">
        <f>IF(AND(AM$30,$O71),$F$30,"")</f>
        <v>6.1</v>
      </c>
      <c r="AN71" s="29" t="str">
        <f>IF(AND(AN$30,$O71),$C$30,"")</f>
        <v/>
      </c>
      <c r="AO71" s="30">
        <f>IF(AND(AO$30,$O71),$D$30,"")</f>
        <v>6.5</v>
      </c>
      <c r="AP71" s="30">
        <f>IF(AND(AP$30,$O71),$E$30,"")</f>
        <v>8.6</v>
      </c>
      <c r="AQ71" s="53" t="str">
        <f>IF(AND(AQ$30,$O71),$F$30,"")</f>
        <v/>
      </c>
      <c r="AR71" s="29" t="str">
        <f>IF(AND(AR$30,$O71),$C$30,"")</f>
        <v/>
      </c>
      <c r="AS71" s="30">
        <f>IF(AND(AS$30,$O71),$D$30,"")</f>
        <v>6.5</v>
      </c>
      <c r="AT71" s="30">
        <f>IF(AND(AT$30,$O71),$E$30,"")</f>
        <v>8.6</v>
      </c>
      <c r="AU71" s="53">
        <f>IF(AND(AU$30,$O71),$F$30,"")</f>
        <v>6.1</v>
      </c>
      <c r="AV71" s="29">
        <f>IF(AND(AV$30,$O71),$C$30,"")</f>
        <v>8.4</v>
      </c>
      <c r="AW71" s="30" t="str">
        <f>IF(AND(AW$30,$O71),$D$30,"")</f>
        <v/>
      </c>
      <c r="AX71" s="30" t="str">
        <f>IF(AND(AX$30,$O71),$E$30,"")</f>
        <v/>
      </c>
      <c r="AY71" s="53" t="str">
        <f>IF(AND(AY$30,$O71),$F$30,"")</f>
        <v/>
      </c>
      <c r="AZ71" s="29">
        <f>IF(AND(AZ$30,$O71),$C$30,"")</f>
        <v>8.4</v>
      </c>
      <c r="BA71" s="30" t="str">
        <f>IF(AND(BA$30,$O71),$D$30,"")</f>
        <v/>
      </c>
      <c r="BB71" s="30" t="str">
        <f>IF(AND(BB$30,$O71),$E$30,"")</f>
        <v/>
      </c>
      <c r="BC71" s="53">
        <f>IF(AND(BC$30,$O71),$F$30,"")</f>
        <v>6.1</v>
      </c>
      <c r="BD71" s="29">
        <f>IF(AND(BD$30,$O71),$C$30,"")</f>
        <v>8.4</v>
      </c>
      <c r="BE71" s="30" t="str">
        <f>IF(AND(BE$30,$O71),$D$30,"")</f>
        <v/>
      </c>
      <c r="BF71" s="30">
        <f>IF(AND(BF$30,$O71),$E$30,"")</f>
        <v>8.6</v>
      </c>
      <c r="BG71" s="53" t="str">
        <f>IF(AND(BG$30,$O71),$F$30,"")</f>
        <v/>
      </c>
      <c r="BH71" s="29">
        <f>IF(AND(BH$30,$O71),$C$30,"")</f>
        <v>8.4</v>
      </c>
      <c r="BI71" s="30" t="str">
        <f>IF(AND(BI$30,$O71),$D$30,"")</f>
        <v/>
      </c>
      <c r="BJ71" s="30">
        <f>IF(AND(BJ$30,$O71),$E$30,"")</f>
        <v>8.6</v>
      </c>
      <c r="BK71" s="53">
        <f>IF(AND(BK$30,$O71),$F$30,"")</f>
        <v>6.1</v>
      </c>
      <c r="BL71" s="29">
        <f>IF(AND(BL$30,$O71),$C$30,"")</f>
        <v>8.4</v>
      </c>
      <c r="BM71" s="30">
        <f>IF(AND(BM$30,$O71),$D$30,"")</f>
        <v>6.5</v>
      </c>
      <c r="BN71" s="30" t="str">
        <f>IF(AND(BN$30,$O71),$E$30,"")</f>
        <v/>
      </c>
      <c r="BO71" s="53" t="str">
        <f>IF(AND(BO$30,$O71),$F$30,"")</f>
        <v/>
      </c>
      <c r="BP71" s="29">
        <f>IF(AND(BP$30,$O71),$C$30,"")</f>
        <v>8.4</v>
      </c>
      <c r="BQ71" s="30">
        <f>IF(AND(BQ$30,$O71),$D$30,"")</f>
        <v>6.5</v>
      </c>
      <c r="BR71" s="30" t="str">
        <f>IF(AND(BR$30,$O71),$E$30,"")</f>
        <v/>
      </c>
      <c r="BS71" s="53">
        <f>IF(AND(BS$30,$O71),$F$30,"")</f>
        <v>6.1</v>
      </c>
      <c r="BT71" s="29">
        <f>IF(AND(BT$30,$O71),$C$30,"")</f>
        <v>8.4</v>
      </c>
      <c r="BU71" s="30">
        <f>IF(AND(BU$30,$O71),$D$30,"")</f>
        <v>6.5</v>
      </c>
      <c r="BV71" s="30">
        <f>IF(AND(BV$30,$O71),$E$30,"")</f>
        <v>8.6</v>
      </c>
      <c r="BW71" s="53" t="str">
        <f>IF(AND(BW$30,$O71),$F$30,"")</f>
        <v/>
      </c>
      <c r="BX71" s="29">
        <f>IF(AND(BX$30,$O71),$C$30,"")</f>
        <v>8.4</v>
      </c>
      <c r="BY71" s="30">
        <f>IF(AND(BY$30,$O71),$D$30,"")</f>
        <v>6.5</v>
      </c>
      <c r="BZ71" s="30">
        <f>IF(AND(BZ$30,$O71),$E$30,"")</f>
        <v>8.6</v>
      </c>
      <c r="CA71" s="53">
        <f>IF(AND(CA$30,$O71),$F$30,"")</f>
        <v>6.1</v>
      </c>
      <c r="CB71" s="29" t="str">
        <f>IF(AND(CB$30,$O71),$C$30,"")</f>
        <v/>
      </c>
      <c r="CC71" s="30" t="str">
        <f>IF(AND(CC$30,$O71),$D$30,"")</f>
        <v/>
      </c>
      <c r="CD71" s="30" t="str">
        <f>IF(AND(CD$30,$O71),$E$30,"")</f>
        <v/>
      </c>
      <c r="CE71" s="53" t="str">
        <f>IF(AND(CE$30,$O71),$F$30,"")</f>
        <v/>
      </c>
    </row>
    <row r="72" spans="12:83">
      <c r="L72" s="87"/>
      <c r="M72" s="36" t="str">
        <f t="shared" si="21"/>
        <v>-</v>
      </c>
      <c r="O72" s="82">
        <f>BinAnd(N71,T)</f>
        <v>0</v>
      </c>
      <c r="P72" s="31" t="str">
        <f>IF(AND(P$30,$O72),$C$31,"")</f>
        <v/>
      </c>
      <c r="Q72" s="32" t="str">
        <f>IF(AND(Q$30,$O72),$D$31,"")</f>
        <v/>
      </c>
      <c r="R72" s="32" t="str">
        <f>IF(AND(R$30,$O72),$E$31,"")</f>
        <v/>
      </c>
      <c r="S72" s="54" t="str">
        <f>IF(AND(S$30,$O72),$F$31,"")</f>
        <v/>
      </c>
      <c r="T72" s="31" t="str">
        <f>IF(AND(T$30,$O72),$C$31,"")</f>
        <v/>
      </c>
      <c r="U72" s="32" t="str">
        <f>IF(AND(U$30,$O72),$D$31,"")</f>
        <v/>
      </c>
      <c r="V72" s="32" t="str">
        <f>IF(AND(V$30,$O72),$E$31,"")</f>
        <v/>
      </c>
      <c r="W72" s="54" t="str">
        <f>IF(AND(W$30,$O72),$F$31,"")</f>
        <v/>
      </c>
      <c r="X72" s="31" t="str">
        <f>IF(AND(X$30,$O72),$C$31,"")</f>
        <v/>
      </c>
      <c r="Y72" s="32" t="str">
        <f>IF(AND(Y$30,$O72),$D$31,"")</f>
        <v/>
      </c>
      <c r="Z72" s="32" t="str">
        <f>IF(AND(Z$30,$O72),$E$31,"")</f>
        <v/>
      </c>
      <c r="AA72" s="54" t="str">
        <f>IF(AND(AA$30,$O72),$F$31,"")</f>
        <v/>
      </c>
      <c r="AB72" s="31" t="str">
        <f>IF(AND(AB$30,$O72),$C$31,"")</f>
        <v/>
      </c>
      <c r="AC72" s="32" t="str">
        <f>IF(AND(AC$30,$O72),$D$31,"")</f>
        <v/>
      </c>
      <c r="AD72" s="32" t="str">
        <f>IF(AND(AD$30,$O72),$E$31,"")</f>
        <v/>
      </c>
      <c r="AE72" s="54" t="str">
        <f>IF(AND(AE$30,$O72),$F$31,"")</f>
        <v/>
      </c>
      <c r="AF72" s="31" t="str">
        <f>IF(AND(AF$30,$O72),$C$31,"")</f>
        <v/>
      </c>
      <c r="AG72" s="32" t="str">
        <f>IF(AND(AG$30,$O72),$D$31,"")</f>
        <v/>
      </c>
      <c r="AH72" s="32" t="str">
        <f>IF(AND(AH$30,$O72),$E$31,"")</f>
        <v/>
      </c>
      <c r="AI72" s="54" t="str">
        <f>IF(AND(AI$30,$O72),$F$31,"")</f>
        <v/>
      </c>
      <c r="AJ72" s="31" t="str">
        <f>IF(AND(AJ$30,$O72),$C$31,"")</f>
        <v/>
      </c>
      <c r="AK72" s="32" t="str">
        <f>IF(AND(AK$30,$O72),$D$31,"")</f>
        <v/>
      </c>
      <c r="AL72" s="32" t="str">
        <f>IF(AND(AL$30,$O72),$E$31,"")</f>
        <v/>
      </c>
      <c r="AM72" s="54" t="str">
        <f>IF(AND(AM$30,$O72),$F$31,"")</f>
        <v/>
      </c>
      <c r="AN72" s="31" t="str">
        <f>IF(AND(AN$30,$O72),$C$31,"")</f>
        <v/>
      </c>
      <c r="AO72" s="32" t="str">
        <f>IF(AND(AO$30,$O72),$D$31,"")</f>
        <v/>
      </c>
      <c r="AP72" s="32" t="str">
        <f>IF(AND(AP$30,$O72),$E$31,"")</f>
        <v/>
      </c>
      <c r="AQ72" s="54" t="str">
        <f>IF(AND(AQ$30,$O72),$F$31,"")</f>
        <v/>
      </c>
      <c r="AR72" s="31" t="str">
        <f>IF(AND(AR$30,$O72),$C$31,"")</f>
        <v/>
      </c>
      <c r="AS72" s="32" t="str">
        <f>IF(AND(AS$30,$O72),$D$31,"")</f>
        <v/>
      </c>
      <c r="AT72" s="32" t="str">
        <f>IF(AND(AT$30,$O72),$E$31,"")</f>
        <v/>
      </c>
      <c r="AU72" s="54" t="str">
        <f>IF(AND(AU$30,$O72),$F$31,"")</f>
        <v/>
      </c>
      <c r="AV72" s="31" t="str">
        <f>IF(AND(AV$30,$O72),$C$31,"")</f>
        <v/>
      </c>
      <c r="AW72" s="32" t="str">
        <f>IF(AND(AW$30,$O72),$D$31,"")</f>
        <v/>
      </c>
      <c r="AX72" s="32" t="str">
        <f>IF(AND(AX$30,$O72),$E$31,"")</f>
        <v/>
      </c>
      <c r="AY72" s="54" t="str">
        <f>IF(AND(AY$30,$O72),$F$31,"")</f>
        <v/>
      </c>
      <c r="AZ72" s="31" t="str">
        <f>IF(AND(AZ$30,$O72),$C$31,"")</f>
        <v/>
      </c>
      <c r="BA72" s="32" t="str">
        <f>IF(AND(BA$30,$O72),$D$31,"")</f>
        <v/>
      </c>
      <c r="BB72" s="32" t="str">
        <f>IF(AND(BB$30,$O72),$E$31,"")</f>
        <v/>
      </c>
      <c r="BC72" s="54" t="str">
        <f>IF(AND(BC$30,$O72),$F$31,"")</f>
        <v/>
      </c>
      <c r="BD72" s="31" t="str">
        <f>IF(AND(BD$30,$O72),$C$31,"")</f>
        <v/>
      </c>
      <c r="BE72" s="32" t="str">
        <f>IF(AND(BE$30,$O72),$D$31,"")</f>
        <v/>
      </c>
      <c r="BF72" s="32" t="str">
        <f>IF(AND(BF$30,$O72),$E$31,"")</f>
        <v/>
      </c>
      <c r="BG72" s="54" t="str">
        <f>IF(AND(BG$30,$O72),$F$31,"")</f>
        <v/>
      </c>
      <c r="BH72" s="31" t="str">
        <f>IF(AND(BH$30,$O72),$C$31,"")</f>
        <v/>
      </c>
      <c r="BI72" s="32" t="str">
        <f>IF(AND(BI$30,$O72),$D$31,"")</f>
        <v/>
      </c>
      <c r="BJ72" s="32" t="str">
        <f>IF(AND(BJ$30,$O72),$E$31,"")</f>
        <v/>
      </c>
      <c r="BK72" s="54" t="str">
        <f>IF(AND(BK$30,$O72),$F$31,"")</f>
        <v/>
      </c>
      <c r="BL72" s="31" t="str">
        <f>IF(AND(BL$30,$O72),$C$31,"")</f>
        <v/>
      </c>
      <c r="BM72" s="32" t="str">
        <f>IF(AND(BM$30,$O72),$D$31,"")</f>
        <v/>
      </c>
      <c r="BN72" s="32" t="str">
        <f>IF(AND(BN$30,$O72),$E$31,"")</f>
        <v/>
      </c>
      <c r="BO72" s="54" t="str">
        <f>IF(AND(BO$30,$O72),$F$31,"")</f>
        <v/>
      </c>
      <c r="BP72" s="31" t="str">
        <f>IF(AND(BP$30,$O72),$C$31,"")</f>
        <v/>
      </c>
      <c r="BQ72" s="32" t="str">
        <f>IF(AND(BQ$30,$O72),$D$31,"")</f>
        <v/>
      </c>
      <c r="BR72" s="32" t="str">
        <f>IF(AND(BR$30,$O72),$E$31,"")</f>
        <v/>
      </c>
      <c r="BS72" s="54" t="str">
        <f>IF(AND(BS$30,$O72),$F$31,"")</f>
        <v/>
      </c>
      <c r="BT72" s="31" t="str">
        <f>IF(AND(BT$30,$O72),$C$31,"")</f>
        <v/>
      </c>
      <c r="BU72" s="32" t="str">
        <f>IF(AND(BU$30,$O72),$D$31,"")</f>
        <v/>
      </c>
      <c r="BV72" s="32" t="str">
        <f>IF(AND(BV$30,$O72),$E$31,"")</f>
        <v/>
      </c>
      <c r="BW72" s="54" t="str">
        <f>IF(AND(BW$30,$O72),$F$31,"")</f>
        <v/>
      </c>
      <c r="BX72" s="31" t="str">
        <f>IF(AND(BX$30,$O72),$C$31,"")</f>
        <v/>
      </c>
      <c r="BY72" s="32" t="str">
        <f>IF(AND(BY$30,$O72),$D$31,"")</f>
        <v/>
      </c>
      <c r="BZ72" s="32" t="str">
        <f>IF(AND(BZ$30,$O72),$E$31,"")</f>
        <v/>
      </c>
      <c r="CA72" s="54" t="str">
        <f>IF(AND(CA$30,$O72),$F$31,"")</f>
        <v/>
      </c>
      <c r="CB72" s="31" t="str">
        <f>IF(AND(CB$30,$O72),$C$31,"")</f>
        <v/>
      </c>
      <c r="CC72" s="32" t="str">
        <f>IF(AND(CC$30,$O72),$D$31,"")</f>
        <v/>
      </c>
      <c r="CD72" s="32" t="str">
        <f>IF(AND(CD$30,$O72),$E$31,"")</f>
        <v/>
      </c>
      <c r="CE72" s="54" t="str">
        <f>IF(AND(CE$30,$O72),$F$31,"")</f>
        <v/>
      </c>
    </row>
    <row r="73" spans="12:83">
      <c r="L73" s="87"/>
      <c r="M73" s="36" t="str">
        <f t="shared" si="21"/>
        <v>C</v>
      </c>
      <c r="O73" s="82">
        <f>BinAnd(N71,Ce)</f>
        <v>2</v>
      </c>
      <c r="P73" s="31" t="str">
        <f>IF(AND(P$30,$O73),$C$32,"")</f>
        <v/>
      </c>
      <c r="Q73" s="32" t="str">
        <f>IF(AND(Q$30,$O73),$D$32,"")</f>
        <v/>
      </c>
      <c r="R73" s="32" t="str">
        <f>IF(AND(R$30,$O73),$E$32,"")</f>
        <v/>
      </c>
      <c r="S73" s="54" t="str">
        <f>IF(AND(S$30,$O73),$F$32,"")</f>
        <v/>
      </c>
      <c r="T73" s="31" t="str">
        <f>IF(AND(T$30,$O73),$C$32,"")</f>
        <v/>
      </c>
      <c r="U73" s="32" t="str">
        <f>IF(AND(U$30,$O73),$D$32,"")</f>
        <v/>
      </c>
      <c r="V73" s="32" t="str">
        <f>IF(AND(V$30,$O73),$E$32,"")</f>
        <v/>
      </c>
      <c r="W73" s="54">
        <f>IF(AND(W$30,$O73),$F$32,"")</f>
        <v>10.1</v>
      </c>
      <c r="X73" s="31" t="str">
        <f>IF(AND(X$30,$O73),$C$32,"")</f>
        <v/>
      </c>
      <c r="Y73" s="32" t="str">
        <f>IF(AND(Y$30,$O73),$D$32,"")</f>
        <v/>
      </c>
      <c r="Z73" s="32">
        <f>IF(AND(Z$30,$O73),$E$32,"")</f>
        <v>6.7</v>
      </c>
      <c r="AA73" s="54" t="str">
        <f>IF(AND(AA$30,$O73),$F$32,"")</f>
        <v/>
      </c>
      <c r="AB73" s="31" t="str">
        <f>IF(AND(AB$30,$O73),$C$32,"")</f>
        <v/>
      </c>
      <c r="AC73" s="32" t="str">
        <f>IF(AND(AC$30,$O73),$D$32,"")</f>
        <v/>
      </c>
      <c r="AD73" s="32">
        <f>IF(AND(AD$30,$O73),$E$32,"")</f>
        <v>6.7</v>
      </c>
      <c r="AE73" s="54">
        <f>IF(AND(AE$30,$O73),$F$32,"")</f>
        <v>10.1</v>
      </c>
      <c r="AF73" s="31" t="str">
        <f>IF(AND(AF$30,$O73),$C$32,"")</f>
        <v/>
      </c>
      <c r="AG73" s="32">
        <f>IF(AND(AG$30,$O73),$D$32,"")</f>
        <v>6.1</v>
      </c>
      <c r="AH73" s="32" t="str">
        <f>IF(AND(AH$30,$O73),$E$32,"")</f>
        <v/>
      </c>
      <c r="AI73" s="54" t="str">
        <f>IF(AND(AI$30,$O73),$F$32,"")</f>
        <v/>
      </c>
      <c r="AJ73" s="31" t="str">
        <f>IF(AND(AJ$30,$O73),$C$32,"")</f>
        <v/>
      </c>
      <c r="AK73" s="32">
        <f>IF(AND(AK$30,$O73),$D$32,"")</f>
        <v>6.1</v>
      </c>
      <c r="AL73" s="32" t="str">
        <f>IF(AND(AL$30,$O73),$E$32,"")</f>
        <v/>
      </c>
      <c r="AM73" s="54">
        <f>IF(AND(AM$30,$O73),$F$32,"")</f>
        <v>10.1</v>
      </c>
      <c r="AN73" s="31" t="str">
        <f>IF(AND(AN$30,$O73),$C$32,"")</f>
        <v/>
      </c>
      <c r="AO73" s="32">
        <f>IF(AND(AO$30,$O73),$D$32,"")</f>
        <v>6.1</v>
      </c>
      <c r="AP73" s="32">
        <f>IF(AND(AP$30,$O73),$E$32,"")</f>
        <v>6.7</v>
      </c>
      <c r="AQ73" s="54" t="str">
        <f>IF(AND(AQ$30,$O73),$F$32,"")</f>
        <v/>
      </c>
      <c r="AR73" s="31" t="str">
        <f>IF(AND(AR$30,$O73),$C$32,"")</f>
        <v/>
      </c>
      <c r="AS73" s="32">
        <f>IF(AND(AS$30,$O73),$D$32,"")</f>
        <v>6.1</v>
      </c>
      <c r="AT73" s="32">
        <f>IF(AND(AT$30,$O73),$E$32,"")</f>
        <v>6.7</v>
      </c>
      <c r="AU73" s="54">
        <f>IF(AND(AU$30,$O73),$F$32,"")</f>
        <v>10.1</v>
      </c>
      <c r="AV73" s="31">
        <f>IF(AND(AV$30,$O73),$C$32,"")</f>
        <v>7.4</v>
      </c>
      <c r="AW73" s="32" t="str">
        <f>IF(AND(AW$30,$O73),$D$32,"")</f>
        <v/>
      </c>
      <c r="AX73" s="32" t="str">
        <f>IF(AND(AX$30,$O73),$E$32,"")</f>
        <v/>
      </c>
      <c r="AY73" s="54" t="str">
        <f>IF(AND(AY$30,$O73),$F$32,"")</f>
        <v/>
      </c>
      <c r="AZ73" s="31">
        <f>IF(AND(AZ$30,$O73),$C$32,"")</f>
        <v>7.4</v>
      </c>
      <c r="BA73" s="32" t="str">
        <f>IF(AND(BA$30,$O73),$D$32,"")</f>
        <v/>
      </c>
      <c r="BB73" s="32" t="str">
        <f>IF(AND(BB$30,$O73),$E$32,"")</f>
        <v/>
      </c>
      <c r="BC73" s="54">
        <f>IF(AND(BC$30,$O73),$F$32,"")</f>
        <v>10.1</v>
      </c>
      <c r="BD73" s="31">
        <f>IF(AND(BD$30,$O73),$C$32,"")</f>
        <v>7.4</v>
      </c>
      <c r="BE73" s="32" t="str">
        <f>IF(AND(BE$30,$O73),$D$32,"")</f>
        <v/>
      </c>
      <c r="BF73" s="32">
        <f>IF(AND(BF$30,$O73),$E$32,"")</f>
        <v>6.7</v>
      </c>
      <c r="BG73" s="54" t="str">
        <f>IF(AND(BG$30,$O73),$F$32,"")</f>
        <v/>
      </c>
      <c r="BH73" s="31">
        <f>IF(AND(BH$30,$O73),$C$32,"")</f>
        <v>7.4</v>
      </c>
      <c r="BI73" s="32" t="str">
        <f>IF(AND(BI$30,$O73),$D$32,"")</f>
        <v/>
      </c>
      <c r="BJ73" s="32">
        <f>IF(AND(BJ$30,$O73),$E$32,"")</f>
        <v>6.7</v>
      </c>
      <c r="BK73" s="54">
        <f>IF(AND(BK$30,$O73),$F$32,"")</f>
        <v>10.1</v>
      </c>
      <c r="BL73" s="31">
        <f>IF(AND(BL$30,$O73),$C$32,"")</f>
        <v>7.4</v>
      </c>
      <c r="BM73" s="32">
        <f>IF(AND(BM$30,$O73),$D$32,"")</f>
        <v>6.1</v>
      </c>
      <c r="BN73" s="32" t="str">
        <f>IF(AND(BN$30,$O73),$E$32,"")</f>
        <v/>
      </c>
      <c r="BO73" s="54" t="str">
        <f>IF(AND(BO$30,$O73),$F$32,"")</f>
        <v/>
      </c>
      <c r="BP73" s="31">
        <f>IF(AND(BP$30,$O73),$C$32,"")</f>
        <v>7.4</v>
      </c>
      <c r="BQ73" s="32">
        <f>IF(AND(BQ$30,$O73),$D$32,"")</f>
        <v>6.1</v>
      </c>
      <c r="BR73" s="32" t="str">
        <f>IF(AND(BR$30,$O73),$E$32,"")</f>
        <v/>
      </c>
      <c r="BS73" s="54">
        <f>IF(AND(BS$30,$O73),$F$32,"")</f>
        <v>10.1</v>
      </c>
      <c r="BT73" s="31">
        <f>IF(AND(BT$30,$O73),$C$32,"")</f>
        <v>7.4</v>
      </c>
      <c r="BU73" s="32">
        <f>IF(AND(BU$30,$O73),$D$32,"")</f>
        <v>6.1</v>
      </c>
      <c r="BV73" s="32">
        <f>IF(AND(BV$30,$O73),$E$32,"")</f>
        <v>6.7</v>
      </c>
      <c r="BW73" s="54" t="str">
        <f>IF(AND(BW$30,$O73),$F$32,"")</f>
        <v/>
      </c>
      <c r="BX73" s="31">
        <f>IF(AND(BX$30,$O73),$C$32,"")</f>
        <v>7.4</v>
      </c>
      <c r="BY73" s="32">
        <f>IF(AND(BY$30,$O73),$D$32,"")</f>
        <v>6.1</v>
      </c>
      <c r="BZ73" s="32">
        <f>IF(AND(BZ$30,$O73),$E$32,"")</f>
        <v>6.7</v>
      </c>
      <c r="CA73" s="54">
        <f>IF(AND(CA$30,$O73),$F$32,"")</f>
        <v>10.1</v>
      </c>
      <c r="CB73" s="31" t="str">
        <f>IF(AND(CB$30,$O73),$C$32,"")</f>
        <v/>
      </c>
      <c r="CC73" s="32" t="str">
        <f>IF(AND(CC$30,$O73),$D$32,"")</f>
        <v/>
      </c>
      <c r="CD73" s="32" t="str">
        <f>IF(AND(CD$30,$O73),$E$32,"")</f>
        <v/>
      </c>
      <c r="CE73" s="54" t="str">
        <f>IF(AND(CE$30,$O73),$F$32,"")</f>
        <v/>
      </c>
    </row>
    <row r="74" spans="12:83" ht="15.75" thickBot="1">
      <c r="L74" s="86"/>
      <c r="M74" s="37" t="str">
        <f t="shared" si="21"/>
        <v>-</v>
      </c>
      <c r="O74" s="43">
        <f>BinAnd(N71,G)</f>
        <v>0</v>
      </c>
      <c r="P74" s="55" t="str">
        <f>IF(AND(P$30,$O74),$C$33,"")</f>
        <v/>
      </c>
      <c r="Q74" s="56" t="str">
        <f>IF(AND(Q$30,$O74),$D$33,"")</f>
        <v/>
      </c>
      <c r="R74" s="56" t="str">
        <f>IF(AND(R$30,$O74),$E$33,"")</f>
        <v/>
      </c>
      <c r="S74" s="57" t="str">
        <f>IF(AND(S$30,$O74),$F$33,"")</f>
        <v/>
      </c>
      <c r="T74" s="55" t="str">
        <f>IF(AND(T$30,$O74),$C$33,"")</f>
        <v/>
      </c>
      <c r="U74" s="56" t="str">
        <f>IF(AND(U$30,$O74),$D$33,"")</f>
        <v/>
      </c>
      <c r="V74" s="56" t="str">
        <f>IF(AND(V$30,$O74),$E$33,"")</f>
        <v/>
      </c>
      <c r="W74" s="57" t="str">
        <f>IF(AND(W$30,$O74),$F$33,"")</f>
        <v/>
      </c>
      <c r="X74" s="55" t="str">
        <f>IF(AND(X$30,$O74),$C$33,"")</f>
        <v/>
      </c>
      <c r="Y74" s="56" t="str">
        <f>IF(AND(Y$30,$O74),$D$33,"")</f>
        <v/>
      </c>
      <c r="Z74" s="56" t="str">
        <f>IF(AND(Z$30,$O74),$E$33,"")</f>
        <v/>
      </c>
      <c r="AA74" s="57" t="str">
        <f>IF(AND(AA$30,$O74),$F$33,"")</f>
        <v/>
      </c>
      <c r="AB74" s="55" t="str">
        <f>IF(AND(AB$30,$O74),$C$33,"")</f>
        <v/>
      </c>
      <c r="AC74" s="56" t="str">
        <f>IF(AND(AC$30,$O74),$D$33,"")</f>
        <v/>
      </c>
      <c r="AD74" s="56" t="str">
        <f>IF(AND(AD$30,$O74),$E$33,"")</f>
        <v/>
      </c>
      <c r="AE74" s="57" t="str">
        <f>IF(AND(AE$30,$O74),$F$33,"")</f>
        <v/>
      </c>
      <c r="AF74" s="55" t="str">
        <f>IF(AND(AF$30,$O74),$C$33,"")</f>
        <v/>
      </c>
      <c r="AG74" s="56" t="str">
        <f>IF(AND(AG$30,$O74),$D$33,"")</f>
        <v/>
      </c>
      <c r="AH74" s="56" t="str">
        <f>IF(AND(AH$30,$O74),$E$33,"")</f>
        <v/>
      </c>
      <c r="AI74" s="57" t="str">
        <f>IF(AND(AI$30,$O74),$F$33,"")</f>
        <v/>
      </c>
      <c r="AJ74" s="55" t="str">
        <f>IF(AND(AJ$30,$O74),$C$33,"")</f>
        <v/>
      </c>
      <c r="AK74" s="56" t="str">
        <f>IF(AND(AK$30,$O74),$D$33,"")</f>
        <v/>
      </c>
      <c r="AL74" s="56" t="str">
        <f>IF(AND(AL$30,$O74),$E$33,"")</f>
        <v/>
      </c>
      <c r="AM74" s="57" t="str">
        <f>IF(AND(AM$30,$O74),$F$33,"")</f>
        <v/>
      </c>
      <c r="AN74" s="55" t="str">
        <f>IF(AND(AN$30,$O74),$C$33,"")</f>
        <v/>
      </c>
      <c r="AO74" s="56" t="str">
        <f>IF(AND(AO$30,$O74),$D$33,"")</f>
        <v/>
      </c>
      <c r="AP74" s="56" t="str">
        <f>IF(AND(AP$30,$O74),$E$33,"")</f>
        <v/>
      </c>
      <c r="AQ74" s="57" t="str">
        <f>IF(AND(AQ$30,$O74),$F$33,"")</f>
        <v/>
      </c>
      <c r="AR74" s="55" t="str">
        <f>IF(AND(AR$30,$O74),$C$33,"")</f>
        <v/>
      </c>
      <c r="AS74" s="56" t="str">
        <f>IF(AND(AS$30,$O74),$D$33,"")</f>
        <v/>
      </c>
      <c r="AT74" s="56" t="str">
        <f>IF(AND(AT$30,$O74),$E$33,"")</f>
        <v/>
      </c>
      <c r="AU74" s="57" t="str">
        <f>IF(AND(AU$30,$O74),$F$33,"")</f>
        <v/>
      </c>
      <c r="AV74" s="55" t="str">
        <f>IF(AND(AV$30,$O74),$C$33,"")</f>
        <v/>
      </c>
      <c r="AW74" s="56" t="str">
        <f>IF(AND(AW$30,$O74),$D$33,"")</f>
        <v/>
      </c>
      <c r="AX74" s="56" t="str">
        <f>IF(AND(AX$30,$O74),$E$33,"")</f>
        <v/>
      </c>
      <c r="AY74" s="57" t="str">
        <f>IF(AND(AY$30,$O74),$F$33,"")</f>
        <v/>
      </c>
      <c r="AZ74" s="55" t="str">
        <f>IF(AND(AZ$30,$O74),$C$33,"")</f>
        <v/>
      </c>
      <c r="BA74" s="56" t="str">
        <f>IF(AND(BA$30,$O74),$D$33,"")</f>
        <v/>
      </c>
      <c r="BB74" s="56" t="str">
        <f>IF(AND(BB$30,$O74),$E$33,"")</f>
        <v/>
      </c>
      <c r="BC74" s="57" t="str">
        <f>IF(AND(BC$30,$O74),$F$33,"")</f>
        <v/>
      </c>
      <c r="BD74" s="55" t="str">
        <f>IF(AND(BD$30,$O74),$C$33,"")</f>
        <v/>
      </c>
      <c r="BE74" s="56" t="str">
        <f>IF(AND(BE$30,$O74),$D$33,"")</f>
        <v/>
      </c>
      <c r="BF74" s="56" t="str">
        <f>IF(AND(BF$30,$O74),$E$33,"")</f>
        <v/>
      </c>
      <c r="BG74" s="57" t="str">
        <f>IF(AND(BG$30,$O74),$F$33,"")</f>
        <v/>
      </c>
      <c r="BH74" s="55" t="str">
        <f>IF(AND(BH$30,$O74),$C$33,"")</f>
        <v/>
      </c>
      <c r="BI74" s="56" t="str">
        <f>IF(AND(BI$30,$O74),$D$33,"")</f>
        <v/>
      </c>
      <c r="BJ74" s="56" t="str">
        <f>IF(AND(BJ$30,$O74),$E$33,"")</f>
        <v/>
      </c>
      <c r="BK74" s="57" t="str">
        <f>IF(AND(BK$30,$O74),$F$33,"")</f>
        <v/>
      </c>
      <c r="BL74" s="55" t="str">
        <f>IF(AND(BL$30,$O74),$C$33,"")</f>
        <v/>
      </c>
      <c r="BM74" s="56" t="str">
        <f>IF(AND(BM$30,$O74),$D$33,"")</f>
        <v/>
      </c>
      <c r="BN74" s="56" t="str">
        <f>IF(AND(BN$30,$O74),$E$33,"")</f>
        <v/>
      </c>
      <c r="BO74" s="57" t="str">
        <f>IF(AND(BO$30,$O74),$F$33,"")</f>
        <v/>
      </c>
      <c r="BP74" s="55" t="str">
        <f>IF(AND(BP$30,$O74),$C$33,"")</f>
        <v/>
      </c>
      <c r="BQ74" s="56" t="str">
        <f>IF(AND(BQ$30,$O74),$D$33,"")</f>
        <v/>
      </c>
      <c r="BR74" s="56" t="str">
        <f>IF(AND(BR$30,$O74),$E$33,"")</f>
        <v/>
      </c>
      <c r="BS74" s="57" t="str">
        <f>IF(AND(BS$30,$O74),$F$33,"")</f>
        <v/>
      </c>
      <c r="BT74" s="55" t="str">
        <f>IF(AND(BT$30,$O74),$C$33,"")</f>
        <v/>
      </c>
      <c r="BU74" s="56" t="str">
        <f>IF(AND(BU$30,$O74),$D$33,"")</f>
        <v/>
      </c>
      <c r="BV74" s="56" t="str">
        <f>IF(AND(BV$30,$O74),$E$33,"")</f>
        <v/>
      </c>
      <c r="BW74" s="57" t="str">
        <f>IF(AND(BW$30,$O74),$F$33,"")</f>
        <v/>
      </c>
      <c r="BX74" s="55" t="str">
        <f>IF(AND(BX$30,$O74),$C$33,"")</f>
        <v/>
      </c>
      <c r="BY74" s="56" t="str">
        <f>IF(AND(BY$30,$O74),$D$33,"")</f>
        <v/>
      </c>
      <c r="BZ74" s="56" t="str">
        <f>IF(AND(BZ$30,$O74),$E$33,"")</f>
        <v/>
      </c>
      <c r="CA74" s="57" t="str">
        <f>IF(AND(CA$30,$O74),$F$33,"")</f>
        <v/>
      </c>
      <c r="CB74" s="55" t="str">
        <f>IF(AND(CB$30,$O74),$C$33,"")</f>
        <v/>
      </c>
      <c r="CC74" s="56" t="str">
        <f>IF(AND(CC$30,$O74),$D$33,"")</f>
        <v/>
      </c>
      <c r="CD74" s="56" t="str">
        <f>IF(AND(CD$30,$O74),$E$33,"")</f>
        <v/>
      </c>
      <c r="CE74" s="57" t="str">
        <f>IF(AND(CE$30,$O74),$F$33,"")</f>
        <v/>
      </c>
    </row>
    <row r="75" spans="12:83">
      <c r="L75" s="83" t="str">
        <f>MID(CodDegElegir,N75+1,1)</f>
        <v>V</v>
      </c>
      <c r="M75" s="85" t="str">
        <f t="shared" si="21"/>
        <v>A</v>
      </c>
      <c r="N75">
        <v>11</v>
      </c>
      <c r="O75" s="81">
        <f>BinAnd(N75,A)</f>
        <v>8</v>
      </c>
      <c r="P75" s="29" t="str">
        <f>IF(AND(P$30,$O75),$C$30,"")</f>
        <v/>
      </c>
      <c r="Q75" s="30" t="str">
        <f>IF(AND(Q$30,$O75),$D$30,"")</f>
        <v/>
      </c>
      <c r="R75" s="30" t="str">
        <f>IF(AND(R$30,$O75),$E$30,"")</f>
        <v/>
      </c>
      <c r="S75" s="53" t="str">
        <f>IF(AND(S$30,$O75),$F$30,"")</f>
        <v/>
      </c>
      <c r="T75" s="29" t="str">
        <f>IF(AND(T$30,$O75),$C$30,"")</f>
        <v/>
      </c>
      <c r="U75" s="30" t="str">
        <f>IF(AND(U$30,$O75),$D$30,"")</f>
        <v/>
      </c>
      <c r="V75" s="30" t="str">
        <f>IF(AND(V$30,$O75),$E$30,"")</f>
        <v/>
      </c>
      <c r="W75" s="53">
        <f>IF(AND(W$30,$O75),$F$30,"")</f>
        <v>6.1</v>
      </c>
      <c r="X75" s="29" t="str">
        <f>IF(AND(X$30,$O75),$C$30,"")</f>
        <v/>
      </c>
      <c r="Y75" s="30" t="str">
        <f>IF(AND(Y$30,$O75),$D$30,"")</f>
        <v/>
      </c>
      <c r="Z75" s="30">
        <f>IF(AND(Z$30,$O75),$E$30,"")</f>
        <v>8.6</v>
      </c>
      <c r="AA75" s="53" t="str">
        <f>IF(AND(AA$30,$O75),$F$30,"")</f>
        <v/>
      </c>
      <c r="AB75" s="29" t="str">
        <f>IF(AND(AB$30,$O75),$C$30,"")</f>
        <v/>
      </c>
      <c r="AC75" s="30" t="str">
        <f>IF(AND(AC$30,$O75),$D$30,"")</f>
        <v/>
      </c>
      <c r="AD75" s="30">
        <f>IF(AND(AD$30,$O75),$E$30,"")</f>
        <v>8.6</v>
      </c>
      <c r="AE75" s="53">
        <f>IF(AND(AE$30,$O75),$F$30,"")</f>
        <v>6.1</v>
      </c>
      <c r="AF75" s="29" t="str">
        <f>IF(AND(AF$30,$O75),$C$30,"")</f>
        <v/>
      </c>
      <c r="AG75" s="30">
        <f>IF(AND(AG$30,$O75),$D$30,"")</f>
        <v>6.5</v>
      </c>
      <c r="AH75" s="30" t="str">
        <f>IF(AND(AH$30,$O75),$E$30,"")</f>
        <v/>
      </c>
      <c r="AI75" s="53" t="str">
        <f>IF(AND(AI$30,$O75),$F$30,"")</f>
        <v/>
      </c>
      <c r="AJ75" s="29" t="str">
        <f>IF(AND(AJ$30,$O75),$C$30,"")</f>
        <v/>
      </c>
      <c r="AK75" s="30">
        <f>IF(AND(AK$30,$O75),$D$30,"")</f>
        <v>6.5</v>
      </c>
      <c r="AL75" s="30" t="str">
        <f>IF(AND(AL$30,$O75),$E$30,"")</f>
        <v/>
      </c>
      <c r="AM75" s="53">
        <f>IF(AND(AM$30,$O75),$F$30,"")</f>
        <v>6.1</v>
      </c>
      <c r="AN75" s="29" t="str">
        <f>IF(AND(AN$30,$O75),$C$30,"")</f>
        <v/>
      </c>
      <c r="AO75" s="30">
        <f>IF(AND(AO$30,$O75),$D$30,"")</f>
        <v>6.5</v>
      </c>
      <c r="AP75" s="30">
        <f>IF(AND(AP$30,$O75),$E$30,"")</f>
        <v>8.6</v>
      </c>
      <c r="AQ75" s="53" t="str">
        <f>IF(AND(AQ$30,$O75),$F$30,"")</f>
        <v/>
      </c>
      <c r="AR75" s="29" t="str">
        <f>IF(AND(AR$30,$O75),$C$30,"")</f>
        <v/>
      </c>
      <c r="AS75" s="30">
        <f>IF(AND(AS$30,$O75),$D$30,"")</f>
        <v>6.5</v>
      </c>
      <c r="AT75" s="30">
        <f>IF(AND(AT$30,$O75),$E$30,"")</f>
        <v>8.6</v>
      </c>
      <c r="AU75" s="53">
        <f>IF(AND(AU$30,$O75),$F$30,"")</f>
        <v>6.1</v>
      </c>
      <c r="AV75" s="29">
        <f>IF(AND(AV$30,$O75),$C$30,"")</f>
        <v>8.4</v>
      </c>
      <c r="AW75" s="30" t="str">
        <f>IF(AND(AW$30,$O75),$D$30,"")</f>
        <v/>
      </c>
      <c r="AX75" s="30" t="str">
        <f>IF(AND(AX$30,$O75),$E$30,"")</f>
        <v/>
      </c>
      <c r="AY75" s="53" t="str">
        <f>IF(AND(AY$30,$O75),$F$30,"")</f>
        <v/>
      </c>
      <c r="AZ75" s="29">
        <f>IF(AND(AZ$30,$O75),$C$30,"")</f>
        <v>8.4</v>
      </c>
      <c r="BA75" s="30" t="str">
        <f>IF(AND(BA$30,$O75),$D$30,"")</f>
        <v/>
      </c>
      <c r="BB75" s="30" t="str">
        <f>IF(AND(BB$30,$O75),$E$30,"")</f>
        <v/>
      </c>
      <c r="BC75" s="53">
        <f>IF(AND(BC$30,$O75),$F$30,"")</f>
        <v>6.1</v>
      </c>
      <c r="BD75" s="29">
        <f>IF(AND(BD$30,$O75),$C$30,"")</f>
        <v>8.4</v>
      </c>
      <c r="BE75" s="30" t="str">
        <f>IF(AND(BE$30,$O75),$D$30,"")</f>
        <v/>
      </c>
      <c r="BF75" s="30">
        <f>IF(AND(BF$30,$O75),$E$30,"")</f>
        <v>8.6</v>
      </c>
      <c r="BG75" s="53" t="str">
        <f>IF(AND(BG$30,$O75),$F$30,"")</f>
        <v/>
      </c>
      <c r="BH75" s="29">
        <f>IF(AND(BH$30,$O75),$C$30,"")</f>
        <v>8.4</v>
      </c>
      <c r="BI75" s="30" t="str">
        <f>IF(AND(BI$30,$O75),$D$30,"")</f>
        <v/>
      </c>
      <c r="BJ75" s="30">
        <f>IF(AND(BJ$30,$O75),$E$30,"")</f>
        <v>8.6</v>
      </c>
      <c r="BK75" s="53">
        <f>IF(AND(BK$30,$O75),$F$30,"")</f>
        <v>6.1</v>
      </c>
      <c r="BL75" s="29">
        <f>IF(AND(BL$30,$O75),$C$30,"")</f>
        <v>8.4</v>
      </c>
      <c r="BM75" s="30">
        <f>IF(AND(BM$30,$O75),$D$30,"")</f>
        <v>6.5</v>
      </c>
      <c r="BN75" s="30" t="str">
        <f>IF(AND(BN$30,$O75),$E$30,"")</f>
        <v/>
      </c>
      <c r="BO75" s="53" t="str">
        <f>IF(AND(BO$30,$O75),$F$30,"")</f>
        <v/>
      </c>
      <c r="BP75" s="29">
        <f>IF(AND(BP$30,$O75),$C$30,"")</f>
        <v>8.4</v>
      </c>
      <c r="BQ75" s="30">
        <f>IF(AND(BQ$30,$O75),$D$30,"")</f>
        <v>6.5</v>
      </c>
      <c r="BR75" s="30" t="str">
        <f>IF(AND(BR$30,$O75),$E$30,"")</f>
        <v/>
      </c>
      <c r="BS75" s="53">
        <f>IF(AND(BS$30,$O75),$F$30,"")</f>
        <v>6.1</v>
      </c>
      <c r="BT75" s="29">
        <f>IF(AND(BT$30,$O75),$C$30,"")</f>
        <v>8.4</v>
      </c>
      <c r="BU75" s="30">
        <f>IF(AND(BU$30,$O75),$D$30,"")</f>
        <v>6.5</v>
      </c>
      <c r="BV75" s="30">
        <f>IF(AND(BV$30,$O75),$E$30,"")</f>
        <v>8.6</v>
      </c>
      <c r="BW75" s="53" t="str">
        <f>IF(AND(BW$30,$O75),$F$30,"")</f>
        <v/>
      </c>
      <c r="BX75" s="29">
        <f>IF(AND(BX$30,$O75),$C$30,"")</f>
        <v>8.4</v>
      </c>
      <c r="BY75" s="30">
        <f>IF(AND(BY$30,$O75),$D$30,"")</f>
        <v>6.5</v>
      </c>
      <c r="BZ75" s="30">
        <f>IF(AND(BZ$30,$O75),$E$30,"")</f>
        <v>8.6</v>
      </c>
      <c r="CA75" s="53">
        <f>IF(AND(CA$30,$O75),$F$30,"")</f>
        <v>6.1</v>
      </c>
      <c r="CB75" s="29" t="str">
        <f>IF(AND(CB$30,$O75),$C$30,"")</f>
        <v/>
      </c>
      <c r="CC75" s="30" t="str">
        <f>IF(AND(CC$30,$O75),$D$30,"")</f>
        <v/>
      </c>
      <c r="CD75" s="30" t="str">
        <f>IF(AND(CD$30,$O75),$E$30,"")</f>
        <v/>
      </c>
      <c r="CE75" s="53" t="str">
        <f>IF(AND(CE$30,$O75),$F$30,"")</f>
        <v/>
      </c>
    </row>
    <row r="76" spans="12:83">
      <c r="L76" s="87"/>
      <c r="M76" s="36" t="str">
        <f t="shared" si="21"/>
        <v>-</v>
      </c>
      <c r="O76" s="82">
        <f>BinAnd(N75,T)</f>
        <v>0</v>
      </c>
      <c r="P76" s="31" t="str">
        <f>IF(AND(P$30,$O76),$C$31,"")</f>
        <v/>
      </c>
      <c r="Q76" s="32" t="str">
        <f>IF(AND(Q$30,$O76),$D$31,"")</f>
        <v/>
      </c>
      <c r="R76" s="32" t="str">
        <f>IF(AND(R$30,$O76),$E$31,"")</f>
        <v/>
      </c>
      <c r="S76" s="54" t="str">
        <f>IF(AND(S$30,$O76),$F$31,"")</f>
        <v/>
      </c>
      <c r="T76" s="31" t="str">
        <f>IF(AND(T$30,$O76),$C$31,"")</f>
        <v/>
      </c>
      <c r="U76" s="32" t="str">
        <f>IF(AND(U$30,$O76),$D$31,"")</f>
        <v/>
      </c>
      <c r="V76" s="32" t="str">
        <f>IF(AND(V$30,$O76),$E$31,"")</f>
        <v/>
      </c>
      <c r="W76" s="54" t="str">
        <f>IF(AND(W$30,$O76),$F$31,"")</f>
        <v/>
      </c>
      <c r="X76" s="31" t="str">
        <f>IF(AND(X$30,$O76),$C$31,"")</f>
        <v/>
      </c>
      <c r="Y76" s="32" t="str">
        <f>IF(AND(Y$30,$O76),$D$31,"")</f>
        <v/>
      </c>
      <c r="Z76" s="32" t="str">
        <f>IF(AND(Z$30,$O76),$E$31,"")</f>
        <v/>
      </c>
      <c r="AA76" s="54" t="str">
        <f>IF(AND(AA$30,$O76),$F$31,"")</f>
        <v/>
      </c>
      <c r="AB76" s="31" t="str">
        <f>IF(AND(AB$30,$O76),$C$31,"")</f>
        <v/>
      </c>
      <c r="AC76" s="32" t="str">
        <f>IF(AND(AC$30,$O76),$D$31,"")</f>
        <v/>
      </c>
      <c r="AD76" s="32" t="str">
        <f>IF(AND(AD$30,$O76),$E$31,"")</f>
        <v/>
      </c>
      <c r="AE76" s="54" t="str">
        <f>IF(AND(AE$30,$O76),$F$31,"")</f>
        <v/>
      </c>
      <c r="AF76" s="31" t="str">
        <f>IF(AND(AF$30,$O76),$C$31,"")</f>
        <v/>
      </c>
      <c r="AG76" s="32" t="str">
        <f>IF(AND(AG$30,$O76),$D$31,"")</f>
        <v/>
      </c>
      <c r="AH76" s="32" t="str">
        <f>IF(AND(AH$30,$O76),$E$31,"")</f>
        <v/>
      </c>
      <c r="AI76" s="54" t="str">
        <f>IF(AND(AI$30,$O76),$F$31,"")</f>
        <v/>
      </c>
      <c r="AJ76" s="31" t="str">
        <f>IF(AND(AJ$30,$O76),$C$31,"")</f>
        <v/>
      </c>
      <c r="AK76" s="32" t="str">
        <f>IF(AND(AK$30,$O76),$D$31,"")</f>
        <v/>
      </c>
      <c r="AL76" s="32" t="str">
        <f>IF(AND(AL$30,$O76),$E$31,"")</f>
        <v/>
      </c>
      <c r="AM76" s="54" t="str">
        <f>IF(AND(AM$30,$O76),$F$31,"")</f>
        <v/>
      </c>
      <c r="AN76" s="31" t="str">
        <f>IF(AND(AN$30,$O76),$C$31,"")</f>
        <v/>
      </c>
      <c r="AO76" s="32" t="str">
        <f>IF(AND(AO$30,$O76),$D$31,"")</f>
        <v/>
      </c>
      <c r="AP76" s="32" t="str">
        <f>IF(AND(AP$30,$O76),$E$31,"")</f>
        <v/>
      </c>
      <c r="AQ76" s="54" t="str">
        <f>IF(AND(AQ$30,$O76),$F$31,"")</f>
        <v/>
      </c>
      <c r="AR76" s="31" t="str">
        <f>IF(AND(AR$30,$O76),$C$31,"")</f>
        <v/>
      </c>
      <c r="AS76" s="32" t="str">
        <f>IF(AND(AS$30,$O76),$D$31,"")</f>
        <v/>
      </c>
      <c r="AT76" s="32" t="str">
        <f>IF(AND(AT$30,$O76),$E$31,"")</f>
        <v/>
      </c>
      <c r="AU76" s="54" t="str">
        <f>IF(AND(AU$30,$O76),$F$31,"")</f>
        <v/>
      </c>
      <c r="AV76" s="31" t="str">
        <f>IF(AND(AV$30,$O76),$C$31,"")</f>
        <v/>
      </c>
      <c r="AW76" s="32" t="str">
        <f>IF(AND(AW$30,$O76),$D$31,"")</f>
        <v/>
      </c>
      <c r="AX76" s="32" t="str">
        <f>IF(AND(AX$30,$O76),$E$31,"")</f>
        <v/>
      </c>
      <c r="AY76" s="54" t="str">
        <f>IF(AND(AY$30,$O76),$F$31,"")</f>
        <v/>
      </c>
      <c r="AZ76" s="31" t="str">
        <f>IF(AND(AZ$30,$O76),$C$31,"")</f>
        <v/>
      </c>
      <c r="BA76" s="32" t="str">
        <f>IF(AND(BA$30,$O76),$D$31,"")</f>
        <v/>
      </c>
      <c r="BB76" s="32" t="str">
        <f>IF(AND(BB$30,$O76),$E$31,"")</f>
        <v/>
      </c>
      <c r="BC76" s="54" t="str">
        <f>IF(AND(BC$30,$O76),$F$31,"")</f>
        <v/>
      </c>
      <c r="BD76" s="31" t="str">
        <f>IF(AND(BD$30,$O76),$C$31,"")</f>
        <v/>
      </c>
      <c r="BE76" s="32" t="str">
        <f>IF(AND(BE$30,$O76),$D$31,"")</f>
        <v/>
      </c>
      <c r="BF76" s="32" t="str">
        <f>IF(AND(BF$30,$O76),$E$31,"")</f>
        <v/>
      </c>
      <c r="BG76" s="54" t="str">
        <f>IF(AND(BG$30,$O76),$F$31,"")</f>
        <v/>
      </c>
      <c r="BH76" s="31" t="str">
        <f>IF(AND(BH$30,$O76),$C$31,"")</f>
        <v/>
      </c>
      <c r="BI76" s="32" t="str">
        <f>IF(AND(BI$30,$O76),$D$31,"")</f>
        <v/>
      </c>
      <c r="BJ76" s="32" t="str">
        <f>IF(AND(BJ$30,$O76),$E$31,"")</f>
        <v/>
      </c>
      <c r="BK76" s="54" t="str">
        <f>IF(AND(BK$30,$O76),$F$31,"")</f>
        <v/>
      </c>
      <c r="BL76" s="31" t="str">
        <f>IF(AND(BL$30,$O76),$C$31,"")</f>
        <v/>
      </c>
      <c r="BM76" s="32" t="str">
        <f>IF(AND(BM$30,$O76),$D$31,"")</f>
        <v/>
      </c>
      <c r="BN76" s="32" t="str">
        <f>IF(AND(BN$30,$O76),$E$31,"")</f>
        <v/>
      </c>
      <c r="BO76" s="54" t="str">
        <f>IF(AND(BO$30,$O76),$F$31,"")</f>
        <v/>
      </c>
      <c r="BP76" s="31" t="str">
        <f>IF(AND(BP$30,$O76),$C$31,"")</f>
        <v/>
      </c>
      <c r="BQ76" s="32" t="str">
        <f>IF(AND(BQ$30,$O76),$D$31,"")</f>
        <v/>
      </c>
      <c r="BR76" s="32" t="str">
        <f>IF(AND(BR$30,$O76),$E$31,"")</f>
        <v/>
      </c>
      <c r="BS76" s="54" t="str">
        <f>IF(AND(BS$30,$O76),$F$31,"")</f>
        <v/>
      </c>
      <c r="BT76" s="31" t="str">
        <f>IF(AND(BT$30,$O76),$C$31,"")</f>
        <v/>
      </c>
      <c r="BU76" s="32" t="str">
        <f>IF(AND(BU$30,$O76),$D$31,"")</f>
        <v/>
      </c>
      <c r="BV76" s="32" t="str">
        <f>IF(AND(BV$30,$O76),$E$31,"")</f>
        <v/>
      </c>
      <c r="BW76" s="54" t="str">
        <f>IF(AND(BW$30,$O76),$F$31,"")</f>
        <v/>
      </c>
      <c r="BX76" s="31" t="str">
        <f>IF(AND(BX$30,$O76),$C$31,"")</f>
        <v/>
      </c>
      <c r="BY76" s="32" t="str">
        <f>IF(AND(BY$30,$O76),$D$31,"")</f>
        <v/>
      </c>
      <c r="BZ76" s="32" t="str">
        <f>IF(AND(BZ$30,$O76),$E$31,"")</f>
        <v/>
      </c>
      <c r="CA76" s="54" t="str">
        <f>IF(AND(CA$30,$O76),$F$31,"")</f>
        <v/>
      </c>
      <c r="CB76" s="31" t="str">
        <f>IF(AND(CB$30,$O76),$C$31,"")</f>
        <v/>
      </c>
      <c r="CC76" s="32" t="str">
        <f>IF(AND(CC$30,$O76),$D$31,"")</f>
        <v/>
      </c>
      <c r="CD76" s="32" t="str">
        <f>IF(AND(CD$30,$O76),$E$31,"")</f>
        <v/>
      </c>
      <c r="CE76" s="54" t="str">
        <f>IF(AND(CE$30,$O76),$F$31,"")</f>
        <v/>
      </c>
    </row>
    <row r="77" spans="12:83">
      <c r="L77" s="87"/>
      <c r="M77" s="36" t="str">
        <f t="shared" si="21"/>
        <v>C</v>
      </c>
      <c r="O77" s="82">
        <f>BinAnd(N75,Ce)</f>
        <v>2</v>
      </c>
      <c r="P77" s="31" t="str">
        <f>IF(AND(P$30,$O77),$C$32,"")</f>
        <v/>
      </c>
      <c r="Q77" s="32" t="str">
        <f>IF(AND(Q$30,$O77),$D$32,"")</f>
        <v/>
      </c>
      <c r="R77" s="32" t="str">
        <f>IF(AND(R$30,$O77),$E$32,"")</f>
        <v/>
      </c>
      <c r="S77" s="54" t="str">
        <f>IF(AND(S$30,$O77),$F$32,"")</f>
        <v/>
      </c>
      <c r="T77" s="31" t="str">
        <f>IF(AND(T$30,$O77),$C$32,"")</f>
        <v/>
      </c>
      <c r="U77" s="32" t="str">
        <f>IF(AND(U$30,$O77),$D$32,"")</f>
        <v/>
      </c>
      <c r="V77" s="32" t="str">
        <f>IF(AND(V$30,$O77),$E$32,"")</f>
        <v/>
      </c>
      <c r="W77" s="54">
        <f>IF(AND(W$30,$O77),$F$32,"")</f>
        <v>10.1</v>
      </c>
      <c r="X77" s="31" t="str">
        <f>IF(AND(X$30,$O77),$C$32,"")</f>
        <v/>
      </c>
      <c r="Y77" s="32" t="str">
        <f>IF(AND(Y$30,$O77),$D$32,"")</f>
        <v/>
      </c>
      <c r="Z77" s="32">
        <f>IF(AND(Z$30,$O77),$E$32,"")</f>
        <v>6.7</v>
      </c>
      <c r="AA77" s="54" t="str">
        <f>IF(AND(AA$30,$O77),$F$32,"")</f>
        <v/>
      </c>
      <c r="AB77" s="31" t="str">
        <f>IF(AND(AB$30,$O77),$C$32,"")</f>
        <v/>
      </c>
      <c r="AC77" s="32" t="str">
        <f>IF(AND(AC$30,$O77),$D$32,"")</f>
        <v/>
      </c>
      <c r="AD77" s="32">
        <f>IF(AND(AD$30,$O77),$E$32,"")</f>
        <v>6.7</v>
      </c>
      <c r="AE77" s="54">
        <f>IF(AND(AE$30,$O77),$F$32,"")</f>
        <v>10.1</v>
      </c>
      <c r="AF77" s="31" t="str">
        <f>IF(AND(AF$30,$O77),$C$32,"")</f>
        <v/>
      </c>
      <c r="AG77" s="32">
        <f>IF(AND(AG$30,$O77),$D$32,"")</f>
        <v>6.1</v>
      </c>
      <c r="AH77" s="32" t="str">
        <f>IF(AND(AH$30,$O77),$E$32,"")</f>
        <v/>
      </c>
      <c r="AI77" s="54" t="str">
        <f>IF(AND(AI$30,$O77),$F$32,"")</f>
        <v/>
      </c>
      <c r="AJ77" s="31" t="str">
        <f>IF(AND(AJ$30,$O77),$C$32,"")</f>
        <v/>
      </c>
      <c r="AK77" s="32">
        <f>IF(AND(AK$30,$O77),$D$32,"")</f>
        <v>6.1</v>
      </c>
      <c r="AL77" s="32" t="str">
        <f>IF(AND(AL$30,$O77),$E$32,"")</f>
        <v/>
      </c>
      <c r="AM77" s="54">
        <f>IF(AND(AM$30,$O77),$F$32,"")</f>
        <v>10.1</v>
      </c>
      <c r="AN77" s="31" t="str">
        <f>IF(AND(AN$30,$O77),$C$32,"")</f>
        <v/>
      </c>
      <c r="AO77" s="32">
        <f>IF(AND(AO$30,$O77),$D$32,"")</f>
        <v>6.1</v>
      </c>
      <c r="AP77" s="32">
        <f>IF(AND(AP$30,$O77),$E$32,"")</f>
        <v>6.7</v>
      </c>
      <c r="AQ77" s="54" t="str">
        <f>IF(AND(AQ$30,$O77),$F$32,"")</f>
        <v/>
      </c>
      <c r="AR77" s="31" t="str">
        <f>IF(AND(AR$30,$O77),$C$32,"")</f>
        <v/>
      </c>
      <c r="AS77" s="32">
        <f>IF(AND(AS$30,$O77),$D$32,"")</f>
        <v>6.1</v>
      </c>
      <c r="AT77" s="32">
        <f>IF(AND(AT$30,$O77),$E$32,"")</f>
        <v>6.7</v>
      </c>
      <c r="AU77" s="54">
        <f>IF(AND(AU$30,$O77),$F$32,"")</f>
        <v>10.1</v>
      </c>
      <c r="AV77" s="31">
        <f>IF(AND(AV$30,$O77),$C$32,"")</f>
        <v>7.4</v>
      </c>
      <c r="AW77" s="32" t="str">
        <f>IF(AND(AW$30,$O77),$D$32,"")</f>
        <v/>
      </c>
      <c r="AX77" s="32" t="str">
        <f>IF(AND(AX$30,$O77),$E$32,"")</f>
        <v/>
      </c>
      <c r="AY77" s="54" t="str">
        <f>IF(AND(AY$30,$O77),$F$32,"")</f>
        <v/>
      </c>
      <c r="AZ77" s="31">
        <f>IF(AND(AZ$30,$O77),$C$32,"")</f>
        <v>7.4</v>
      </c>
      <c r="BA77" s="32" t="str">
        <f>IF(AND(BA$30,$O77),$D$32,"")</f>
        <v/>
      </c>
      <c r="BB77" s="32" t="str">
        <f>IF(AND(BB$30,$O77),$E$32,"")</f>
        <v/>
      </c>
      <c r="BC77" s="54">
        <f>IF(AND(BC$30,$O77),$F$32,"")</f>
        <v>10.1</v>
      </c>
      <c r="BD77" s="31">
        <f>IF(AND(BD$30,$O77),$C$32,"")</f>
        <v>7.4</v>
      </c>
      <c r="BE77" s="32" t="str">
        <f>IF(AND(BE$30,$O77),$D$32,"")</f>
        <v/>
      </c>
      <c r="BF77" s="32">
        <f>IF(AND(BF$30,$O77),$E$32,"")</f>
        <v>6.7</v>
      </c>
      <c r="BG77" s="54" t="str">
        <f>IF(AND(BG$30,$O77),$F$32,"")</f>
        <v/>
      </c>
      <c r="BH77" s="31">
        <f>IF(AND(BH$30,$O77),$C$32,"")</f>
        <v>7.4</v>
      </c>
      <c r="BI77" s="32" t="str">
        <f>IF(AND(BI$30,$O77),$D$32,"")</f>
        <v/>
      </c>
      <c r="BJ77" s="32">
        <f>IF(AND(BJ$30,$O77),$E$32,"")</f>
        <v>6.7</v>
      </c>
      <c r="BK77" s="54">
        <f>IF(AND(BK$30,$O77),$F$32,"")</f>
        <v>10.1</v>
      </c>
      <c r="BL77" s="31">
        <f>IF(AND(BL$30,$O77),$C$32,"")</f>
        <v>7.4</v>
      </c>
      <c r="BM77" s="32">
        <f>IF(AND(BM$30,$O77),$D$32,"")</f>
        <v>6.1</v>
      </c>
      <c r="BN77" s="32" t="str">
        <f>IF(AND(BN$30,$O77),$E$32,"")</f>
        <v/>
      </c>
      <c r="BO77" s="54" t="str">
        <f>IF(AND(BO$30,$O77),$F$32,"")</f>
        <v/>
      </c>
      <c r="BP77" s="31">
        <f>IF(AND(BP$30,$O77),$C$32,"")</f>
        <v>7.4</v>
      </c>
      <c r="BQ77" s="32">
        <f>IF(AND(BQ$30,$O77),$D$32,"")</f>
        <v>6.1</v>
      </c>
      <c r="BR77" s="32" t="str">
        <f>IF(AND(BR$30,$O77),$E$32,"")</f>
        <v/>
      </c>
      <c r="BS77" s="54">
        <f>IF(AND(BS$30,$O77),$F$32,"")</f>
        <v>10.1</v>
      </c>
      <c r="BT77" s="31">
        <f>IF(AND(BT$30,$O77),$C$32,"")</f>
        <v>7.4</v>
      </c>
      <c r="BU77" s="32">
        <f>IF(AND(BU$30,$O77),$D$32,"")</f>
        <v>6.1</v>
      </c>
      <c r="BV77" s="32">
        <f>IF(AND(BV$30,$O77),$E$32,"")</f>
        <v>6.7</v>
      </c>
      <c r="BW77" s="54" t="str">
        <f>IF(AND(BW$30,$O77),$F$32,"")</f>
        <v/>
      </c>
      <c r="BX77" s="31">
        <f>IF(AND(BX$30,$O77),$C$32,"")</f>
        <v>7.4</v>
      </c>
      <c r="BY77" s="32">
        <f>IF(AND(BY$30,$O77),$D$32,"")</f>
        <v>6.1</v>
      </c>
      <c r="BZ77" s="32">
        <f>IF(AND(BZ$30,$O77),$E$32,"")</f>
        <v>6.7</v>
      </c>
      <c r="CA77" s="54">
        <f>IF(AND(CA$30,$O77),$F$32,"")</f>
        <v>10.1</v>
      </c>
      <c r="CB77" s="31" t="str">
        <f>IF(AND(CB$30,$O77),$C$32,"")</f>
        <v/>
      </c>
      <c r="CC77" s="32" t="str">
        <f>IF(AND(CC$30,$O77),$D$32,"")</f>
        <v/>
      </c>
      <c r="CD77" s="32" t="str">
        <f>IF(AND(CD$30,$O77),$E$32,"")</f>
        <v/>
      </c>
      <c r="CE77" s="54" t="str">
        <f>IF(AND(CE$30,$O77),$F$32,"")</f>
        <v/>
      </c>
    </row>
    <row r="78" spans="12:83" ht="15.75" thickBot="1">
      <c r="L78" s="86"/>
      <c r="M78" s="37" t="str">
        <f t="shared" si="21"/>
        <v>G</v>
      </c>
      <c r="O78" s="43">
        <f>BinAnd(N75,G)</f>
        <v>1</v>
      </c>
      <c r="P78" s="55" t="str">
        <f>IF(AND(P$30,$O78),$C$33,"")</f>
        <v/>
      </c>
      <c r="Q78" s="56" t="str">
        <f>IF(AND(Q$30,$O78),$D$33,"")</f>
        <v/>
      </c>
      <c r="R78" s="56" t="str">
        <f>IF(AND(R$30,$O78),$E$33,"")</f>
        <v/>
      </c>
      <c r="S78" s="57" t="str">
        <f>IF(AND(S$30,$O78),$F$33,"")</f>
        <v/>
      </c>
      <c r="T78" s="55" t="str">
        <f>IF(AND(T$30,$O78),$C$33,"")</f>
        <v/>
      </c>
      <c r="U78" s="56" t="str">
        <f>IF(AND(U$30,$O78),$D$33,"")</f>
        <v/>
      </c>
      <c r="V78" s="56" t="str">
        <f>IF(AND(V$30,$O78),$E$33,"")</f>
        <v/>
      </c>
      <c r="W78" s="57">
        <f>IF(AND(W$30,$O78),$F$33,"")</f>
        <v>6.7</v>
      </c>
      <c r="X78" s="55" t="str">
        <f>IF(AND(X$30,$O78),$C$33,"")</f>
        <v/>
      </c>
      <c r="Y78" s="56" t="str">
        <f>IF(AND(Y$30,$O78),$D$33,"")</f>
        <v/>
      </c>
      <c r="Z78" s="56">
        <f>IF(AND(Z$30,$O78),$E$33,"")</f>
        <v>11.1</v>
      </c>
      <c r="AA78" s="57" t="str">
        <f>IF(AND(AA$30,$O78),$F$33,"")</f>
        <v/>
      </c>
      <c r="AB78" s="55" t="str">
        <f>IF(AND(AB$30,$O78),$C$33,"")</f>
        <v/>
      </c>
      <c r="AC78" s="56" t="str">
        <f>IF(AND(AC$30,$O78),$D$33,"")</f>
        <v/>
      </c>
      <c r="AD78" s="56">
        <f>IF(AND(AD$30,$O78),$E$33,"")</f>
        <v>11.1</v>
      </c>
      <c r="AE78" s="57">
        <f>IF(AND(AE$30,$O78),$F$33,"")</f>
        <v>6.7</v>
      </c>
      <c r="AF78" s="55" t="str">
        <f>IF(AND(AF$30,$O78),$C$33,"")</f>
        <v/>
      </c>
      <c r="AG78" s="56">
        <f>IF(AND(AG$30,$O78),$D$33,"")</f>
        <v>8.6</v>
      </c>
      <c r="AH78" s="56" t="str">
        <f>IF(AND(AH$30,$O78),$E$33,"")</f>
        <v/>
      </c>
      <c r="AI78" s="57" t="str">
        <f>IF(AND(AI$30,$O78),$F$33,"")</f>
        <v/>
      </c>
      <c r="AJ78" s="55" t="str">
        <f>IF(AND(AJ$30,$O78),$C$33,"")</f>
        <v/>
      </c>
      <c r="AK78" s="56">
        <f>IF(AND(AK$30,$O78),$D$33,"")</f>
        <v>8.6</v>
      </c>
      <c r="AL78" s="56" t="str">
        <f>IF(AND(AL$30,$O78),$E$33,"")</f>
        <v/>
      </c>
      <c r="AM78" s="57">
        <f>IF(AND(AM$30,$O78),$F$33,"")</f>
        <v>6.7</v>
      </c>
      <c r="AN78" s="55" t="str">
        <f>IF(AND(AN$30,$O78),$C$33,"")</f>
        <v/>
      </c>
      <c r="AO78" s="56">
        <f>IF(AND(AO$30,$O78),$D$33,"")</f>
        <v>8.6</v>
      </c>
      <c r="AP78" s="56">
        <f>IF(AND(AP$30,$O78),$E$33,"")</f>
        <v>11.1</v>
      </c>
      <c r="AQ78" s="57" t="str">
        <f>IF(AND(AQ$30,$O78),$F$33,"")</f>
        <v/>
      </c>
      <c r="AR78" s="55" t="str">
        <f>IF(AND(AR$30,$O78),$C$33,"")</f>
        <v/>
      </c>
      <c r="AS78" s="56">
        <f>IF(AND(AS$30,$O78),$D$33,"")</f>
        <v>8.6</v>
      </c>
      <c r="AT78" s="56">
        <f>IF(AND(AT$30,$O78),$E$33,"")</f>
        <v>11.1</v>
      </c>
      <c r="AU78" s="57">
        <f>IF(AND(AU$30,$O78),$F$33,"")</f>
        <v>6.7</v>
      </c>
      <c r="AV78" s="55">
        <f>IF(AND(AV$30,$O78),$C$33,"")</f>
        <v>7.7</v>
      </c>
      <c r="AW78" s="56" t="str">
        <f>IF(AND(AW$30,$O78),$D$33,"")</f>
        <v/>
      </c>
      <c r="AX78" s="56" t="str">
        <f>IF(AND(AX$30,$O78),$E$33,"")</f>
        <v/>
      </c>
      <c r="AY78" s="57" t="str">
        <f>IF(AND(AY$30,$O78),$F$33,"")</f>
        <v/>
      </c>
      <c r="AZ78" s="55">
        <f>IF(AND(AZ$30,$O78),$C$33,"")</f>
        <v>7.7</v>
      </c>
      <c r="BA78" s="56" t="str">
        <f>IF(AND(BA$30,$O78),$D$33,"")</f>
        <v/>
      </c>
      <c r="BB78" s="56" t="str">
        <f>IF(AND(BB$30,$O78),$E$33,"")</f>
        <v/>
      </c>
      <c r="BC78" s="57">
        <f>IF(AND(BC$30,$O78),$F$33,"")</f>
        <v>6.7</v>
      </c>
      <c r="BD78" s="55">
        <f>IF(AND(BD$30,$O78),$C$33,"")</f>
        <v>7.7</v>
      </c>
      <c r="BE78" s="56" t="str">
        <f>IF(AND(BE$30,$O78),$D$33,"")</f>
        <v/>
      </c>
      <c r="BF78" s="56">
        <f>IF(AND(BF$30,$O78),$E$33,"")</f>
        <v>11.1</v>
      </c>
      <c r="BG78" s="57" t="str">
        <f>IF(AND(BG$30,$O78),$F$33,"")</f>
        <v/>
      </c>
      <c r="BH78" s="55">
        <f>IF(AND(BH$30,$O78),$C$33,"")</f>
        <v>7.7</v>
      </c>
      <c r="BI78" s="56" t="str">
        <f>IF(AND(BI$30,$O78),$D$33,"")</f>
        <v/>
      </c>
      <c r="BJ78" s="56">
        <f>IF(AND(BJ$30,$O78),$E$33,"")</f>
        <v>11.1</v>
      </c>
      <c r="BK78" s="57">
        <f>IF(AND(BK$30,$O78),$F$33,"")</f>
        <v>6.7</v>
      </c>
      <c r="BL78" s="55">
        <f>IF(AND(BL$30,$O78),$C$33,"")</f>
        <v>7.7</v>
      </c>
      <c r="BM78" s="56">
        <f>IF(AND(BM$30,$O78),$D$33,"")</f>
        <v>8.6</v>
      </c>
      <c r="BN78" s="56" t="str">
        <f>IF(AND(BN$30,$O78),$E$33,"")</f>
        <v/>
      </c>
      <c r="BO78" s="57" t="str">
        <f>IF(AND(BO$30,$O78),$F$33,"")</f>
        <v/>
      </c>
      <c r="BP78" s="55">
        <f>IF(AND(BP$30,$O78),$C$33,"")</f>
        <v>7.7</v>
      </c>
      <c r="BQ78" s="56">
        <f>IF(AND(BQ$30,$O78),$D$33,"")</f>
        <v>8.6</v>
      </c>
      <c r="BR78" s="56" t="str">
        <f>IF(AND(BR$30,$O78),$E$33,"")</f>
        <v/>
      </c>
      <c r="BS78" s="57">
        <f>IF(AND(BS$30,$O78),$F$33,"")</f>
        <v>6.7</v>
      </c>
      <c r="BT78" s="55">
        <f>IF(AND(BT$30,$O78),$C$33,"")</f>
        <v>7.7</v>
      </c>
      <c r="BU78" s="56">
        <f>IF(AND(BU$30,$O78),$D$33,"")</f>
        <v>8.6</v>
      </c>
      <c r="BV78" s="56">
        <f>IF(AND(BV$30,$O78),$E$33,"")</f>
        <v>11.1</v>
      </c>
      <c r="BW78" s="57" t="str">
        <f>IF(AND(BW$30,$O78),$F$33,"")</f>
        <v/>
      </c>
      <c r="BX78" s="55">
        <f>IF(AND(BX$30,$O78),$C$33,"")</f>
        <v>7.7</v>
      </c>
      <c r="BY78" s="56">
        <f>IF(AND(BY$30,$O78),$D$33,"")</f>
        <v>8.6</v>
      </c>
      <c r="BZ78" s="56">
        <f>IF(AND(BZ$30,$O78),$E$33,"")</f>
        <v>11.1</v>
      </c>
      <c r="CA78" s="57">
        <f>IF(AND(CA$30,$O78),$F$33,"")</f>
        <v>6.7</v>
      </c>
      <c r="CB78" s="55" t="str">
        <f>IF(AND(CB$30,$O78),$C$33,"")</f>
        <v/>
      </c>
      <c r="CC78" s="56" t="str">
        <f>IF(AND(CC$30,$O78),$D$33,"")</f>
        <v/>
      </c>
      <c r="CD78" s="56" t="str">
        <f>IF(AND(CD$30,$O78),$E$33,"")</f>
        <v/>
      </c>
      <c r="CE78" s="57" t="str">
        <f>IF(AND(CE$30,$O78),$F$33,"")</f>
        <v/>
      </c>
    </row>
    <row r="79" spans="12:83">
      <c r="L79" s="83" t="str">
        <f>MID(CodDegElegir,N79+1,1)</f>
        <v>W</v>
      </c>
      <c r="M79" s="85" t="str">
        <f t="shared" si="21"/>
        <v>A</v>
      </c>
      <c r="N79">
        <v>12</v>
      </c>
      <c r="O79" s="81">
        <f>BinAnd(N79,A)</f>
        <v>8</v>
      </c>
      <c r="P79" s="29" t="str">
        <f>IF(AND(P$30,$O79),$C$30,"")</f>
        <v/>
      </c>
      <c r="Q79" s="30" t="str">
        <f>IF(AND(Q$30,$O79),$D$30,"")</f>
        <v/>
      </c>
      <c r="R79" s="30" t="str">
        <f>IF(AND(R$30,$O79),$E$30,"")</f>
        <v/>
      </c>
      <c r="S79" s="53" t="str">
        <f>IF(AND(S$30,$O79),$F$30,"")</f>
        <v/>
      </c>
      <c r="T79" s="29" t="str">
        <f>IF(AND(T$30,$O79),$C$30,"")</f>
        <v/>
      </c>
      <c r="U79" s="30" t="str">
        <f>IF(AND(U$30,$O79),$D$30,"")</f>
        <v/>
      </c>
      <c r="V79" s="30" t="str">
        <f>IF(AND(V$30,$O79),$E$30,"")</f>
        <v/>
      </c>
      <c r="W79" s="53">
        <f>IF(AND(W$30,$O79),$F$30,"")</f>
        <v>6.1</v>
      </c>
      <c r="X79" s="29" t="str">
        <f>IF(AND(X$30,$O79),$C$30,"")</f>
        <v/>
      </c>
      <c r="Y79" s="30" t="str">
        <f>IF(AND(Y$30,$O79),$D$30,"")</f>
        <v/>
      </c>
      <c r="Z79" s="30">
        <f>IF(AND(Z$30,$O79),$E$30,"")</f>
        <v>8.6</v>
      </c>
      <c r="AA79" s="53" t="str">
        <f>IF(AND(AA$30,$O79),$F$30,"")</f>
        <v/>
      </c>
      <c r="AB79" s="29" t="str">
        <f>IF(AND(AB$30,$O79),$C$30,"")</f>
        <v/>
      </c>
      <c r="AC79" s="30" t="str">
        <f>IF(AND(AC$30,$O79),$D$30,"")</f>
        <v/>
      </c>
      <c r="AD79" s="30">
        <f>IF(AND(AD$30,$O79),$E$30,"")</f>
        <v>8.6</v>
      </c>
      <c r="AE79" s="53">
        <f>IF(AND(AE$30,$O79),$F$30,"")</f>
        <v>6.1</v>
      </c>
      <c r="AF79" s="29" t="str">
        <f>IF(AND(AF$30,$O79),$C$30,"")</f>
        <v/>
      </c>
      <c r="AG79" s="30">
        <f>IF(AND(AG$30,$O79),$D$30,"")</f>
        <v>6.5</v>
      </c>
      <c r="AH79" s="30" t="str">
        <f>IF(AND(AH$30,$O79),$E$30,"")</f>
        <v/>
      </c>
      <c r="AI79" s="53" t="str">
        <f>IF(AND(AI$30,$O79),$F$30,"")</f>
        <v/>
      </c>
      <c r="AJ79" s="29" t="str">
        <f>IF(AND(AJ$30,$O79),$C$30,"")</f>
        <v/>
      </c>
      <c r="AK79" s="30">
        <f>IF(AND(AK$30,$O79),$D$30,"")</f>
        <v>6.5</v>
      </c>
      <c r="AL79" s="30" t="str">
        <f>IF(AND(AL$30,$O79),$E$30,"")</f>
        <v/>
      </c>
      <c r="AM79" s="53">
        <f>IF(AND(AM$30,$O79),$F$30,"")</f>
        <v>6.1</v>
      </c>
      <c r="AN79" s="29" t="str">
        <f>IF(AND(AN$30,$O79),$C$30,"")</f>
        <v/>
      </c>
      <c r="AO79" s="30">
        <f>IF(AND(AO$30,$O79),$D$30,"")</f>
        <v>6.5</v>
      </c>
      <c r="AP79" s="30">
        <f>IF(AND(AP$30,$O79),$E$30,"")</f>
        <v>8.6</v>
      </c>
      <c r="AQ79" s="53" t="str">
        <f>IF(AND(AQ$30,$O79),$F$30,"")</f>
        <v/>
      </c>
      <c r="AR79" s="29" t="str">
        <f>IF(AND(AR$30,$O79),$C$30,"")</f>
        <v/>
      </c>
      <c r="AS79" s="30">
        <f>IF(AND(AS$30,$O79),$D$30,"")</f>
        <v>6.5</v>
      </c>
      <c r="AT79" s="30">
        <f>IF(AND(AT$30,$O79),$E$30,"")</f>
        <v>8.6</v>
      </c>
      <c r="AU79" s="53">
        <f>IF(AND(AU$30,$O79),$F$30,"")</f>
        <v>6.1</v>
      </c>
      <c r="AV79" s="29">
        <f>IF(AND(AV$30,$O79),$C$30,"")</f>
        <v>8.4</v>
      </c>
      <c r="AW79" s="30" t="str">
        <f>IF(AND(AW$30,$O79),$D$30,"")</f>
        <v/>
      </c>
      <c r="AX79" s="30" t="str">
        <f>IF(AND(AX$30,$O79),$E$30,"")</f>
        <v/>
      </c>
      <c r="AY79" s="53" t="str">
        <f>IF(AND(AY$30,$O79),$F$30,"")</f>
        <v/>
      </c>
      <c r="AZ79" s="29">
        <f>IF(AND(AZ$30,$O79),$C$30,"")</f>
        <v>8.4</v>
      </c>
      <c r="BA79" s="30" t="str">
        <f>IF(AND(BA$30,$O79),$D$30,"")</f>
        <v/>
      </c>
      <c r="BB79" s="30" t="str">
        <f>IF(AND(BB$30,$O79),$E$30,"")</f>
        <v/>
      </c>
      <c r="BC79" s="53">
        <f>IF(AND(BC$30,$O79),$F$30,"")</f>
        <v>6.1</v>
      </c>
      <c r="BD79" s="29">
        <f>IF(AND(BD$30,$O79),$C$30,"")</f>
        <v>8.4</v>
      </c>
      <c r="BE79" s="30" t="str">
        <f>IF(AND(BE$30,$O79),$D$30,"")</f>
        <v/>
      </c>
      <c r="BF79" s="30">
        <f>IF(AND(BF$30,$O79),$E$30,"")</f>
        <v>8.6</v>
      </c>
      <c r="BG79" s="53" t="str">
        <f>IF(AND(BG$30,$O79),$F$30,"")</f>
        <v/>
      </c>
      <c r="BH79" s="29">
        <f>IF(AND(BH$30,$O79),$C$30,"")</f>
        <v>8.4</v>
      </c>
      <c r="BI79" s="30" t="str">
        <f>IF(AND(BI$30,$O79),$D$30,"")</f>
        <v/>
      </c>
      <c r="BJ79" s="30">
        <f>IF(AND(BJ$30,$O79),$E$30,"")</f>
        <v>8.6</v>
      </c>
      <c r="BK79" s="53">
        <f>IF(AND(BK$30,$O79),$F$30,"")</f>
        <v>6.1</v>
      </c>
      <c r="BL79" s="29">
        <f>IF(AND(BL$30,$O79),$C$30,"")</f>
        <v>8.4</v>
      </c>
      <c r="BM79" s="30">
        <f>IF(AND(BM$30,$O79),$D$30,"")</f>
        <v>6.5</v>
      </c>
      <c r="BN79" s="30" t="str">
        <f>IF(AND(BN$30,$O79),$E$30,"")</f>
        <v/>
      </c>
      <c r="BO79" s="53" t="str">
        <f>IF(AND(BO$30,$O79),$F$30,"")</f>
        <v/>
      </c>
      <c r="BP79" s="29">
        <f>IF(AND(BP$30,$O79),$C$30,"")</f>
        <v>8.4</v>
      </c>
      <c r="BQ79" s="30">
        <f>IF(AND(BQ$30,$O79),$D$30,"")</f>
        <v>6.5</v>
      </c>
      <c r="BR79" s="30" t="str">
        <f>IF(AND(BR$30,$O79),$E$30,"")</f>
        <v/>
      </c>
      <c r="BS79" s="53">
        <f>IF(AND(BS$30,$O79),$F$30,"")</f>
        <v>6.1</v>
      </c>
      <c r="BT79" s="29">
        <f>IF(AND(BT$30,$O79),$C$30,"")</f>
        <v>8.4</v>
      </c>
      <c r="BU79" s="30">
        <f>IF(AND(BU$30,$O79),$D$30,"")</f>
        <v>6.5</v>
      </c>
      <c r="BV79" s="30">
        <f>IF(AND(BV$30,$O79),$E$30,"")</f>
        <v>8.6</v>
      </c>
      <c r="BW79" s="53" t="str">
        <f>IF(AND(BW$30,$O79),$F$30,"")</f>
        <v/>
      </c>
      <c r="BX79" s="29">
        <f>IF(AND(BX$30,$O79),$C$30,"")</f>
        <v>8.4</v>
      </c>
      <c r="BY79" s="30">
        <f>IF(AND(BY$30,$O79),$D$30,"")</f>
        <v>6.5</v>
      </c>
      <c r="BZ79" s="30">
        <f>IF(AND(BZ$30,$O79),$E$30,"")</f>
        <v>8.6</v>
      </c>
      <c r="CA79" s="53">
        <f>IF(AND(CA$30,$O79),$F$30,"")</f>
        <v>6.1</v>
      </c>
      <c r="CB79" s="29" t="str">
        <f>IF(AND(CB$30,$O79),$C$30,"")</f>
        <v/>
      </c>
      <c r="CC79" s="30" t="str">
        <f>IF(AND(CC$30,$O79),$D$30,"")</f>
        <v/>
      </c>
      <c r="CD79" s="30" t="str">
        <f>IF(AND(CD$30,$O79),$E$30,"")</f>
        <v/>
      </c>
      <c r="CE79" s="53" t="str">
        <f>IF(AND(CE$30,$O79),$F$30,"")</f>
        <v/>
      </c>
    </row>
    <row r="80" spans="12:83">
      <c r="L80" s="87"/>
      <c r="M80" s="36" t="str">
        <f t="shared" si="21"/>
        <v>T</v>
      </c>
      <c r="O80" s="82">
        <f>BinAnd(N79,T)</f>
        <v>4</v>
      </c>
      <c r="P80" s="31" t="str">
        <f>IF(AND(P$30,$O80),$C$31,"")</f>
        <v/>
      </c>
      <c r="Q80" s="32" t="str">
        <f>IF(AND(Q$30,$O80),$D$31,"")</f>
        <v/>
      </c>
      <c r="R80" s="32" t="str">
        <f>IF(AND(R$30,$O80),$E$31,"")</f>
        <v/>
      </c>
      <c r="S80" s="54" t="str">
        <f>IF(AND(S$30,$O80),$F$31,"")</f>
        <v/>
      </c>
      <c r="T80" s="31" t="str">
        <f>IF(AND(T$30,$O80),$C$31,"")</f>
        <v/>
      </c>
      <c r="U80" s="32" t="str">
        <f>IF(AND(U$30,$O80),$D$31,"")</f>
        <v/>
      </c>
      <c r="V80" s="32" t="str">
        <f>IF(AND(V$30,$O80),$E$31,"")</f>
        <v/>
      </c>
      <c r="W80" s="54">
        <f>IF(AND(W$30,$O80),$F$31,"")</f>
        <v>7.4</v>
      </c>
      <c r="X80" s="31" t="str">
        <f>IF(AND(X$30,$O80),$C$31,"")</f>
        <v/>
      </c>
      <c r="Y80" s="32" t="str">
        <f>IF(AND(Y$30,$O80),$D$31,"")</f>
        <v/>
      </c>
      <c r="Z80" s="32">
        <f>IF(AND(Z$30,$O80),$E$31,"")</f>
        <v>7.7</v>
      </c>
      <c r="AA80" s="54" t="str">
        <f>IF(AND(AA$30,$O80),$F$31,"")</f>
        <v/>
      </c>
      <c r="AB80" s="31" t="str">
        <f>IF(AND(AB$30,$O80),$C$31,"")</f>
        <v/>
      </c>
      <c r="AC80" s="32" t="str">
        <f>IF(AND(AC$30,$O80),$D$31,"")</f>
        <v/>
      </c>
      <c r="AD80" s="32">
        <f>IF(AND(AD$30,$O80),$E$31,"")</f>
        <v>7.7</v>
      </c>
      <c r="AE80" s="54">
        <f>IF(AND(AE$30,$O80),$F$31,"")</f>
        <v>7.4</v>
      </c>
      <c r="AF80" s="31" t="str">
        <f>IF(AND(AF$30,$O80),$C$31,"")</f>
        <v/>
      </c>
      <c r="AG80" s="32">
        <f>IF(AND(AG$30,$O80),$D$31,"")</f>
        <v>8.4</v>
      </c>
      <c r="AH80" s="32" t="str">
        <f>IF(AND(AH$30,$O80),$E$31,"")</f>
        <v/>
      </c>
      <c r="AI80" s="54" t="str">
        <f>IF(AND(AI$30,$O80),$F$31,"")</f>
        <v/>
      </c>
      <c r="AJ80" s="31" t="str">
        <f>IF(AND(AJ$30,$O80),$C$31,"")</f>
        <v/>
      </c>
      <c r="AK80" s="32">
        <f>IF(AND(AK$30,$O80),$D$31,"")</f>
        <v>8.4</v>
      </c>
      <c r="AL80" s="32" t="str">
        <f>IF(AND(AL$30,$O80),$E$31,"")</f>
        <v/>
      </c>
      <c r="AM80" s="54">
        <f>IF(AND(AM$30,$O80),$F$31,"")</f>
        <v>7.4</v>
      </c>
      <c r="AN80" s="31" t="str">
        <f>IF(AND(AN$30,$O80),$C$31,"")</f>
        <v/>
      </c>
      <c r="AO80" s="32">
        <f>IF(AND(AO$30,$O80),$D$31,"")</f>
        <v>8.4</v>
      </c>
      <c r="AP80" s="32">
        <f>IF(AND(AP$30,$O80),$E$31,"")</f>
        <v>7.7</v>
      </c>
      <c r="AQ80" s="54" t="str">
        <f>IF(AND(AQ$30,$O80),$F$31,"")</f>
        <v/>
      </c>
      <c r="AR80" s="31" t="str">
        <f>IF(AND(AR$30,$O80),$C$31,"")</f>
        <v/>
      </c>
      <c r="AS80" s="32">
        <f>IF(AND(AS$30,$O80),$D$31,"")</f>
        <v>8.4</v>
      </c>
      <c r="AT80" s="32">
        <f>IF(AND(AT$30,$O80),$E$31,"")</f>
        <v>7.7</v>
      </c>
      <c r="AU80" s="54">
        <f>IF(AND(AU$30,$O80),$F$31,"")</f>
        <v>7.4</v>
      </c>
      <c r="AV80" s="31">
        <f>IF(AND(AV$30,$O80),$C$31,"")</f>
        <v>6.3</v>
      </c>
      <c r="AW80" s="32" t="str">
        <f>IF(AND(AW$30,$O80),$D$31,"")</f>
        <v/>
      </c>
      <c r="AX80" s="32" t="str">
        <f>IF(AND(AX$30,$O80),$E$31,"")</f>
        <v/>
      </c>
      <c r="AY80" s="54" t="str">
        <f>IF(AND(AY$30,$O80),$F$31,"")</f>
        <v/>
      </c>
      <c r="AZ80" s="31">
        <f>IF(AND(AZ$30,$O80),$C$31,"")</f>
        <v>6.3</v>
      </c>
      <c r="BA80" s="32" t="str">
        <f>IF(AND(BA$30,$O80),$D$31,"")</f>
        <v/>
      </c>
      <c r="BB80" s="32" t="str">
        <f>IF(AND(BB$30,$O80),$E$31,"")</f>
        <v/>
      </c>
      <c r="BC80" s="54">
        <f>IF(AND(BC$30,$O80),$F$31,"")</f>
        <v>7.4</v>
      </c>
      <c r="BD80" s="31">
        <f>IF(AND(BD$30,$O80),$C$31,"")</f>
        <v>6.3</v>
      </c>
      <c r="BE80" s="32" t="str">
        <f>IF(AND(BE$30,$O80),$D$31,"")</f>
        <v/>
      </c>
      <c r="BF80" s="32">
        <f>IF(AND(BF$30,$O80),$E$31,"")</f>
        <v>7.7</v>
      </c>
      <c r="BG80" s="54" t="str">
        <f>IF(AND(BG$30,$O80),$F$31,"")</f>
        <v/>
      </c>
      <c r="BH80" s="31">
        <f>IF(AND(BH$30,$O80),$C$31,"")</f>
        <v>6.3</v>
      </c>
      <c r="BI80" s="32" t="str">
        <f>IF(AND(BI$30,$O80),$D$31,"")</f>
        <v/>
      </c>
      <c r="BJ80" s="32">
        <f>IF(AND(BJ$30,$O80),$E$31,"")</f>
        <v>7.7</v>
      </c>
      <c r="BK80" s="54">
        <f>IF(AND(BK$30,$O80),$F$31,"")</f>
        <v>7.4</v>
      </c>
      <c r="BL80" s="31">
        <f>IF(AND(BL$30,$O80),$C$31,"")</f>
        <v>6.3</v>
      </c>
      <c r="BM80" s="32">
        <f>IF(AND(BM$30,$O80),$D$31,"")</f>
        <v>8.4</v>
      </c>
      <c r="BN80" s="32" t="str">
        <f>IF(AND(BN$30,$O80),$E$31,"")</f>
        <v/>
      </c>
      <c r="BO80" s="54" t="str">
        <f>IF(AND(BO$30,$O80),$F$31,"")</f>
        <v/>
      </c>
      <c r="BP80" s="31">
        <f>IF(AND(BP$30,$O80),$C$31,"")</f>
        <v>6.3</v>
      </c>
      <c r="BQ80" s="32">
        <f>IF(AND(BQ$30,$O80),$D$31,"")</f>
        <v>8.4</v>
      </c>
      <c r="BR80" s="32" t="str">
        <f>IF(AND(BR$30,$O80),$E$31,"")</f>
        <v/>
      </c>
      <c r="BS80" s="54">
        <f>IF(AND(BS$30,$O80),$F$31,"")</f>
        <v>7.4</v>
      </c>
      <c r="BT80" s="31">
        <f>IF(AND(BT$30,$O80),$C$31,"")</f>
        <v>6.3</v>
      </c>
      <c r="BU80" s="32">
        <f>IF(AND(BU$30,$O80),$D$31,"")</f>
        <v>8.4</v>
      </c>
      <c r="BV80" s="32">
        <f>IF(AND(BV$30,$O80),$E$31,"")</f>
        <v>7.7</v>
      </c>
      <c r="BW80" s="54" t="str">
        <f>IF(AND(BW$30,$O80),$F$31,"")</f>
        <v/>
      </c>
      <c r="BX80" s="31">
        <f>IF(AND(BX$30,$O80),$C$31,"")</f>
        <v>6.3</v>
      </c>
      <c r="BY80" s="32">
        <f>IF(AND(BY$30,$O80),$D$31,"")</f>
        <v>8.4</v>
      </c>
      <c r="BZ80" s="32">
        <f>IF(AND(BZ$30,$O80),$E$31,"")</f>
        <v>7.7</v>
      </c>
      <c r="CA80" s="54">
        <f>IF(AND(CA$30,$O80),$F$31,"")</f>
        <v>7.4</v>
      </c>
      <c r="CB80" s="31" t="str">
        <f>IF(AND(CB$30,$O80),$C$31,"")</f>
        <v/>
      </c>
      <c r="CC80" s="32" t="str">
        <f>IF(AND(CC$30,$O80),$D$31,"")</f>
        <v/>
      </c>
      <c r="CD80" s="32" t="str">
        <f>IF(AND(CD$30,$O80),$E$31,"")</f>
        <v/>
      </c>
      <c r="CE80" s="54" t="str">
        <f>IF(AND(CE$30,$O80),$F$31,"")</f>
        <v/>
      </c>
    </row>
    <row r="81" spans="12:83">
      <c r="L81" s="87"/>
      <c r="M81" s="36" t="str">
        <f t="shared" si="21"/>
        <v>-</v>
      </c>
      <c r="O81" s="82">
        <f>BinAnd(N79,Ce)</f>
        <v>0</v>
      </c>
      <c r="P81" s="31" t="str">
        <f>IF(AND(P$30,$O81),$C$32,"")</f>
        <v/>
      </c>
      <c r="Q81" s="32" t="str">
        <f>IF(AND(Q$30,$O81),$D$32,"")</f>
        <v/>
      </c>
      <c r="R81" s="32" t="str">
        <f>IF(AND(R$30,$O81),$E$32,"")</f>
        <v/>
      </c>
      <c r="S81" s="54" t="str">
        <f>IF(AND(S$30,$O81),$F$32,"")</f>
        <v/>
      </c>
      <c r="T81" s="31" t="str">
        <f>IF(AND(T$30,$O81),$C$32,"")</f>
        <v/>
      </c>
      <c r="U81" s="32" t="str">
        <f>IF(AND(U$30,$O81),$D$32,"")</f>
        <v/>
      </c>
      <c r="V81" s="32" t="str">
        <f>IF(AND(V$30,$O81),$E$32,"")</f>
        <v/>
      </c>
      <c r="W81" s="54" t="str">
        <f>IF(AND(W$30,$O81),$F$32,"")</f>
        <v/>
      </c>
      <c r="X81" s="31" t="str">
        <f>IF(AND(X$30,$O81),$C$32,"")</f>
        <v/>
      </c>
      <c r="Y81" s="32" t="str">
        <f>IF(AND(Y$30,$O81),$D$32,"")</f>
        <v/>
      </c>
      <c r="Z81" s="32" t="str">
        <f>IF(AND(Z$30,$O81),$E$32,"")</f>
        <v/>
      </c>
      <c r="AA81" s="54" t="str">
        <f>IF(AND(AA$30,$O81),$F$32,"")</f>
        <v/>
      </c>
      <c r="AB81" s="31" t="str">
        <f>IF(AND(AB$30,$O81),$C$32,"")</f>
        <v/>
      </c>
      <c r="AC81" s="32" t="str">
        <f>IF(AND(AC$30,$O81),$D$32,"")</f>
        <v/>
      </c>
      <c r="AD81" s="32" t="str">
        <f>IF(AND(AD$30,$O81),$E$32,"")</f>
        <v/>
      </c>
      <c r="AE81" s="54" t="str">
        <f>IF(AND(AE$30,$O81),$F$32,"")</f>
        <v/>
      </c>
      <c r="AF81" s="31" t="str">
        <f>IF(AND(AF$30,$O81),$C$32,"")</f>
        <v/>
      </c>
      <c r="AG81" s="32" t="str">
        <f>IF(AND(AG$30,$O81),$D$32,"")</f>
        <v/>
      </c>
      <c r="AH81" s="32" t="str">
        <f>IF(AND(AH$30,$O81),$E$32,"")</f>
        <v/>
      </c>
      <c r="AI81" s="54" t="str">
        <f>IF(AND(AI$30,$O81),$F$32,"")</f>
        <v/>
      </c>
      <c r="AJ81" s="31" t="str">
        <f>IF(AND(AJ$30,$O81),$C$32,"")</f>
        <v/>
      </c>
      <c r="AK81" s="32" t="str">
        <f>IF(AND(AK$30,$O81),$D$32,"")</f>
        <v/>
      </c>
      <c r="AL81" s="32" t="str">
        <f>IF(AND(AL$30,$O81),$E$32,"")</f>
        <v/>
      </c>
      <c r="AM81" s="54" t="str">
        <f>IF(AND(AM$30,$O81),$F$32,"")</f>
        <v/>
      </c>
      <c r="AN81" s="31" t="str">
        <f>IF(AND(AN$30,$O81),$C$32,"")</f>
        <v/>
      </c>
      <c r="AO81" s="32" t="str">
        <f>IF(AND(AO$30,$O81),$D$32,"")</f>
        <v/>
      </c>
      <c r="AP81" s="32" t="str">
        <f>IF(AND(AP$30,$O81),$E$32,"")</f>
        <v/>
      </c>
      <c r="AQ81" s="54" t="str">
        <f>IF(AND(AQ$30,$O81),$F$32,"")</f>
        <v/>
      </c>
      <c r="AR81" s="31" t="str">
        <f>IF(AND(AR$30,$O81),$C$32,"")</f>
        <v/>
      </c>
      <c r="AS81" s="32" t="str">
        <f>IF(AND(AS$30,$O81),$D$32,"")</f>
        <v/>
      </c>
      <c r="AT81" s="32" t="str">
        <f>IF(AND(AT$30,$O81),$E$32,"")</f>
        <v/>
      </c>
      <c r="AU81" s="54" t="str">
        <f>IF(AND(AU$30,$O81),$F$32,"")</f>
        <v/>
      </c>
      <c r="AV81" s="31" t="str">
        <f>IF(AND(AV$30,$O81),$C$32,"")</f>
        <v/>
      </c>
      <c r="AW81" s="32" t="str">
        <f>IF(AND(AW$30,$O81),$D$32,"")</f>
        <v/>
      </c>
      <c r="AX81" s="32" t="str">
        <f>IF(AND(AX$30,$O81),$E$32,"")</f>
        <v/>
      </c>
      <c r="AY81" s="54" t="str">
        <f>IF(AND(AY$30,$O81),$F$32,"")</f>
        <v/>
      </c>
      <c r="AZ81" s="31" t="str">
        <f>IF(AND(AZ$30,$O81),$C$32,"")</f>
        <v/>
      </c>
      <c r="BA81" s="32" t="str">
        <f>IF(AND(BA$30,$O81),$D$32,"")</f>
        <v/>
      </c>
      <c r="BB81" s="32" t="str">
        <f>IF(AND(BB$30,$O81),$E$32,"")</f>
        <v/>
      </c>
      <c r="BC81" s="54" t="str">
        <f>IF(AND(BC$30,$O81),$F$32,"")</f>
        <v/>
      </c>
      <c r="BD81" s="31" t="str">
        <f>IF(AND(BD$30,$O81),$C$32,"")</f>
        <v/>
      </c>
      <c r="BE81" s="32" t="str">
        <f>IF(AND(BE$30,$O81),$D$32,"")</f>
        <v/>
      </c>
      <c r="BF81" s="32" t="str">
        <f>IF(AND(BF$30,$O81),$E$32,"")</f>
        <v/>
      </c>
      <c r="BG81" s="54" t="str">
        <f>IF(AND(BG$30,$O81),$F$32,"")</f>
        <v/>
      </c>
      <c r="BH81" s="31" t="str">
        <f>IF(AND(BH$30,$O81),$C$32,"")</f>
        <v/>
      </c>
      <c r="BI81" s="32" t="str">
        <f>IF(AND(BI$30,$O81),$D$32,"")</f>
        <v/>
      </c>
      <c r="BJ81" s="32" t="str">
        <f>IF(AND(BJ$30,$O81),$E$32,"")</f>
        <v/>
      </c>
      <c r="BK81" s="54" t="str">
        <f>IF(AND(BK$30,$O81),$F$32,"")</f>
        <v/>
      </c>
      <c r="BL81" s="31" t="str">
        <f>IF(AND(BL$30,$O81),$C$32,"")</f>
        <v/>
      </c>
      <c r="BM81" s="32" t="str">
        <f>IF(AND(BM$30,$O81),$D$32,"")</f>
        <v/>
      </c>
      <c r="BN81" s="32" t="str">
        <f>IF(AND(BN$30,$O81),$E$32,"")</f>
        <v/>
      </c>
      <c r="BO81" s="54" t="str">
        <f>IF(AND(BO$30,$O81),$F$32,"")</f>
        <v/>
      </c>
      <c r="BP81" s="31" t="str">
        <f>IF(AND(BP$30,$O81),$C$32,"")</f>
        <v/>
      </c>
      <c r="BQ81" s="32" t="str">
        <f>IF(AND(BQ$30,$O81),$D$32,"")</f>
        <v/>
      </c>
      <c r="BR81" s="32" t="str">
        <f>IF(AND(BR$30,$O81),$E$32,"")</f>
        <v/>
      </c>
      <c r="BS81" s="54" t="str">
        <f>IF(AND(BS$30,$O81),$F$32,"")</f>
        <v/>
      </c>
      <c r="BT81" s="31" t="str">
        <f>IF(AND(BT$30,$O81),$C$32,"")</f>
        <v/>
      </c>
      <c r="BU81" s="32" t="str">
        <f>IF(AND(BU$30,$O81),$D$32,"")</f>
        <v/>
      </c>
      <c r="BV81" s="32" t="str">
        <f>IF(AND(BV$30,$O81),$E$32,"")</f>
        <v/>
      </c>
      <c r="BW81" s="54" t="str">
        <f>IF(AND(BW$30,$O81),$F$32,"")</f>
        <v/>
      </c>
      <c r="BX81" s="31" t="str">
        <f>IF(AND(BX$30,$O81),$C$32,"")</f>
        <v/>
      </c>
      <c r="BY81" s="32" t="str">
        <f>IF(AND(BY$30,$O81),$D$32,"")</f>
        <v/>
      </c>
      <c r="BZ81" s="32" t="str">
        <f>IF(AND(BZ$30,$O81),$E$32,"")</f>
        <v/>
      </c>
      <c r="CA81" s="54" t="str">
        <f>IF(AND(CA$30,$O81),$F$32,"")</f>
        <v/>
      </c>
      <c r="CB81" s="31" t="str">
        <f>IF(AND(CB$30,$O81),$C$32,"")</f>
        <v/>
      </c>
      <c r="CC81" s="32" t="str">
        <f>IF(AND(CC$30,$O81),$D$32,"")</f>
        <v/>
      </c>
      <c r="CD81" s="32" t="str">
        <f>IF(AND(CD$30,$O81),$E$32,"")</f>
        <v/>
      </c>
      <c r="CE81" s="54" t="str">
        <f>IF(AND(CE$30,$O81),$F$32,"")</f>
        <v/>
      </c>
    </row>
    <row r="82" spans="12:83" ht="15.75" thickBot="1">
      <c r="L82" s="86"/>
      <c r="M82" s="37" t="str">
        <f t="shared" si="21"/>
        <v>-</v>
      </c>
      <c r="O82" s="43">
        <f>BinAnd(N79,G)</f>
        <v>0</v>
      </c>
      <c r="P82" s="55" t="str">
        <f>IF(AND(P$30,$O82),$C$33,"")</f>
        <v/>
      </c>
      <c r="Q82" s="56" t="str">
        <f>IF(AND(Q$30,$O82),$D$33,"")</f>
        <v/>
      </c>
      <c r="R82" s="56" t="str">
        <f>IF(AND(R$30,$O82),$E$33,"")</f>
        <v/>
      </c>
      <c r="S82" s="57" t="str">
        <f>IF(AND(S$30,$O82),$F$33,"")</f>
        <v/>
      </c>
      <c r="T82" s="55" t="str">
        <f>IF(AND(T$30,$O82),$C$33,"")</f>
        <v/>
      </c>
      <c r="U82" s="56" t="str">
        <f>IF(AND(U$30,$O82),$D$33,"")</f>
        <v/>
      </c>
      <c r="V82" s="56" t="str">
        <f>IF(AND(V$30,$O82),$E$33,"")</f>
        <v/>
      </c>
      <c r="W82" s="57" t="str">
        <f>IF(AND(W$30,$O82),$F$33,"")</f>
        <v/>
      </c>
      <c r="X82" s="55" t="str">
        <f>IF(AND(X$30,$O82),$C$33,"")</f>
        <v/>
      </c>
      <c r="Y82" s="56" t="str">
        <f>IF(AND(Y$30,$O82),$D$33,"")</f>
        <v/>
      </c>
      <c r="Z82" s="56" t="str">
        <f>IF(AND(Z$30,$O82),$E$33,"")</f>
        <v/>
      </c>
      <c r="AA82" s="57" t="str">
        <f>IF(AND(AA$30,$O82),$F$33,"")</f>
        <v/>
      </c>
      <c r="AB82" s="55" t="str">
        <f>IF(AND(AB$30,$O82),$C$33,"")</f>
        <v/>
      </c>
      <c r="AC82" s="56" t="str">
        <f>IF(AND(AC$30,$O82),$D$33,"")</f>
        <v/>
      </c>
      <c r="AD82" s="56" t="str">
        <f>IF(AND(AD$30,$O82),$E$33,"")</f>
        <v/>
      </c>
      <c r="AE82" s="57" t="str">
        <f>IF(AND(AE$30,$O82),$F$33,"")</f>
        <v/>
      </c>
      <c r="AF82" s="55" t="str">
        <f>IF(AND(AF$30,$O82),$C$33,"")</f>
        <v/>
      </c>
      <c r="AG82" s="56" t="str">
        <f>IF(AND(AG$30,$O82),$D$33,"")</f>
        <v/>
      </c>
      <c r="AH82" s="56" t="str">
        <f>IF(AND(AH$30,$O82),$E$33,"")</f>
        <v/>
      </c>
      <c r="AI82" s="57" t="str">
        <f>IF(AND(AI$30,$O82),$F$33,"")</f>
        <v/>
      </c>
      <c r="AJ82" s="55" t="str">
        <f>IF(AND(AJ$30,$O82),$C$33,"")</f>
        <v/>
      </c>
      <c r="AK82" s="56" t="str">
        <f>IF(AND(AK$30,$O82),$D$33,"")</f>
        <v/>
      </c>
      <c r="AL82" s="56" t="str">
        <f>IF(AND(AL$30,$O82),$E$33,"")</f>
        <v/>
      </c>
      <c r="AM82" s="57" t="str">
        <f>IF(AND(AM$30,$O82),$F$33,"")</f>
        <v/>
      </c>
      <c r="AN82" s="55" t="str">
        <f>IF(AND(AN$30,$O82),$C$33,"")</f>
        <v/>
      </c>
      <c r="AO82" s="56" t="str">
        <f>IF(AND(AO$30,$O82),$D$33,"")</f>
        <v/>
      </c>
      <c r="AP82" s="56" t="str">
        <f>IF(AND(AP$30,$O82),$E$33,"")</f>
        <v/>
      </c>
      <c r="AQ82" s="57" t="str">
        <f>IF(AND(AQ$30,$O82),$F$33,"")</f>
        <v/>
      </c>
      <c r="AR82" s="55" t="str">
        <f>IF(AND(AR$30,$O82),$C$33,"")</f>
        <v/>
      </c>
      <c r="AS82" s="56" t="str">
        <f>IF(AND(AS$30,$O82),$D$33,"")</f>
        <v/>
      </c>
      <c r="AT82" s="56" t="str">
        <f>IF(AND(AT$30,$O82),$E$33,"")</f>
        <v/>
      </c>
      <c r="AU82" s="57" t="str">
        <f>IF(AND(AU$30,$O82),$F$33,"")</f>
        <v/>
      </c>
      <c r="AV82" s="55" t="str">
        <f>IF(AND(AV$30,$O82),$C$33,"")</f>
        <v/>
      </c>
      <c r="AW82" s="56" t="str">
        <f>IF(AND(AW$30,$O82),$D$33,"")</f>
        <v/>
      </c>
      <c r="AX82" s="56" t="str">
        <f>IF(AND(AX$30,$O82),$E$33,"")</f>
        <v/>
      </c>
      <c r="AY82" s="57" t="str">
        <f>IF(AND(AY$30,$O82),$F$33,"")</f>
        <v/>
      </c>
      <c r="AZ82" s="55" t="str">
        <f>IF(AND(AZ$30,$O82),$C$33,"")</f>
        <v/>
      </c>
      <c r="BA82" s="56" t="str">
        <f>IF(AND(BA$30,$O82),$D$33,"")</f>
        <v/>
      </c>
      <c r="BB82" s="56" t="str">
        <f>IF(AND(BB$30,$O82),$E$33,"")</f>
        <v/>
      </c>
      <c r="BC82" s="57" t="str">
        <f>IF(AND(BC$30,$O82),$F$33,"")</f>
        <v/>
      </c>
      <c r="BD82" s="55" t="str">
        <f>IF(AND(BD$30,$O82),$C$33,"")</f>
        <v/>
      </c>
      <c r="BE82" s="56" t="str">
        <f>IF(AND(BE$30,$O82),$D$33,"")</f>
        <v/>
      </c>
      <c r="BF82" s="56" t="str">
        <f>IF(AND(BF$30,$O82),$E$33,"")</f>
        <v/>
      </c>
      <c r="BG82" s="57" t="str">
        <f>IF(AND(BG$30,$O82),$F$33,"")</f>
        <v/>
      </c>
      <c r="BH82" s="55" t="str">
        <f>IF(AND(BH$30,$O82),$C$33,"")</f>
        <v/>
      </c>
      <c r="BI82" s="56" t="str">
        <f>IF(AND(BI$30,$O82),$D$33,"")</f>
        <v/>
      </c>
      <c r="BJ82" s="56" t="str">
        <f>IF(AND(BJ$30,$O82),$E$33,"")</f>
        <v/>
      </c>
      <c r="BK82" s="57" t="str">
        <f>IF(AND(BK$30,$O82),$F$33,"")</f>
        <v/>
      </c>
      <c r="BL82" s="55" t="str">
        <f>IF(AND(BL$30,$O82),$C$33,"")</f>
        <v/>
      </c>
      <c r="BM82" s="56" t="str">
        <f>IF(AND(BM$30,$O82),$D$33,"")</f>
        <v/>
      </c>
      <c r="BN82" s="56" t="str">
        <f>IF(AND(BN$30,$O82),$E$33,"")</f>
        <v/>
      </c>
      <c r="BO82" s="57" t="str">
        <f>IF(AND(BO$30,$O82),$F$33,"")</f>
        <v/>
      </c>
      <c r="BP82" s="55" t="str">
        <f>IF(AND(BP$30,$O82),$C$33,"")</f>
        <v/>
      </c>
      <c r="BQ82" s="56" t="str">
        <f>IF(AND(BQ$30,$O82),$D$33,"")</f>
        <v/>
      </c>
      <c r="BR82" s="56" t="str">
        <f>IF(AND(BR$30,$O82),$E$33,"")</f>
        <v/>
      </c>
      <c r="BS82" s="57" t="str">
        <f>IF(AND(BS$30,$O82),$F$33,"")</f>
        <v/>
      </c>
      <c r="BT82" s="55" t="str">
        <f>IF(AND(BT$30,$O82),$C$33,"")</f>
        <v/>
      </c>
      <c r="BU82" s="56" t="str">
        <f>IF(AND(BU$30,$O82),$D$33,"")</f>
        <v/>
      </c>
      <c r="BV82" s="56" t="str">
        <f>IF(AND(BV$30,$O82),$E$33,"")</f>
        <v/>
      </c>
      <c r="BW82" s="57" t="str">
        <f>IF(AND(BW$30,$O82),$F$33,"")</f>
        <v/>
      </c>
      <c r="BX82" s="55" t="str">
        <f>IF(AND(BX$30,$O82),$C$33,"")</f>
        <v/>
      </c>
      <c r="BY82" s="56" t="str">
        <f>IF(AND(BY$30,$O82),$D$33,"")</f>
        <v/>
      </c>
      <c r="BZ82" s="56" t="str">
        <f>IF(AND(BZ$30,$O82),$E$33,"")</f>
        <v/>
      </c>
      <c r="CA82" s="57" t="str">
        <f>IF(AND(CA$30,$O82),$F$33,"")</f>
        <v/>
      </c>
      <c r="CB82" s="55" t="str">
        <f>IF(AND(CB$30,$O82),$C$33,"")</f>
        <v/>
      </c>
      <c r="CC82" s="56" t="str">
        <f>IF(AND(CC$30,$O82),$D$33,"")</f>
        <v/>
      </c>
      <c r="CD82" s="56" t="str">
        <f>IF(AND(CD$30,$O82),$E$33,"")</f>
        <v/>
      </c>
      <c r="CE82" s="57" t="str">
        <f>IF(AND(CE$30,$O82),$F$33,"")</f>
        <v/>
      </c>
    </row>
    <row r="83" spans="12:83">
      <c r="L83" s="83" t="str">
        <f>MID(CodDegElegir,N83+1,1)</f>
        <v>D</v>
      </c>
      <c r="M83" s="85" t="str">
        <f t="shared" si="21"/>
        <v>A</v>
      </c>
      <c r="N83">
        <v>13</v>
      </c>
      <c r="O83" s="81">
        <f>BinAnd(N83,A)</f>
        <v>8</v>
      </c>
      <c r="P83" s="29" t="str">
        <f>IF(AND(P$30,$O83),$C$30,"")</f>
        <v/>
      </c>
      <c r="Q83" s="30" t="str">
        <f>IF(AND(Q$30,$O83),$D$30,"")</f>
        <v/>
      </c>
      <c r="R83" s="30" t="str">
        <f>IF(AND(R$30,$O83),$E$30,"")</f>
        <v/>
      </c>
      <c r="S83" s="53" t="str">
        <f>IF(AND(S$30,$O83),$F$30,"")</f>
        <v/>
      </c>
      <c r="T83" s="29" t="str">
        <f>IF(AND(T$30,$O83),$C$30,"")</f>
        <v/>
      </c>
      <c r="U83" s="30" t="str">
        <f>IF(AND(U$30,$O83),$D$30,"")</f>
        <v/>
      </c>
      <c r="V83" s="30" t="str">
        <f>IF(AND(V$30,$O83),$E$30,"")</f>
        <v/>
      </c>
      <c r="W83" s="53">
        <f>IF(AND(W$30,$O83),$F$30,"")</f>
        <v>6.1</v>
      </c>
      <c r="X83" s="29" t="str">
        <f>IF(AND(X$30,$O83),$C$30,"")</f>
        <v/>
      </c>
      <c r="Y83" s="30" t="str">
        <f>IF(AND(Y$30,$O83),$D$30,"")</f>
        <v/>
      </c>
      <c r="Z83" s="30">
        <f>IF(AND(Z$30,$O83),$E$30,"")</f>
        <v>8.6</v>
      </c>
      <c r="AA83" s="53" t="str">
        <f>IF(AND(AA$30,$O83),$F$30,"")</f>
        <v/>
      </c>
      <c r="AB83" s="29" t="str">
        <f>IF(AND(AB$30,$O83),$C$30,"")</f>
        <v/>
      </c>
      <c r="AC83" s="30" t="str">
        <f>IF(AND(AC$30,$O83),$D$30,"")</f>
        <v/>
      </c>
      <c r="AD83" s="30">
        <f>IF(AND(AD$30,$O83),$E$30,"")</f>
        <v>8.6</v>
      </c>
      <c r="AE83" s="53">
        <f>IF(AND(AE$30,$O83),$F$30,"")</f>
        <v>6.1</v>
      </c>
      <c r="AF83" s="29" t="str">
        <f>IF(AND(AF$30,$O83),$C$30,"")</f>
        <v/>
      </c>
      <c r="AG83" s="30">
        <f>IF(AND(AG$30,$O83),$D$30,"")</f>
        <v>6.5</v>
      </c>
      <c r="AH83" s="30" t="str">
        <f>IF(AND(AH$30,$O83),$E$30,"")</f>
        <v/>
      </c>
      <c r="AI83" s="53" t="str">
        <f>IF(AND(AI$30,$O83),$F$30,"")</f>
        <v/>
      </c>
      <c r="AJ83" s="29" t="str">
        <f>IF(AND(AJ$30,$O83),$C$30,"")</f>
        <v/>
      </c>
      <c r="AK83" s="30">
        <f>IF(AND(AK$30,$O83),$D$30,"")</f>
        <v>6.5</v>
      </c>
      <c r="AL83" s="30" t="str">
        <f>IF(AND(AL$30,$O83),$E$30,"")</f>
        <v/>
      </c>
      <c r="AM83" s="53">
        <f>IF(AND(AM$30,$O83),$F$30,"")</f>
        <v>6.1</v>
      </c>
      <c r="AN83" s="29" t="str">
        <f>IF(AND(AN$30,$O83),$C$30,"")</f>
        <v/>
      </c>
      <c r="AO83" s="30">
        <f>IF(AND(AO$30,$O83),$D$30,"")</f>
        <v>6.5</v>
      </c>
      <c r="AP83" s="30">
        <f>IF(AND(AP$30,$O83),$E$30,"")</f>
        <v>8.6</v>
      </c>
      <c r="AQ83" s="53" t="str">
        <f>IF(AND(AQ$30,$O83),$F$30,"")</f>
        <v/>
      </c>
      <c r="AR83" s="29" t="str">
        <f>IF(AND(AR$30,$O83),$C$30,"")</f>
        <v/>
      </c>
      <c r="AS83" s="30">
        <f>IF(AND(AS$30,$O83),$D$30,"")</f>
        <v>6.5</v>
      </c>
      <c r="AT83" s="30">
        <f>IF(AND(AT$30,$O83),$E$30,"")</f>
        <v>8.6</v>
      </c>
      <c r="AU83" s="53">
        <f>IF(AND(AU$30,$O83),$F$30,"")</f>
        <v>6.1</v>
      </c>
      <c r="AV83" s="29">
        <f>IF(AND(AV$30,$O83),$C$30,"")</f>
        <v>8.4</v>
      </c>
      <c r="AW83" s="30" t="str">
        <f>IF(AND(AW$30,$O83),$D$30,"")</f>
        <v/>
      </c>
      <c r="AX83" s="30" t="str">
        <f>IF(AND(AX$30,$O83),$E$30,"")</f>
        <v/>
      </c>
      <c r="AY83" s="53" t="str">
        <f>IF(AND(AY$30,$O83),$F$30,"")</f>
        <v/>
      </c>
      <c r="AZ83" s="29">
        <f>IF(AND(AZ$30,$O83),$C$30,"")</f>
        <v>8.4</v>
      </c>
      <c r="BA83" s="30" t="str">
        <f>IF(AND(BA$30,$O83),$D$30,"")</f>
        <v/>
      </c>
      <c r="BB83" s="30" t="str">
        <f>IF(AND(BB$30,$O83),$E$30,"")</f>
        <v/>
      </c>
      <c r="BC83" s="53">
        <f>IF(AND(BC$30,$O83),$F$30,"")</f>
        <v>6.1</v>
      </c>
      <c r="BD83" s="29">
        <f>IF(AND(BD$30,$O83),$C$30,"")</f>
        <v>8.4</v>
      </c>
      <c r="BE83" s="30" t="str">
        <f>IF(AND(BE$30,$O83),$D$30,"")</f>
        <v/>
      </c>
      <c r="BF83" s="30">
        <f>IF(AND(BF$30,$O83),$E$30,"")</f>
        <v>8.6</v>
      </c>
      <c r="BG83" s="53" t="str">
        <f>IF(AND(BG$30,$O83),$F$30,"")</f>
        <v/>
      </c>
      <c r="BH83" s="29">
        <f>IF(AND(BH$30,$O83),$C$30,"")</f>
        <v>8.4</v>
      </c>
      <c r="BI83" s="30" t="str">
        <f>IF(AND(BI$30,$O83),$D$30,"")</f>
        <v/>
      </c>
      <c r="BJ83" s="30">
        <f>IF(AND(BJ$30,$O83),$E$30,"")</f>
        <v>8.6</v>
      </c>
      <c r="BK83" s="53">
        <f>IF(AND(BK$30,$O83),$F$30,"")</f>
        <v>6.1</v>
      </c>
      <c r="BL83" s="29">
        <f>IF(AND(BL$30,$O83),$C$30,"")</f>
        <v>8.4</v>
      </c>
      <c r="BM83" s="30">
        <f>IF(AND(BM$30,$O83),$D$30,"")</f>
        <v>6.5</v>
      </c>
      <c r="BN83" s="30" t="str">
        <f>IF(AND(BN$30,$O83),$E$30,"")</f>
        <v/>
      </c>
      <c r="BO83" s="53" t="str">
        <f>IF(AND(BO$30,$O83),$F$30,"")</f>
        <v/>
      </c>
      <c r="BP83" s="29">
        <f>IF(AND(BP$30,$O83),$C$30,"")</f>
        <v>8.4</v>
      </c>
      <c r="BQ83" s="30">
        <f>IF(AND(BQ$30,$O83),$D$30,"")</f>
        <v>6.5</v>
      </c>
      <c r="BR83" s="30" t="str">
        <f>IF(AND(BR$30,$O83),$E$30,"")</f>
        <v/>
      </c>
      <c r="BS83" s="53">
        <f>IF(AND(BS$30,$O83),$F$30,"")</f>
        <v>6.1</v>
      </c>
      <c r="BT83" s="29">
        <f>IF(AND(BT$30,$O83),$C$30,"")</f>
        <v>8.4</v>
      </c>
      <c r="BU83" s="30">
        <f>IF(AND(BU$30,$O83),$D$30,"")</f>
        <v>6.5</v>
      </c>
      <c r="BV83" s="30">
        <f>IF(AND(BV$30,$O83),$E$30,"")</f>
        <v>8.6</v>
      </c>
      <c r="BW83" s="53" t="str">
        <f>IF(AND(BW$30,$O83),$F$30,"")</f>
        <v/>
      </c>
      <c r="BX83" s="29">
        <f>IF(AND(BX$30,$O83),$C$30,"")</f>
        <v>8.4</v>
      </c>
      <c r="BY83" s="30">
        <f>IF(AND(BY$30,$O83),$D$30,"")</f>
        <v>6.5</v>
      </c>
      <c r="BZ83" s="30">
        <f>IF(AND(BZ$30,$O83),$E$30,"")</f>
        <v>8.6</v>
      </c>
      <c r="CA83" s="53">
        <f>IF(AND(CA$30,$O83),$F$30,"")</f>
        <v>6.1</v>
      </c>
      <c r="CB83" s="29" t="str">
        <f>IF(AND(CB$30,$O83),$C$30,"")</f>
        <v/>
      </c>
      <c r="CC83" s="30" t="str">
        <f>IF(AND(CC$30,$O83),$D$30,"")</f>
        <v/>
      </c>
      <c r="CD83" s="30" t="str">
        <f>IF(AND(CD$30,$O83),$E$30,"")</f>
        <v/>
      </c>
      <c r="CE83" s="53" t="str">
        <f>IF(AND(CE$30,$O83),$F$30,"")</f>
        <v/>
      </c>
    </row>
    <row r="84" spans="12:83">
      <c r="L84" s="87"/>
      <c r="M84" s="36" t="str">
        <f t="shared" si="21"/>
        <v>T</v>
      </c>
      <c r="O84" s="82">
        <f>BinAnd(N83,T)</f>
        <v>4</v>
      </c>
      <c r="P84" s="31" t="str">
        <f>IF(AND(P$30,$O84),$C$31,"")</f>
        <v/>
      </c>
      <c r="Q84" s="32" t="str">
        <f>IF(AND(Q$30,$O84),$D$31,"")</f>
        <v/>
      </c>
      <c r="R84" s="32" t="str">
        <f>IF(AND(R$30,$O84),$E$31,"")</f>
        <v/>
      </c>
      <c r="S84" s="54" t="str">
        <f>IF(AND(S$30,$O84),$F$31,"")</f>
        <v/>
      </c>
      <c r="T84" s="31" t="str">
        <f>IF(AND(T$30,$O84),$C$31,"")</f>
        <v/>
      </c>
      <c r="U84" s="32" t="str">
        <f>IF(AND(U$30,$O84),$D$31,"")</f>
        <v/>
      </c>
      <c r="V84" s="32" t="str">
        <f>IF(AND(V$30,$O84),$E$31,"")</f>
        <v/>
      </c>
      <c r="W84" s="54">
        <f>IF(AND(W$30,$O84),$F$31,"")</f>
        <v>7.4</v>
      </c>
      <c r="X84" s="31" t="str">
        <f>IF(AND(X$30,$O84),$C$31,"")</f>
        <v/>
      </c>
      <c r="Y84" s="32" t="str">
        <f>IF(AND(Y$30,$O84),$D$31,"")</f>
        <v/>
      </c>
      <c r="Z84" s="32">
        <f>IF(AND(Z$30,$O84),$E$31,"")</f>
        <v>7.7</v>
      </c>
      <c r="AA84" s="54" t="str">
        <f>IF(AND(AA$30,$O84),$F$31,"")</f>
        <v/>
      </c>
      <c r="AB84" s="31" t="str">
        <f>IF(AND(AB$30,$O84),$C$31,"")</f>
        <v/>
      </c>
      <c r="AC84" s="32" t="str">
        <f>IF(AND(AC$30,$O84),$D$31,"")</f>
        <v/>
      </c>
      <c r="AD84" s="32">
        <f>IF(AND(AD$30,$O84),$E$31,"")</f>
        <v>7.7</v>
      </c>
      <c r="AE84" s="54">
        <f>IF(AND(AE$30,$O84),$F$31,"")</f>
        <v>7.4</v>
      </c>
      <c r="AF84" s="31" t="str">
        <f>IF(AND(AF$30,$O84),$C$31,"")</f>
        <v/>
      </c>
      <c r="AG84" s="32">
        <f>IF(AND(AG$30,$O84),$D$31,"")</f>
        <v>8.4</v>
      </c>
      <c r="AH84" s="32" t="str">
        <f>IF(AND(AH$30,$O84),$E$31,"")</f>
        <v/>
      </c>
      <c r="AI84" s="54" t="str">
        <f>IF(AND(AI$30,$O84),$F$31,"")</f>
        <v/>
      </c>
      <c r="AJ84" s="31" t="str">
        <f>IF(AND(AJ$30,$O84),$C$31,"")</f>
        <v/>
      </c>
      <c r="AK84" s="32">
        <f>IF(AND(AK$30,$O84),$D$31,"")</f>
        <v>8.4</v>
      </c>
      <c r="AL84" s="32" t="str">
        <f>IF(AND(AL$30,$O84),$E$31,"")</f>
        <v/>
      </c>
      <c r="AM84" s="54">
        <f>IF(AND(AM$30,$O84),$F$31,"")</f>
        <v>7.4</v>
      </c>
      <c r="AN84" s="31" t="str">
        <f>IF(AND(AN$30,$O84),$C$31,"")</f>
        <v/>
      </c>
      <c r="AO84" s="32">
        <f>IF(AND(AO$30,$O84),$D$31,"")</f>
        <v>8.4</v>
      </c>
      <c r="AP84" s="32">
        <f>IF(AND(AP$30,$O84),$E$31,"")</f>
        <v>7.7</v>
      </c>
      <c r="AQ84" s="54" t="str">
        <f>IF(AND(AQ$30,$O84),$F$31,"")</f>
        <v/>
      </c>
      <c r="AR84" s="31" t="str">
        <f>IF(AND(AR$30,$O84),$C$31,"")</f>
        <v/>
      </c>
      <c r="AS84" s="32">
        <f>IF(AND(AS$30,$O84),$D$31,"")</f>
        <v>8.4</v>
      </c>
      <c r="AT84" s="32">
        <f>IF(AND(AT$30,$O84),$E$31,"")</f>
        <v>7.7</v>
      </c>
      <c r="AU84" s="54">
        <f>IF(AND(AU$30,$O84),$F$31,"")</f>
        <v>7.4</v>
      </c>
      <c r="AV84" s="31">
        <f>IF(AND(AV$30,$O84),$C$31,"")</f>
        <v>6.3</v>
      </c>
      <c r="AW84" s="32" t="str">
        <f>IF(AND(AW$30,$O84),$D$31,"")</f>
        <v/>
      </c>
      <c r="AX84" s="32" t="str">
        <f>IF(AND(AX$30,$O84),$E$31,"")</f>
        <v/>
      </c>
      <c r="AY84" s="54" t="str">
        <f>IF(AND(AY$30,$O84),$F$31,"")</f>
        <v/>
      </c>
      <c r="AZ84" s="31">
        <f>IF(AND(AZ$30,$O84),$C$31,"")</f>
        <v>6.3</v>
      </c>
      <c r="BA84" s="32" t="str">
        <f>IF(AND(BA$30,$O84),$D$31,"")</f>
        <v/>
      </c>
      <c r="BB84" s="32" t="str">
        <f>IF(AND(BB$30,$O84),$E$31,"")</f>
        <v/>
      </c>
      <c r="BC84" s="54">
        <f>IF(AND(BC$30,$O84),$F$31,"")</f>
        <v>7.4</v>
      </c>
      <c r="BD84" s="31">
        <f>IF(AND(BD$30,$O84),$C$31,"")</f>
        <v>6.3</v>
      </c>
      <c r="BE84" s="32" t="str">
        <f>IF(AND(BE$30,$O84),$D$31,"")</f>
        <v/>
      </c>
      <c r="BF84" s="32">
        <f>IF(AND(BF$30,$O84),$E$31,"")</f>
        <v>7.7</v>
      </c>
      <c r="BG84" s="54" t="str">
        <f>IF(AND(BG$30,$O84),$F$31,"")</f>
        <v/>
      </c>
      <c r="BH84" s="31">
        <f>IF(AND(BH$30,$O84),$C$31,"")</f>
        <v>6.3</v>
      </c>
      <c r="BI84" s="32" t="str">
        <f>IF(AND(BI$30,$O84),$D$31,"")</f>
        <v/>
      </c>
      <c r="BJ84" s="32">
        <f>IF(AND(BJ$30,$O84),$E$31,"")</f>
        <v>7.7</v>
      </c>
      <c r="BK84" s="54">
        <f>IF(AND(BK$30,$O84),$F$31,"")</f>
        <v>7.4</v>
      </c>
      <c r="BL84" s="31">
        <f>IF(AND(BL$30,$O84),$C$31,"")</f>
        <v>6.3</v>
      </c>
      <c r="BM84" s="32">
        <f>IF(AND(BM$30,$O84),$D$31,"")</f>
        <v>8.4</v>
      </c>
      <c r="BN84" s="32" t="str">
        <f>IF(AND(BN$30,$O84),$E$31,"")</f>
        <v/>
      </c>
      <c r="BO84" s="54" t="str">
        <f>IF(AND(BO$30,$O84),$F$31,"")</f>
        <v/>
      </c>
      <c r="BP84" s="31">
        <f>IF(AND(BP$30,$O84),$C$31,"")</f>
        <v>6.3</v>
      </c>
      <c r="BQ84" s="32">
        <f>IF(AND(BQ$30,$O84),$D$31,"")</f>
        <v>8.4</v>
      </c>
      <c r="BR84" s="32" t="str">
        <f>IF(AND(BR$30,$O84),$E$31,"")</f>
        <v/>
      </c>
      <c r="BS84" s="54">
        <f>IF(AND(BS$30,$O84),$F$31,"")</f>
        <v>7.4</v>
      </c>
      <c r="BT84" s="31">
        <f>IF(AND(BT$30,$O84),$C$31,"")</f>
        <v>6.3</v>
      </c>
      <c r="BU84" s="32">
        <f>IF(AND(BU$30,$O84),$D$31,"")</f>
        <v>8.4</v>
      </c>
      <c r="BV84" s="32">
        <f>IF(AND(BV$30,$O84),$E$31,"")</f>
        <v>7.7</v>
      </c>
      <c r="BW84" s="54" t="str">
        <f>IF(AND(BW$30,$O84),$F$31,"")</f>
        <v/>
      </c>
      <c r="BX84" s="31">
        <f>IF(AND(BX$30,$O84),$C$31,"")</f>
        <v>6.3</v>
      </c>
      <c r="BY84" s="32">
        <f>IF(AND(BY$30,$O84),$D$31,"")</f>
        <v>8.4</v>
      </c>
      <c r="BZ84" s="32">
        <f>IF(AND(BZ$30,$O84),$E$31,"")</f>
        <v>7.7</v>
      </c>
      <c r="CA84" s="54">
        <f>IF(AND(CA$30,$O84),$F$31,"")</f>
        <v>7.4</v>
      </c>
      <c r="CB84" s="31" t="str">
        <f>IF(AND(CB$30,$O84),$C$31,"")</f>
        <v/>
      </c>
      <c r="CC84" s="32" t="str">
        <f>IF(AND(CC$30,$O84),$D$31,"")</f>
        <v/>
      </c>
      <c r="CD84" s="32" t="str">
        <f>IF(AND(CD$30,$O84),$E$31,"")</f>
        <v/>
      </c>
      <c r="CE84" s="54" t="str">
        <f>IF(AND(CE$30,$O84),$F$31,"")</f>
        <v/>
      </c>
    </row>
    <row r="85" spans="12:83">
      <c r="L85" s="87"/>
      <c r="M85" s="36" t="str">
        <f t="shared" si="21"/>
        <v>-</v>
      </c>
      <c r="O85" s="82">
        <f>BinAnd(N83,Ce)</f>
        <v>0</v>
      </c>
      <c r="P85" s="31" t="str">
        <f>IF(AND(P$30,$O85),$C$32,"")</f>
        <v/>
      </c>
      <c r="Q85" s="32" t="str">
        <f>IF(AND(Q$30,$O85),$D$32,"")</f>
        <v/>
      </c>
      <c r="R85" s="32" t="str">
        <f>IF(AND(R$30,$O85),$E$32,"")</f>
        <v/>
      </c>
      <c r="S85" s="54" t="str">
        <f>IF(AND(S$30,$O85),$F$32,"")</f>
        <v/>
      </c>
      <c r="T85" s="31" t="str">
        <f>IF(AND(T$30,$O85),$C$32,"")</f>
        <v/>
      </c>
      <c r="U85" s="32" t="str">
        <f>IF(AND(U$30,$O85),$D$32,"")</f>
        <v/>
      </c>
      <c r="V85" s="32" t="str">
        <f>IF(AND(V$30,$O85),$E$32,"")</f>
        <v/>
      </c>
      <c r="W85" s="54" t="str">
        <f>IF(AND(W$30,$O85),$F$32,"")</f>
        <v/>
      </c>
      <c r="X85" s="31" t="str">
        <f>IF(AND(X$30,$O85),$C$32,"")</f>
        <v/>
      </c>
      <c r="Y85" s="32" t="str">
        <f>IF(AND(Y$30,$O85),$D$32,"")</f>
        <v/>
      </c>
      <c r="Z85" s="32" t="str">
        <f>IF(AND(Z$30,$O85),$E$32,"")</f>
        <v/>
      </c>
      <c r="AA85" s="54" t="str">
        <f>IF(AND(AA$30,$O85),$F$32,"")</f>
        <v/>
      </c>
      <c r="AB85" s="31" t="str">
        <f>IF(AND(AB$30,$O85),$C$32,"")</f>
        <v/>
      </c>
      <c r="AC85" s="32" t="str">
        <f>IF(AND(AC$30,$O85),$D$32,"")</f>
        <v/>
      </c>
      <c r="AD85" s="32" t="str">
        <f>IF(AND(AD$30,$O85),$E$32,"")</f>
        <v/>
      </c>
      <c r="AE85" s="54" t="str">
        <f>IF(AND(AE$30,$O85),$F$32,"")</f>
        <v/>
      </c>
      <c r="AF85" s="31" t="str">
        <f>IF(AND(AF$30,$O85),$C$32,"")</f>
        <v/>
      </c>
      <c r="AG85" s="32" t="str">
        <f>IF(AND(AG$30,$O85),$D$32,"")</f>
        <v/>
      </c>
      <c r="AH85" s="32" t="str">
        <f>IF(AND(AH$30,$O85),$E$32,"")</f>
        <v/>
      </c>
      <c r="AI85" s="54" t="str">
        <f>IF(AND(AI$30,$O85),$F$32,"")</f>
        <v/>
      </c>
      <c r="AJ85" s="31" t="str">
        <f>IF(AND(AJ$30,$O85),$C$32,"")</f>
        <v/>
      </c>
      <c r="AK85" s="32" t="str">
        <f>IF(AND(AK$30,$O85),$D$32,"")</f>
        <v/>
      </c>
      <c r="AL85" s="32" t="str">
        <f>IF(AND(AL$30,$O85),$E$32,"")</f>
        <v/>
      </c>
      <c r="AM85" s="54" t="str">
        <f>IF(AND(AM$30,$O85),$F$32,"")</f>
        <v/>
      </c>
      <c r="AN85" s="31" t="str">
        <f>IF(AND(AN$30,$O85),$C$32,"")</f>
        <v/>
      </c>
      <c r="AO85" s="32" t="str">
        <f>IF(AND(AO$30,$O85),$D$32,"")</f>
        <v/>
      </c>
      <c r="AP85" s="32" t="str">
        <f>IF(AND(AP$30,$O85),$E$32,"")</f>
        <v/>
      </c>
      <c r="AQ85" s="54" t="str">
        <f>IF(AND(AQ$30,$O85),$F$32,"")</f>
        <v/>
      </c>
      <c r="AR85" s="31" t="str">
        <f>IF(AND(AR$30,$O85),$C$32,"")</f>
        <v/>
      </c>
      <c r="AS85" s="32" t="str">
        <f>IF(AND(AS$30,$O85),$D$32,"")</f>
        <v/>
      </c>
      <c r="AT85" s="32" t="str">
        <f>IF(AND(AT$30,$O85),$E$32,"")</f>
        <v/>
      </c>
      <c r="AU85" s="54" t="str">
        <f>IF(AND(AU$30,$O85),$F$32,"")</f>
        <v/>
      </c>
      <c r="AV85" s="31" t="str">
        <f>IF(AND(AV$30,$O85),$C$32,"")</f>
        <v/>
      </c>
      <c r="AW85" s="32" t="str">
        <f>IF(AND(AW$30,$O85),$D$32,"")</f>
        <v/>
      </c>
      <c r="AX85" s="32" t="str">
        <f>IF(AND(AX$30,$O85),$E$32,"")</f>
        <v/>
      </c>
      <c r="AY85" s="54" t="str">
        <f>IF(AND(AY$30,$O85),$F$32,"")</f>
        <v/>
      </c>
      <c r="AZ85" s="31" t="str">
        <f>IF(AND(AZ$30,$O85),$C$32,"")</f>
        <v/>
      </c>
      <c r="BA85" s="32" t="str">
        <f>IF(AND(BA$30,$O85),$D$32,"")</f>
        <v/>
      </c>
      <c r="BB85" s="32" t="str">
        <f>IF(AND(BB$30,$O85),$E$32,"")</f>
        <v/>
      </c>
      <c r="BC85" s="54" t="str">
        <f>IF(AND(BC$30,$O85),$F$32,"")</f>
        <v/>
      </c>
      <c r="BD85" s="31" t="str">
        <f>IF(AND(BD$30,$O85),$C$32,"")</f>
        <v/>
      </c>
      <c r="BE85" s="32" t="str">
        <f>IF(AND(BE$30,$O85),$D$32,"")</f>
        <v/>
      </c>
      <c r="BF85" s="32" t="str">
        <f>IF(AND(BF$30,$O85),$E$32,"")</f>
        <v/>
      </c>
      <c r="BG85" s="54" t="str">
        <f>IF(AND(BG$30,$O85),$F$32,"")</f>
        <v/>
      </c>
      <c r="BH85" s="31" t="str">
        <f>IF(AND(BH$30,$O85),$C$32,"")</f>
        <v/>
      </c>
      <c r="BI85" s="32" t="str">
        <f>IF(AND(BI$30,$O85),$D$32,"")</f>
        <v/>
      </c>
      <c r="BJ85" s="32" t="str">
        <f>IF(AND(BJ$30,$O85),$E$32,"")</f>
        <v/>
      </c>
      <c r="BK85" s="54" t="str">
        <f>IF(AND(BK$30,$O85),$F$32,"")</f>
        <v/>
      </c>
      <c r="BL85" s="31" t="str">
        <f>IF(AND(BL$30,$O85),$C$32,"")</f>
        <v/>
      </c>
      <c r="BM85" s="32" t="str">
        <f>IF(AND(BM$30,$O85),$D$32,"")</f>
        <v/>
      </c>
      <c r="BN85" s="32" t="str">
        <f>IF(AND(BN$30,$O85),$E$32,"")</f>
        <v/>
      </c>
      <c r="BO85" s="54" t="str">
        <f>IF(AND(BO$30,$O85),$F$32,"")</f>
        <v/>
      </c>
      <c r="BP85" s="31" t="str">
        <f>IF(AND(BP$30,$O85),$C$32,"")</f>
        <v/>
      </c>
      <c r="BQ85" s="32" t="str">
        <f>IF(AND(BQ$30,$O85),$D$32,"")</f>
        <v/>
      </c>
      <c r="BR85" s="32" t="str">
        <f>IF(AND(BR$30,$O85),$E$32,"")</f>
        <v/>
      </c>
      <c r="BS85" s="54" t="str">
        <f>IF(AND(BS$30,$O85),$F$32,"")</f>
        <v/>
      </c>
      <c r="BT85" s="31" t="str">
        <f>IF(AND(BT$30,$O85),$C$32,"")</f>
        <v/>
      </c>
      <c r="BU85" s="32" t="str">
        <f>IF(AND(BU$30,$O85),$D$32,"")</f>
        <v/>
      </c>
      <c r="BV85" s="32" t="str">
        <f>IF(AND(BV$30,$O85),$E$32,"")</f>
        <v/>
      </c>
      <c r="BW85" s="54" t="str">
        <f>IF(AND(BW$30,$O85),$F$32,"")</f>
        <v/>
      </c>
      <c r="BX85" s="31" t="str">
        <f>IF(AND(BX$30,$O85),$C$32,"")</f>
        <v/>
      </c>
      <c r="BY85" s="32" t="str">
        <f>IF(AND(BY$30,$O85),$D$32,"")</f>
        <v/>
      </c>
      <c r="BZ85" s="32" t="str">
        <f>IF(AND(BZ$30,$O85),$E$32,"")</f>
        <v/>
      </c>
      <c r="CA85" s="54" t="str">
        <f>IF(AND(CA$30,$O85),$F$32,"")</f>
        <v/>
      </c>
      <c r="CB85" s="31" t="str">
        <f>IF(AND(CB$30,$O85),$C$32,"")</f>
        <v/>
      </c>
      <c r="CC85" s="32" t="str">
        <f>IF(AND(CC$30,$O85),$D$32,"")</f>
        <v/>
      </c>
      <c r="CD85" s="32" t="str">
        <f>IF(AND(CD$30,$O85),$E$32,"")</f>
        <v/>
      </c>
      <c r="CE85" s="54" t="str">
        <f>IF(AND(CE$30,$O85),$F$32,"")</f>
        <v/>
      </c>
    </row>
    <row r="86" spans="12:83" ht="15.75" thickBot="1">
      <c r="L86" s="86"/>
      <c r="M86" s="37" t="str">
        <f t="shared" si="21"/>
        <v>G</v>
      </c>
      <c r="O86" s="43">
        <f>BinAnd(N83,G)</f>
        <v>1</v>
      </c>
      <c r="P86" s="55" t="str">
        <f>IF(AND(P$30,$O86),$C$33,"")</f>
        <v/>
      </c>
      <c r="Q86" s="56" t="str">
        <f>IF(AND(Q$30,$O86),$D$33,"")</f>
        <v/>
      </c>
      <c r="R86" s="56" t="str">
        <f>IF(AND(R$30,$O86),$E$33,"")</f>
        <v/>
      </c>
      <c r="S86" s="57" t="str">
        <f>IF(AND(S$30,$O86),$F$33,"")</f>
        <v/>
      </c>
      <c r="T86" s="55" t="str">
        <f>IF(AND(T$30,$O86),$C$33,"")</f>
        <v/>
      </c>
      <c r="U86" s="56" t="str">
        <f>IF(AND(U$30,$O86),$D$33,"")</f>
        <v/>
      </c>
      <c r="V86" s="56" t="str">
        <f>IF(AND(V$30,$O86),$E$33,"")</f>
        <v/>
      </c>
      <c r="W86" s="57">
        <f>IF(AND(W$30,$O86),$F$33,"")</f>
        <v>6.7</v>
      </c>
      <c r="X86" s="55" t="str">
        <f>IF(AND(X$30,$O86),$C$33,"")</f>
        <v/>
      </c>
      <c r="Y86" s="56" t="str">
        <f>IF(AND(Y$30,$O86),$D$33,"")</f>
        <v/>
      </c>
      <c r="Z86" s="56">
        <f>IF(AND(Z$30,$O86),$E$33,"")</f>
        <v>11.1</v>
      </c>
      <c r="AA86" s="57" t="str">
        <f>IF(AND(AA$30,$O86),$F$33,"")</f>
        <v/>
      </c>
      <c r="AB86" s="55" t="str">
        <f>IF(AND(AB$30,$O86),$C$33,"")</f>
        <v/>
      </c>
      <c r="AC86" s="56" t="str">
        <f>IF(AND(AC$30,$O86),$D$33,"")</f>
        <v/>
      </c>
      <c r="AD86" s="56">
        <f>IF(AND(AD$30,$O86),$E$33,"")</f>
        <v>11.1</v>
      </c>
      <c r="AE86" s="57">
        <f>IF(AND(AE$30,$O86),$F$33,"")</f>
        <v>6.7</v>
      </c>
      <c r="AF86" s="55" t="str">
        <f>IF(AND(AF$30,$O86),$C$33,"")</f>
        <v/>
      </c>
      <c r="AG86" s="56">
        <f>IF(AND(AG$30,$O86),$D$33,"")</f>
        <v>8.6</v>
      </c>
      <c r="AH86" s="56" t="str">
        <f>IF(AND(AH$30,$O86),$E$33,"")</f>
        <v/>
      </c>
      <c r="AI86" s="57" t="str">
        <f>IF(AND(AI$30,$O86),$F$33,"")</f>
        <v/>
      </c>
      <c r="AJ86" s="55" t="str">
        <f>IF(AND(AJ$30,$O86),$C$33,"")</f>
        <v/>
      </c>
      <c r="AK86" s="56">
        <f>IF(AND(AK$30,$O86),$D$33,"")</f>
        <v>8.6</v>
      </c>
      <c r="AL86" s="56" t="str">
        <f>IF(AND(AL$30,$O86),$E$33,"")</f>
        <v/>
      </c>
      <c r="AM86" s="57">
        <f>IF(AND(AM$30,$O86),$F$33,"")</f>
        <v>6.7</v>
      </c>
      <c r="AN86" s="55" t="str">
        <f>IF(AND(AN$30,$O86),$C$33,"")</f>
        <v/>
      </c>
      <c r="AO86" s="56">
        <f>IF(AND(AO$30,$O86),$D$33,"")</f>
        <v>8.6</v>
      </c>
      <c r="AP86" s="56">
        <f>IF(AND(AP$30,$O86),$E$33,"")</f>
        <v>11.1</v>
      </c>
      <c r="AQ86" s="57" t="str">
        <f>IF(AND(AQ$30,$O86),$F$33,"")</f>
        <v/>
      </c>
      <c r="AR86" s="55" t="str">
        <f>IF(AND(AR$30,$O86),$C$33,"")</f>
        <v/>
      </c>
      <c r="AS86" s="56">
        <f>IF(AND(AS$30,$O86),$D$33,"")</f>
        <v>8.6</v>
      </c>
      <c r="AT86" s="56">
        <f>IF(AND(AT$30,$O86),$E$33,"")</f>
        <v>11.1</v>
      </c>
      <c r="AU86" s="57">
        <f>IF(AND(AU$30,$O86),$F$33,"")</f>
        <v>6.7</v>
      </c>
      <c r="AV86" s="55">
        <f>IF(AND(AV$30,$O86),$C$33,"")</f>
        <v>7.7</v>
      </c>
      <c r="AW86" s="56" t="str">
        <f>IF(AND(AW$30,$O86),$D$33,"")</f>
        <v/>
      </c>
      <c r="AX86" s="56" t="str">
        <f>IF(AND(AX$30,$O86),$E$33,"")</f>
        <v/>
      </c>
      <c r="AY86" s="57" t="str">
        <f>IF(AND(AY$30,$O86),$F$33,"")</f>
        <v/>
      </c>
      <c r="AZ86" s="55">
        <f>IF(AND(AZ$30,$O86),$C$33,"")</f>
        <v>7.7</v>
      </c>
      <c r="BA86" s="56" t="str">
        <f>IF(AND(BA$30,$O86),$D$33,"")</f>
        <v/>
      </c>
      <c r="BB86" s="56" t="str">
        <f>IF(AND(BB$30,$O86),$E$33,"")</f>
        <v/>
      </c>
      <c r="BC86" s="57">
        <f>IF(AND(BC$30,$O86),$F$33,"")</f>
        <v>6.7</v>
      </c>
      <c r="BD86" s="55">
        <f>IF(AND(BD$30,$O86),$C$33,"")</f>
        <v>7.7</v>
      </c>
      <c r="BE86" s="56" t="str">
        <f>IF(AND(BE$30,$O86),$D$33,"")</f>
        <v/>
      </c>
      <c r="BF86" s="56">
        <f>IF(AND(BF$30,$O86),$E$33,"")</f>
        <v>11.1</v>
      </c>
      <c r="BG86" s="57" t="str">
        <f>IF(AND(BG$30,$O86),$F$33,"")</f>
        <v/>
      </c>
      <c r="BH86" s="55">
        <f>IF(AND(BH$30,$O86),$C$33,"")</f>
        <v>7.7</v>
      </c>
      <c r="BI86" s="56" t="str">
        <f>IF(AND(BI$30,$O86),$D$33,"")</f>
        <v/>
      </c>
      <c r="BJ86" s="56">
        <f>IF(AND(BJ$30,$O86),$E$33,"")</f>
        <v>11.1</v>
      </c>
      <c r="BK86" s="57">
        <f>IF(AND(BK$30,$O86),$F$33,"")</f>
        <v>6.7</v>
      </c>
      <c r="BL86" s="55">
        <f>IF(AND(BL$30,$O86),$C$33,"")</f>
        <v>7.7</v>
      </c>
      <c r="BM86" s="56">
        <f>IF(AND(BM$30,$O86),$D$33,"")</f>
        <v>8.6</v>
      </c>
      <c r="BN86" s="56" t="str">
        <f>IF(AND(BN$30,$O86),$E$33,"")</f>
        <v/>
      </c>
      <c r="BO86" s="57" t="str">
        <f>IF(AND(BO$30,$O86),$F$33,"")</f>
        <v/>
      </c>
      <c r="BP86" s="55">
        <f>IF(AND(BP$30,$O86),$C$33,"")</f>
        <v>7.7</v>
      </c>
      <c r="BQ86" s="56">
        <f>IF(AND(BQ$30,$O86),$D$33,"")</f>
        <v>8.6</v>
      </c>
      <c r="BR86" s="56" t="str">
        <f>IF(AND(BR$30,$O86),$E$33,"")</f>
        <v/>
      </c>
      <c r="BS86" s="57">
        <f>IF(AND(BS$30,$O86),$F$33,"")</f>
        <v>6.7</v>
      </c>
      <c r="BT86" s="55">
        <f>IF(AND(BT$30,$O86),$C$33,"")</f>
        <v>7.7</v>
      </c>
      <c r="BU86" s="56">
        <f>IF(AND(BU$30,$O86),$D$33,"")</f>
        <v>8.6</v>
      </c>
      <c r="BV86" s="56">
        <f>IF(AND(BV$30,$O86),$E$33,"")</f>
        <v>11.1</v>
      </c>
      <c r="BW86" s="57" t="str">
        <f>IF(AND(BW$30,$O86),$F$33,"")</f>
        <v/>
      </c>
      <c r="BX86" s="55">
        <f>IF(AND(BX$30,$O86),$C$33,"")</f>
        <v>7.7</v>
      </c>
      <c r="BY86" s="56">
        <f>IF(AND(BY$30,$O86),$D$33,"")</f>
        <v>8.6</v>
      </c>
      <c r="BZ86" s="56">
        <f>IF(AND(BZ$30,$O86),$E$33,"")</f>
        <v>11.1</v>
      </c>
      <c r="CA86" s="57">
        <f>IF(AND(CA$30,$O86),$F$33,"")</f>
        <v>6.7</v>
      </c>
      <c r="CB86" s="55" t="str">
        <f>IF(AND(CB$30,$O86),$C$33,"")</f>
        <v/>
      </c>
      <c r="CC86" s="56" t="str">
        <f>IF(AND(CC$30,$O86),$D$33,"")</f>
        <v/>
      </c>
      <c r="CD86" s="56" t="str">
        <f>IF(AND(CD$30,$O86),$E$33,"")</f>
        <v/>
      </c>
      <c r="CE86" s="57" t="str">
        <f>IF(AND(CE$30,$O86),$F$33,"")</f>
        <v/>
      </c>
    </row>
    <row r="87" spans="12:83">
      <c r="L87" s="83" t="str">
        <f>MID(CodDegElegir,N87+1,1)</f>
        <v>H</v>
      </c>
      <c r="M87" s="85" t="str">
        <f t="shared" si="21"/>
        <v>A</v>
      </c>
      <c r="N87">
        <v>14</v>
      </c>
      <c r="O87" s="81">
        <f>BinAnd(N87,A)</f>
        <v>8</v>
      </c>
      <c r="P87" s="29" t="str">
        <f>IF(AND(P$30,$O87),$C$30,"")</f>
        <v/>
      </c>
      <c r="Q87" s="30" t="str">
        <f>IF(AND(Q$30,$O87),$D$30,"")</f>
        <v/>
      </c>
      <c r="R87" s="30" t="str">
        <f>IF(AND(R$30,$O87),$E$30,"")</f>
        <v/>
      </c>
      <c r="S87" s="53" t="str">
        <f>IF(AND(S$30,$O87),$F$30,"")</f>
        <v/>
      </c>
      <c r="T87" s="29" t="str">
        <f>IF(AND(T$30,$O87),$C$30,"")</f>
        <v/>
      </c>
      <c r="U87" s="30" t="str">
        <f>IF(AND(U$30,$O87),$D$30,"")</f>
        <v/>
      </c>
      <c r="V87" s="30" t="str">
        <f>IF(AND(V$30,$O87),$E$30,"")</f>
        <v/>
      </c>
      <c r="W87" s="53">
        <f>IF(AND(W$30,$O87),$F$30,"")</f>
        <v>6.1</v>
      </c>
      <c r="X87" s="29" t="str">
        <f>IF(AND(X$30,$O87),$C$30,"")</f>
        <v/>
      </c>
      <c r="Y87" s="30" t="str">
        <f>IF(AND(Y$30,$O87),$D$30,"")</f>
        <v/>
      </c>
      <c r="Z87" s="30">
        <f>IF(AND(Z$30,$O87),$E$30,"")</f>
        <v>8.6</v>
      </c>
      <c r="AA87" s="53" t="str">
        <f>IF(AND(AA$30,$O87),$F$30,"")</f>
        <v/>
      </c>
      <c r="AB87" s="29" t="str">
        <f>IF(AND(AB$30,$O87),$C$30,"")</f>
        <v/>
      </c>
      <c r="AC87" s="30" t="str">
        <f>IF(AND(AC$30,$O87),$D$30,"")</f>
        <v/>
      </c>
      <c r="AD87" s="30">
        <f>IF(AND(AD$30,$O87),$E$30,"")</f>
        <v>8.6</v>
      </c>
      <c r="AE87" s="53">
        <f>IF(AND(AE$30,$O87),$F$30,"")</f>
        <v>6.1</v>
      </c>
      <c r="AF87" s="29" t="str">
        <f>IF(AND(AF$30,$O87),$C$30,"")</f>
        <v/>
      </c>
      <c r="AG87" s="30">
        <f>IF(AND(AG$30,$O87),$D$30,"")</f>
        <v>6.5</v>
      </c>
      <c r="AH87" s="30" t="str">
        <f>IF(AND(AH$30,$O87),$E$30,"")</f>
        <v/>
      </c>
      <c r="AI87" s="53" t="str">
        <f>IF(AND(AI$30,$O87),$F$30,"")</f>
        <v/>
      </c>
      <c r="AJ87" s="29" t="str">
        <f>IF(AND(AJ$30,$O87),$C$30,"")</f>
        <v/>
      </c>
      <c r="AK87" s="30">
        <f>IF(AND(AK$30,$O87),$D$30,"")</f>
        <v>6.5</v>
      </c>
      <c r="AL87" s="30" t="str">
        <f>IF(AND(AL$30,$O87),$E$30,"")</f>
        <v/>
      </c>
      <c r="AM87" s="53">
        <f>IF(AND(AM$30,$O87),$F$30,"")</f>
        <v>6.1</v>
      </c>
      <c r="AN87" s="29" t="str">
        <f>IF(AND(AN$30,$O87),$C$30,"")</f>
        <v/>
      </c>
      <c r="AO87" s="30">
        <f>IF(AND(AO$30,$O87),$D$30,"")</f>
        <v>6.5</v>
      </c>
      <c r="AP87" s="30">
        <f>IF(AND(AP$30,$O87),$E$30,"")</f>
        <v>8.6</v>
      </c>
      <c r="AQ87" s="53" t="str">
        <f>IF(AND(AQ$30,$O87),$F$30,"")</f>
        <v/>
      </c>
      <c r="AR87" s="29" t="str">
        <f>IF(AND(AR$30,$O87),$C$30,"")</f>
        <v/>
      </c>
      <c r="AS87" s="30">
        <f>IF(AND(AS$30,$O87),$D$30,"")</f>
        <v>6.5</v>
      </c>
      <c r="AT87" s="30">
        <f>IF(AND(AT$30,$O87),$E$30,"")</f>
        <v>8.6</v>
      </c>
      <c r="AU87" s="53">
        <f>IF(AND(AU$30,$O87),$F$30,"")</f>
        <v>6.1</v>
      </c>
      <c r="AV87" s="29">
        <f>IF(AND(AV$30,$O87),$C$30,"")</f>
        <v>8.4</v>
      </c>
      <c r="AW87" s="30" t="str">
        <f>IF(AND(AW$30,$O87),$D$30,"")</f>
        <v/>
      </c>
      <c r="AX87" s="30" t="str">
        <f>IF(AND(AX$30,$O87),$E$30,"")</f>
        <v/>
      </c>
      <c r="AY87" s="53" t="str">
        <f>IF(AND(AY$30,$O87),$F$30,"")</f>
        <v/>
      </c>
      <c r="AZ87" s="29">
        <f>IF(AND(AZ$30,$O87),$C$30,"")</f>
        <v>8.4</v>
      </c>
      <c r="BA87" s="30" t="str">
        <f>IF(AND(BA$30,$O87),$D$30,"")</f>
        <v/>
      </c>
      <c r="BB87" s="30" t="str">
        <f>IF(AND(BB$30,$O87),$E$30,"")</f>
        <v/>
      </c>
      <c r="BC87" s="53">
        <f>IF(AND(BC$30,$O87),$F$30,"")</f>
        <v>6.1</v>
      </c>
      <c r="BD87" s="29">
        <f>IF(AND(BD$30,$O87),$C$30,"")</f>
        <v>8.4</v>
      </c>
      <c r="BE87" s="30" t="str">
        <f>IF(AND(BE$30,$O87),$D$30,"")</f>
        <v/>
      </c>
      <c r="BF87" s="30">
        <f>IF(AND(BF$30,$O87),$E$30,"")</f>
        <v>8.6</v>
      </c>
      <c r="BG87" s="53" t="str">
        <f>IF(AND(BG$30,$O87),$F$30,"")</f>
        <v/>
      </c>
      <c r="BH87" s="29">
        <f>IF(AND(BH$30,$O87),$C$30,"")</f>
        <v>8.4</v>
      </c>
      <c r="BI87" s="30" t="str">
        <f>IF(AND(BI$30,$O87),$D$30,"")</f>
        <v/>
      </c>
      <c r="BJ87" s="30">
        <f>IF(AND(BJ$30,$O87),$E$30,"")</f>
        <v>8.6</v>
      </c>
      <c r="BK87" s="53">
        <f>IF(AND(BK$30,$O87),$F$30,"")</f>
        <v>6.1</v>
      </c>
      <c r="BL87" s="29">
        <f>IF(AND(BL$30,$O87),$C$30,"")</f>
        <v>8.4</v>
      </c>
      <c r="BM87" s="30">
        <f>IF(AND(BM$30,$O87),$D$30,"")</f>
        <v>6.5</v>
      </c>
      <c r="BN87" s="30" t="str">
        <f>IF(AND(BN$30,$O87),$E$30,"")</f>
        <v/>
      </c>
      <c r="BO87" s="53" t="str">
        <f>IF(AND(BO$30,$O87),$F$30,"")</f>
        <v/>
      </c>
      <c r="BP87" s="29">
        <f>IF(AND(BP$30,$O87),$C$30,"")</f>
        <v>8.4</v>
      </c>
      <c r="BQ87" s="30">
        <f>IF(AND(BQ$30,$O87),$D$30,"")</f>
        <v>6.5</v>
      </c>
      <c r="BR87" s="30" t="str">
        <f>IF(AND(BR$30,$O87),$E$30,"")</f>
        <v/>
      </c>
      <c r="BS87" s="53">
        <f>IF(AND(BS$30,$O87),$F$30,"")</f>
        <v>6.1</v>
      </c>
      <c r="BT87" s="29">
        <f>IF(AND(BT$30,$O87),$C$30,"")</f>
        <v>8.4</v>
      </c>
      <c r="BU87" s="30">
        <f>IF(AND(BU$30,$O87),$D$30,"")</f>
        <v>6.5</v>
      </c>
      <c r="BV87" s="30">
        <f>IF(AND(BV$30,$O87),$E$30,"")</f>
        <v>8.6</v>
      </c>
      <c r="BW87" s="53" t="str">
        <f>IF(AND(BW$30,$O87),$F$30,"")</f>
        <v/>
      </c>
      <c r="BX87" s="29">
        <f>IF(AND(BX$30,$O87),$C$30,"")</f>
        <v>8.4</v>
      </c>
      <c r="BY87" s="30">
        <f>IF(AND(BY$30,$O87),$D$30,"")</f>
        <v>6.5</v>
      </c>
      <c r="BZ87" s="30">
        <f>IF(AND(BZ$30,$O87),$E$30,"")</f>
        <v>8.6</v>
      </c>
      <c r="CA87" s="53">
        <f>IF(AND(CA$30,$O87),$F$30,"")</f>
        <v>6.1</v>
      </c>
      <c r="CB87" s="29" t="str">
        <f>IF(AND(CB$30,$O87),$C$30,"")</f>
        <v/>
      </c>
      <c r="CC87" s="30" t="str">
        <f>IF(AND(CC$30,$O87),$D$30,"")</f>
        <v/>
      </c>
      <c r="CD87" s="30" t="str">
        <f>IF(AND(CD$30,$O87),$E$30,"")</f>
        <v/>
      </c>
      <c r="CE87" s="53" t="str">
        <f>IF(AND(CE$30,$O87),$F$30,"")</f>
        <v/>
      </c>
    </row>
    <row r="88" spans="12:83">
      <c r="L88" s="87"/>
      <c r="M88" s="36" t="str">
        <f t="shared" si="21"/>
        <v>T</v>
      </c>
      <c r="O88" s="82">
        <f>BinAnd(N87,T)</f>
        <v>4</v>
      </c>
      <c r="P88" s="31" t="str">
        <f>IF(AND(P$30,$O88),$C$31,"")</f>
        <v/>
      </c>
      <c r="Q88" s="32" t="str">
        <f>IF(AND(Q$30,$O88),$D$31,"")</f>
        <v/>
      </c>
      <c r="R88" s="32" t="str">
        <f>IF(AND(R$30,$O88),$E$31,"")</f>
        <v/>
      </c>
      <c r="S88" s="54" t="str">
        <f>IF(AND(S$30,$O88),$F$31,"")</f>
        <v/>
      </c>
      <c r="T88" s="31" t="str">
        <f>IF(AND(T$30,$O88),$C$31,"")</f>
        <v/>
      </c>
      <c r="U88" s="32" t="str">
        <f>IF(AND(U$30,$O88),$D$31,"")</f>
        <v/>
      </c>
      <c r="V88" s="32" t="str">
        <f>IF(AND(V$30,$O88),$E$31,"")</f>
        <v/>
      </c>
      <c r="W88" s="54">
        <f>IF(AND(W$30,$O88),$F$31,"")</f>
        <v>7.4</v>
      </c>
      <c r="X88" s="31" t="str">
        <f>IF(AND(X$30,$O88),$C$31,"")</f>
        <v/>
      </c>
      <c r="Y88" s="32" t="str">
        <f>IF(AND(Y$30,$O88),$D$31,"")</f>
        <v/>
      </c>
      <c r="Z88" s="32">
        <f>IF(AND(Z$30,$O88),$E$31,"")</f>
        <v>7.7</v>
      </c>
      <c r="AA88" s="54" t="str">
        <f>IF(AND(AA$30,$O88),$F$31,"")</f>
        <v/>
      </c>
      <c r="AB88" s="31" t="str">
        <f>IF(AND(AB$30,$O88),$C$31,"")</f>
        <v/>
      </c>
      <c r="AC88" s="32" t="str">
        <f>IF(AND(AC$30,$O88),$D$31,"")</f>
        <v/>
      </c>
      <c r="AD88" s="32">
        <f>IF(AND(AD$30,$O88),$E$31,"")</f>
        <v>7.7</v>
      </c>
      <c r="AE88" s="54">
        <f>IF(AND(AE$30,$O88),$F$31,"")</f>
        <v>7.4</v>
      </c>
      <c r="AF88" s="31" t="str">
        <f>IF(AND(AF$30,$O88),$C$31,"")</f>
        <v/>
      </c>
      <c r="AG88" s="32">
        <f>IF(AND(AG$30,$O88),$D$31,"")</f>
        <v>8.4</v>
      </c>
      <c r="AH88" s="32" t="str">
        <f>IF(AND(AH$30,$O88),$E$31,"")</f>
        <v/>
      </c>
      <c r="AI88" s="54" t="str">
        <f>IF(AND(AI$30,$O88),$F$31,"")</f>
        <v/>
      </c>
      <c r="AJ88" s="31" t="str">
        <f>IF(AND(AJ$30,$O88),$C$31,"")</f>
        <v/>
      </c>
      <c r="AK88" s="32">
        <f>IF(AND(AK$30,$O88),$D$31,"")</f>
        <v>8.4</v>
      </c>
      <c r="AL88" s="32" t="str">
        <f>IF(AND(AL$30,$O88),$E$31,"")</f>
        <v/>
      </c>
      <c r="AM88" s="54">
        <f>IF(AND(AM$30,$O88),$F$31,"")</f>
        <v>7.4</v>
      </c>
      <c r="AN88" s="31" t="str">
        <f>IF(AND(AN$30,$O88),$C$31,"")</f>
        <v/>
      </c>
      <c r="AO88" s="32">
        <f>IF(AND(AO$30,$O88),$D$31,"")</f>
        <v>8.4</v>
      </c>
      <c r="AP88" s="32">
        <f>IF(AND(AP$30,$O88),$E$31,"")</f>
        <v>7.7</v>
      </c>
      <c r="AQ88" s="54" t="str">
        <f>IF(AND(AQ$30,$O88),$F$31,"")</f>
        <v/>
      </c>
      <c r="AR88" s="31" t="str">
        <f>IF(AND(AR$30,$O88),$C$31,"")</f>
        <v/>
      </c>
      <c r="AS88" s="32">
        <f>IF(AND(AS$30,$O88),$D$31,"")</f>
        <v>8.4</v>
      </c>
      <c r="AT88" s="32">
        <f>IF(AND(AT$30,$O88),$E$31,"")</f>
        <v>7.7</v>
      </c>
      <c r="AU88" s="54">
        <f>IF(AND(AU$30,$O88),$F$31,"")</f>
        <v>7.4</v>
      </c>
      <c r="AV88" s="31">
        <f>IF(AND(AV$30,$O88),$C$31,"")</f>
        <v>6.3</v>
      </c>
      <c r="AW88" s="32" t="str">
        <f>IF(AND(AW$30,$O88),$D$31,"")</f>
        <v/>
      </c>
      <c r="AX88" s="32" t="str">
        <f>IF(AND(AX$30,$O88),$E$31,"")</f>
        <v/>
      </c>
      <c r="AY88" s="54" t="str">
        <f>IF(AND(AY$30,$O88),$F$31,"")</f>
        <v/>
      </c>
      <c r="AZ88" s="31">
        <f>IF(AND(AZ$30,$O88),$C$31,"")</f>
        <v>6.3</v>
      </c>
      <c r="BA88" s="32" t="str">
        <f>IF(AND(BA$30,$O88),$D$31,"")</f>
        <v/>
      </c>
      <c r="BB88" s="32" t="str">
        <f>IF(AND(BB$30,$O88),$E$31,"")</f>
        <v/>
      </c>
      <c r="BC88" s="54">
        <f>IF(AND(BC$30,$O88),$F$31,"")</f>
        <v>7.4</v>
      </c>
      <c r="BD88" s="31">
        <f>IF(AND(BD$30,$O88),$C$31,"")</f>
        <v>6.3</v>
      </c>
      <c r="BE88" s="32" t="str">
        <f>IF(AND(BE$30,$O88),$D$31,"")</f>
        <v/>
      </c>
      <c r="BF88" s="32">
        <f>IF(AND(BF$30,$O88),$E$31,"")</f>
        <v>7.7</v>
      </c>
      <c r="BG88" s="54" t="str">
        <f>IF(AND(BG$30,$O88),$F$31,"")</f>
        <v/>
      </c>
      <c r="BH88" s="31">
        <f>IF(AND(BH$30,$O88),$C$31,"")</f>
        <v>6.3</v>
      </c>
      <c r="BI88" s="32" t="str">
        <f>IF(AND(BI$30,$O88),$D$31,"")</f>
        <v/>
      </c>
      <c r="BJ88" s="32">
        <f>IF(AND(BJ$30,$O88),$E$31,"")</f>
        <v>7.7</v>
      </c>
      <c r="BK88" s="54">
        <f>IF(AND(BK$30,$O88),$F$31,"")</f>
        <v>7.4</v>
      </c>
      <c r="BL88" s="31">
        <f>IF(AND(BL$30,$O88),$C$31,"")</f>
        <v>6.3</v>
      </c>
      <c r="BM88" s="32">
        <f>IF(AND(BM$30,$O88),$D$31,"")</f>
        <v>8.4</v>
      </c>
      <c r="BN88" s="32" t="str">
        <f>IF(AND(BN$30,$O88),$E$31,"")</f>
        <v/>
      </c>
      <c r="BO88" s="54" t="str">
        <f>IF(AND(BO$30,$O88),$F$31,"")</f>
        <v/>
      </c>
      <c r="BP88" s="31">
        <f>IF(AND(BP$30,$O88),$C$31,"")</f>
        <v>6.3</v>
      </c>
      <c r="BQ88" s="32">
        <f>IF(AND(BQ$30,$O88),$D$31,"")</f>
        <v>8.4</v>
      </c>
      <c r="BR88" s="32" t="str">
        <f>IF(AND(BR$30,$O88),$E$31,"")</f>
        <v/>
      </c>
      <c r="BS88" s="54">
        <f>IF(AND(BS$30,$O88),$F$31,"")</f>
        <v>7.4</v>
      </c>
      <c r="BT88" s="31">
        <f>IF(AND(BT$30,$O88),$C$31,"")</f>
        <v>6.3</v>
      </c>
      <c r="BU88" s="32">
        <f>IF(AND(BU$30,$O88),$D$31,"")</f>
        <v>8.4</v>
      </c>
      <c r="BV88" s="32">
        <f>IF(AND(BV$30,$O88),$E$31,"")</f>
        <v>7.7</v>
      </c>
      <c r="BW88" s="54" t="str">
        <f>IF(AND(BW$30,$O88),$F$31,"")</f>
        <v/>
      </c>
      <c r="BX88" s="31">
        <f>IF(AND(BX$30,$O88),$C$31,"")</f>
        <v>6.3</v>
      </c>
      <c r="BY88" s="32">
        <f>IF(AND(BY$30,$O88),$D$31,"")</f>
        <v>8.4</v>
      </c>
      <c r="BZ88" s="32">
        <f>IF(AND(BZ$30,$O88),$E$31,"")</f>
        <v>7.7</v>
      </c>
      <c r="CA88" s="54">
        <f>IF(AND(CA$30,$O88),$F$31,"")</f>
        <v>7.4</v>
      </c>
      <c r="CB88" s="31" t="str">
        <f>IF(AND(CB$30,$O88),$C$31,"")</f>
        <v/>
      </c>
      <c r="CC88" s="32" t="str">
        <f>IF(AND(CC$30,$O88),$D$31,"")</f>
        <v/>
      </c>
      <c r="CD88" s="32" t="str">
        <f>IF(AND(CD$30,$O88),$E$31,"")</f>
        <v/>
      </c>
      <c r="CE88" s="54" t="str">
        <f>IF(AND(CE$30,$O88),$F$31,"")</f>
        <v/>
      </c>
    </row>
    <row r="89" spans="12:83">
      <c r="L89" s="87"/>
      <c r="M89" s="36" t="str">
        <f t="shared" si="21"/>
        <v>C</v>
      </c>
      <c r="O89" s="82">
        <f>BinAnd(N87,Ce)</f>
        <v>2</v>
      </c>
      <c r="P89" s="31" t="str">
        <f>IF(AND(P$30,$O89),$C$32,"")</f>
        <v/>
      </c>
      <c r="Q89" s="32" t="str">
        <f>IF(AND(Q$30,$O89),$D$32,"")</f>
        <v/>
      </c>
      <c r="R89" s="32" t="str">
        <f>IF(AND(R$30,$O89),$E$32,"")</f>
        <v/>
      </c>
      <c r="S89" s="54" t="str">
        <f>IF(AND(S$30,$O89),$F$32,"")</f>
        <v/>
      </c>
      <c r="T89" s="31" t="str">
        <f>IF(AND(T$30,$O89),$C$32,"")</f>
        <v/>
      </c>
      <c r="U89" s="32" t="str">
        <f>IF(AND(U$30,$O89),$D$32,"")</f>
        <v/>
      </c>
      <c r="V89" s="32" t="str">
        <f>IF(AND(V$30,$O89),$E$32,"")</f>
        <v/>
      </c>
      <c r="W89" s="54">
        <f>IF(AND(W$30,$O89),$F$32,"")</f>
        <v>10.1</v>
      </c>
      <c r="X89" s="31" t="str">
        <f>IF(AND(X$30,$O89),$C$32,"")</f>
        <v/>
      </c>
      <c r="Y89" s="32" t="str">
        <f>IF(AND(Y$30,$O89),$D$32,"")</f>
        <v/>
      </c>
      <c r="Z89" s="32">
        <f>IF(AND(Z$30,$O89),$E$32,"")</f>
        <v>6.7</v>
      </c>
      <c r="AA89" s="54" t="str">
        <f>IF(AND(AA$30,$O89),$F$32,"")</f>
        <v/>
      </c>
      <c r="AB89" s="31" t="str">
        <f>IF(AND(AB$30,$O89),$C$32,"")</f>
        <v/>
      </c>
      <c r="AC89" s="32" t="str">
        <f>IF(AND(AC$30,$O89),$D$32,"")</f>
        <v/>
      </c>
      <c r="AD89" s="32">
        <f>IF(AND(AD$30,$O89),$E$32,"")</f>
        <v>6.7</v>
      </c>
      <c r="AE89" s="54">
        <f>IF(AND(AE$30,$O89),$F$32,"")</f>
        <v>10.1</v>
      </c>
      <c r="AF89" s="31" t="str">
        <f>IF(AND(AF$30,$O89),$C$32,"")</f>
        <v/>
      </c>
      <c r="AG89" s="32">
        <f>IF(AND(AG$30,$O89),$D$32,"")</f>
        <v>6.1</v>
      </c>
      <c r="AH89" s="32" t="str">
        <f>IF(AND(AH$30,$O89),$E$32,"")</f>
        <v/>
      </c>
      <c r="AI89" s="54" t="str">
        <f>IF(AND(AI$30,$O89),$F$32,"")</f>
        <v/>
      </c>
      <c r="AJ89" s="31" t="str">
        <f>IF(AND(AJ$30,$O89),$C$32,"")</f>
        <v/>
      </c>
      <c r="AK89" s="32">
        <f>IF(AND(AK$30,$O89),$D$32,"")</f>
        <v>6.1</v>
      </c>
      <c r="AL89" s="32" t="str">
        <f>IF(AND(AL$30,$O89),$E$32,"")</f>
        <v/>
      </c>
      <c r="AM89" s="54">
        <f>IF(AND(AM$30,$O89),$F$32,"")</f>
        <v>10.1</v>
      </c>
      <c r="AN89" s="31" t="str">
        <f>IF(AND(AN$30,$O89),$C$32,"")</f>
        <v/>
      </c>
      <c r="AO89" s="32">
        <f>IF(AND(AO$30,$O89),$D$32,"")</f>
        <v>6.1</v>
      </c>
      <c r="AP89" s="32">
        <f>IF(AND(AP$30,$O89),$E$32,"")</f>
        <v>6.7</v>
      </c>
      <c r="AQ89" s="54" t="str">
        <f>IF(AND(AQ$30,$O89),$F$32,"")</f>
        <v/>
      </c>
      <c r="AR89" s="31" t="str">
        <f>IF(AND(AR$30,$O89),$C$32,"")</f>
        <v/>
      </c>
      <c r="AS89" s="32">
        <f>IF(AND(AS$30,$O89),$D$32,"")</f>
        <v>6.1</v>
      </c>
      <c r="AT89" s="32">
        <f>IF(AND(AT$30,$O89),$E$32,"")</f>
        <v>6.7</v>
      </c>
      <c r="AU89" s="54">
        <f>IF(AND(AU$30,$O89),$F$32,"")</f>
        <v>10.1</v>
      </c>
      <c r="AV89" s="31">
        <f>IF(AND(AV$30,$O89),$C$32,"")</f>
        <v>7.4</v>
      </c>
      <c r="AW89" s="32" t="str">
        <f>IF(AND(AW$30,$O89),$D$32,"")</f>
        <v/>
      </c>
      <c r="AX89" s="32" t="str">
        <f>IF(AND(AX$30,$O89),$E$32,"")</f>
        <v/>
      </c>
      <c r="AY89" s="54" t="str">
        <f>IF(AND(AY$30,$O89),$F$32,"")</f>
        <v/>
      </c>
      <c r="AZ89" s="31">
        <f>IF(AND(AZ$30,$O89),$C$32,"")</f>
        <v>7.4</v>
      </c>
      <c r="BA89" s="32" t="str">
        <f>IF(AND(BA$30,$O89),$D$32,"")</f>
        <v/>
      </c>
      <c r="BB89" s="32" t="str">
        <f>IF(AND(BB$30,$O89),$E$32,"")</f>
        <v/>
      </c>
      <c r="BC89" s="54">
        <f>IF(AND(BC$30,$O89),$F$32,"")</f>
        <v>10.1</v>
      </c>
      <c r="BD89" s="31">
        <f>IF(AND(BD$30,$O89),$C$32,"")</f>
        <v>7.4</v>
      </c>
      <c r="BE89" s="32" t="str">
        <f>IF(AND(BE$30,$O89),$D$32,"")</f>
        <v/>
      </c>
      <c r="BF89" s="32">
        <f>IF(AND(BF$30,$O89),$E$32,"")</f>
        <v>6.7</v>
      </c>
      <c r="BG89" s="54" t="str">
        <f>IF(AND(BG$30,$O89),$F$32,"")</f>
        <v/>
      </c>
      <c r="BH89" s="31">
        <f>IF(AND(BH$30,$O89),$C$32,"")</f>
        <v>7.4</v>
      </c>
      <c r="BI89" s="32" t="str">
        <f>IF(AND(BI$30,$O89),$D$32,"")</f>
        <v/>
      </c>
      <c r="BJ89" s="32">
        <f>IF(AND(BJ$30,$O89),$E$32,"")</f>
        <v>6.7</v>
      </c>
      <c r="BK89" s="54">
        <f>IF(AND(BK$30,$O89),$F$32,"")</f>
        <v>10.1</v>
      </c>
      <c r="BL89" s="31">
        <f>IF(AND(BL$30,$O89),$C$32,"")</f>
        <v>7.4</v>
      </c>
      <c r="BM89" s="32">
        <f>IF(AND(BM$30,$O89),$D$32,"")</f>
        <v>6.1</v>
      </c>
      <c r="BN89" s="32" t="str">
        <f>IF(AND(BN$30,$O89),$E$32,"")</f>
        <v/>
      </c>
      <c r="BO89" s="54" t="str">
        <f>IF(AND(BO$30,$O89),$F$32,"")</f>
        <v/>
      </c>
      <c r="BP89" s="31">
        <f>IF(AND(BP$30,$O89),$C$32,"")</f>
        <v>7.4</v>
      </c>
      <c r="BQ89" s="32">
        <f>IF(AND(BQ$30,$O89),$D$32,"")</f>
        <v>6.1</v>
      </c>
      <c r="BR89" s="32" t="str">
        <f>IF(AND(BR$30,$O89),$E$32,"")</f>
        <v/>
      </c>
      <c r="BS89" s="54">
        <f>IF(AND(BS$30,$O89),$F$32,"")</f>
        <v>10.1</v>
      </c>
      <c r="BT89" s="31">
        <f>IF(AND(BT$30,$O89),$C$32,"")</f>
        <v>7.4</v>
      </c>
      <c r="BU89" s="32">
        <f>IF(AND(BU$30,$O89),$D$32,"")</f>
        <v>6.1</v>
      </c>
      <c r="BV89" s="32">
        <f>IF(AND(BV$30,$O89),$E$32,"")</f>
        <v>6.7</v>
      </c>
      <c r="BW89" s="54" t="str">
        <f>IF(AND(BW$30,$O89),$F$32,"")</f>
        <v/>
      </c>
      <c r="BX89" s="31">
        <f>IF(AND(BX$30,$O89),$C$32,"")</f>
        <v>7.4</v>
      </c>
      <c r="BY89" s="32">
        <f>IF(AND(BY$30,$O89),$D$32,"")</f>
        <v>6.1</v>
      </c>
      <c r="BZ89" s="32">
        <f>IF(AND(BZ$30,$O89),$E$32,"")</f>
        <v>6.7</v>
      </c>
      <c r="CA89" s="54">
        <f>IF(AND(CA$30,$O89),$F$32,"")</f>
        <v>10.1</v>
      </c>
      <c r="CB89" s="31" t="str">
        <f>IF(AND(CB$30,$O89),$C$32,"")</f>
        <v/>
      </c>
      <c r="CC89" s="32" t="str">
        <f>IF(AND(CC$30,$O89),$D$32,"")</f>
        <v/>
      </c>
      <c r="CD89" s="32" t="str">
        <f>IF(AND(CD$30,$O89),$E$32,"")</f>
        <v/>
      </c>
      <c r="CE89" s="54" t="str">
        <f>IF(AND(CE$30,$O89),$F$32,"")</f>
        <v/>
      </c>
    </row>
    <row r="90" spans="12:83" ht="15.75" thickBot="1">
      <c r="L90" s="86"/>
      <c r="M90" s="37" t="str">
        <f t="shared" si="21"/>
        <v>-</v>
      </c>
      <c r="O90" s="43">
        <f>BinAnd(N87,G)</f>
        <v>0</v>
      </c>
      <c r="P90" s="55" t="str">
        <f>IF(AND(P$30,$O90),$C$33,"")</f>
        <v/>
      </c>
      <c r="Q90" s="56" t="str">
        <f>IF(AND(Q$30,$O90),$D$33,"")</f>
        <v/>
      </c>
      <c r="R90" s="56" t="str">
        <f>IF(AND(R$30,$O90),$E$33,"")</f>
        <v/>
      </c>
      <c r="S90" s="57" t="str">
        <f>IF(AND(S$30,$O90),$F$33,"")</f>
        <v/>
      </c>
      <c r="T90" s="55" t="str">
        <f>IF(AND(T$30,$O90),$C$33,"")</f>
        <v/>
      </c>
      <c r="U90" s="56" t="str">
        <f>IF(AND(U$30,$O90),$D$33,"")</f>
        <v/>
      </c>
      <c r="V90" s="56" t="str">
        <f>IF(AND(V$30,$O90),$E$33,"")</f>
        <v/>
      </c>
      <c r="W90" s="57" t="str">
        <f>IF(AND(W$30,$O90),$F$33,"")</f>
        <v/>
      </c>
      <c r="X90" s="55" t="str">
        <f>IF(AND(X$30,$O90),$C$33,"")</f>
        <v/>
      </c>
      <c r="Y90" s="56" t="str">
        <f>IF(AND(Y$30,$O90),$D$33,"")</f>
        <v/>
      </c>
      <c r="Z90" s="56" t="str">
        <f>IF(AND(Z$30,$O90),$E$33,"")</f>
        <v/>
      </c>
      <c r="AA90" s="57" t="str">
        <f>IF(AND(AA$30,$O90),$F$33,"")</f>
        <v/>
      </c>
      <c r="AB90" s="55" t="str">
        <f>IF(AND(AB$30,$O90),$C$33,"")</f>
        <v/>
      </c>
      <c r="AC90" s="56" t="str">
        <f>IF(AND(AC$30,$O90),$D$33,"")</f>
        <v/>
      </c>
      <c r="AD90" s="56" t="str">
        <f>IF(AND(AD$30,$O90),$E$33,"")</f>
        <v/>
      </c>
      <c r="AE90" s="57" t="str">
        <f>IF(AND(AE$30,$O90),$F$33,"")</f>
        <v/>
      </c>
      <c r="AF90" s="55" t="str">
        <f>IF(AND(AF$30,$O90),$C$33,"")</f>
        <v/>
      </c>
      <c r="AG90" s="56" t="str">
        <f>IF(AND(AG$30,$O90),$D$33,"")</f>
        <v/>
      </c>
      <c r="AH90" s="56" t="str">
        <f>IF(AND(AH$30,$O90),$E$33,"")</f>
        <v/>
      </c>
      <c r="AI90" s="57" t="str">
        <f>IF(AND(AI$30,$O90),$F$33,"")</f>
        <v/>
      </c>
      <c r="AJ90" s="55" t="str">
        <f>IF(AND(AJ$30,$O90),$C$33,"")</f>
        <v/>
      </c>
      <c r="AK90" s="56" t="str">
        <f>IF(AND(AK$30,$O90),$D$33,"")</f>
        <v/>
      </c>
      <c r="AL90" s="56" t="str">
        <f>IF(AND(AL$30,$O90),$E$33,"")</f>
        <v/>
      </c>
      <c r="AM90" s="57" t="str">
        <f>IF(AND(AM$30,$O90),$F$33,"")</f>
        <v/>
      </c>
      <c r="AN90" s="55" t="str">
        <f>IF(AND(AN$30,$O90),$C$33,"")</f>
        <v/>
      </c>
      <c r="AO90" s="56" t="str">
        <f>IF(AND(AO$30,$O90),$D$33,"")</f>
        <v/>
      </c>
      <c r="AP90" s="56" t="str">
        <f>IF(AND(AP$30,$O90),$E$33,"")</f>
        <v/>
      </c>
      <c r="AQ90" s="57" t="str">
        <f>IF(AND(AQ$30,$O90),$F$33,"")</f>
        <v/>
      </c>
      <c r="AR90" s="55" t="str">
        <f>IF(AND(AR$30,$O90),$C$33,"")</f>
        <v/>
      </c>
      <c r="AS90" s="56" t="str">
        <f>IF(AND(AS$30,$O90),$D$33,"")</f>
        <v/>
      </c>
      <c r="AT90" s="56" t="str">
        <f>IF(AND(AT$30,$O90),$E$33,"")</f>
        <v/>
      </c>
      <c r="AU90" s="57" t="str">
        <f>IF(AND(AU$30,$O90),$F$33,"")</f>
        <v/>
      </c>
      <c r="AV90" s="55" t="str">
        <f>IF(AND(AV$30,$O90),$C$33,"")</f>
        <v/>
      </c>
      <c r="AW90" s="56" t="str">
        <f>IF(AND(AW$30,$O90),$D$33,"")</f>
        <v/>
      </c>
      <c r="AX90" s="56" t="str">
        <f>IF(AND(AX$30,$O90),$E$33,"")</f>
        <v/>
      </c>
      <c r="AY90" s="57" t="str">
        <f>IF(AND(AY$30,$O90),$F$33,"")</f>
        <v/>
      </c>
      <c r="AZ90" s="55" t="str">
        <f>IF(AND(AZ$30,$O90),$C$33,"")</f>
        <v/>
      </c>
      <c r="BA90" s="56" t="str">
        <f>IF(AND(BA$30,$O90),$D$33,"")</f>
        <v/>
      </c>
      <c r="BB90" s="56" t="str">
        <f>IF(AND(BB$30,$O90),$E$33,"")</f>
        <v/>
      </c>
      <c r="BC90" s="57" t="str">
        <f>IF(AND(BC$30,$O90),$F$33,"")</f>
        <v/>
      </c>
      <c r="BD90" s="55" t="str">
        <f>IF(AND(BD$30,$O90),$C$33,"")</f>
        <v/>
      </c>
      <c r="BE90" s="56" t="str">
        <f>IF(AND(BE$30,$O90),$D$33,"")</f>
        <v/>
      </c>
      <c r="BF90" s="56" t="str">
        <f>IF(AND(BF$30,$O90),$E$33,"")</f>
        <v/>
      </c>
      <c r="BG90" s="57" t="str">
        <f>IF(AND(BG$30,$O90),$F$33,"")</f>
        <v/>
      </c>
      <c r="BH90" s="55" t="str">
        <f>IF(AND(BH$30,$O90),$C$33,"")</f>
        <v/>
      </c>
      <c r="BI90" s="56" t="str">
        <f>IF(AND(BI$30,$O90),$D$33,"")</f>
        <v/>
      </c>
      <c r="BJ90" s="56" t="str">
        <f>IF(AND(BJ$30,$O90),$E$33,"")</f>
        <v/>
      </c>
      <c r="BK90" s="57" t="str">
        <f>IF(AND(BK$30,$O90),$F$33,"")</f>
        <v/>
      </c>
      <c r="BL90" s="55" t="str">
        <f>IF(AND(BL$30,$O90),$C$33,"")</f>
        <v/>
      </c>
      <c r="BM90" s="56" t="str">
        <f>IF(AND(BM$30,$O90),$D$33,"")</f>
        <v/>
      </c>
      <c r="BN90" s="56" t="str">
        <f>IF(AND(BN$30,$O90),$E$33,"")</f>
        <v/>
      </c>
      <c r="BO90" s="57" t="str">
        <f>IF(AND(BO$30,$O90),$F$33,"")</f>
        <v/>
      </c>
      <c r="BP90" s="55" t="str">
        <f>IF(AND(BP$30,$O90),$C$33,"")</f>
        <v/>
      </c>
      <c r="BQ90" s="56" t="str">
        <f>IF(AND(BQ$30,$O90),$D$33,"")</f>
        <v/>
      </c>
      <c r="BR90" s="56" t="str">
        <f>IF(AND(BR$30,$O90),$E$33,"")</f>
        <v/>
      </c>
      <c r="BS90" s="57" t="str">
        <f>IF(AND(BS$30,$O90),$F$33,"")</f>
        <v/>
      </c>
      <c r="BT90" s="55" t="str">
        <f>IF(AND(BT$30,$O90),$C$33,"")</f>
        <v/>
      </c>
      <c r="BU90" s="56" t="str">
        <f>IF(AND(BU$30,$O90),$D$33,"")</f>
        <v/>
      </c>
      <c r="BV90" s="56" t="str">
        <f>IF(AND(BV$30,$O90),$E$33,"")</f>
        <v/>
      </c>
      <c r="BW90" s="57" t="str">
        <f>IF(AND(BW$30,$O90),$F$33,"")</f>
        <v/>
      </c>
      <c r="BX90" s="55" t="str">
        <f>IF(AND(BX$30,$O90),$C$33,"")</f>
        <v/>
      </c>
      <c r="BY90" s="56" t="str">
        <f>IF(AND(BY$30,$O90),$D$33,"")</f>
        <v/>
      </c>
      <c r="BZ90" s="56" t="str">
        <f>IF(AND(BZ$30,$O90),$E$33,"")</f>
        <v/>
      </c>
      <c r="CA90" s="57" t="str">
        <f>IF(AND(CA$30,$O90),$F$33,"")</f>
        <v/>
      </c>
      <c r="CB90" s="55" t="str">
        <f>IF(AND(CB$30,$O90),$C$33,"")</f>
        <v/>
      </c>
      <c r="CC90" s="56" t="str">
        <f>IF(AND(CC$30,$O90),$D$33,"")</f>
        <v/>
      </c>
      <c r="CD90" s="56" t="str">
        <f>IF(AND(CD$30,$O90),$E$33,"")</f>
        <v/>
      </c>
      <c r="CE90" s="57" t="str">
        <f>IF(AND(CE$30,$O90),$F$33,"")</f>
        <v/>
      </c>
    </row>
    <row r="91" spans="12:83">
      <c r="L91" s="83" t="str">
        <f>MID(CodDegElegir,N91+1,1)</f>
        <v>N</v>
      </c>
      <c r="M91" s="85" t="str">
        <f t="shared" si="21"/>
        <v>A</v>
      </c>
      <c r="N91">
        <v>15</v>
      </c>
      <c r="O91" s="81">
        <f>BinAnd(N91,A)</f>
        <v>8</v>
      </c>
      <c r="P91" s="29" t="str">
        <f>IF(AND(P$30,$O91),$C$30,"")</f>
        <v/>
      </c>
      <c r="Q91" s="30" t="str">
        <f>IF(AND(Q$30,$O91),$D$30,"")</f>
        <v/>
      </c>
      <c r="R91" s="30" t="str">
        <f>IF(AND(R$30,$O91),$E$30,"")</f>
        <v/>
      </c>
      <c r="S91" s="53" t="str">
        <f>IF(AND(S$30,$O91),$F$30,"")</f>
        <v/>
      </c>
      <c r="T91" s="29" t="str">
        <f>IF(AND(T$30,$O91),$C$30,"")</f>
        <v/>
      </c>
      <c r="U91" s="30" t="str">
        <f>IF(AND(U$30,$O91),$D$30,"")</f>
        <v/>
      </c>
      <c r="V91" s="30" t="str">
        <f>IF(AND(V$30,$O91),$E$30,"")</f>
        <v/>
      </c>
      <c r="W91" s="53">
        <f>IF(AND(W$30,$O91),$F$30,"")</f>
        <v>6.1</v>
      </c>
      <c r="X91" s="29" t="str">
        <f>IF(AND(X$30,$O91),$C$30,"")</f>
        <v/>
      </c>
      <c r="Y91" s="30" t="str">
        <f>IF(AND(Y$30,$O91),$D$30,"")</f>
        <v/>
      </c>
      <c r="Z91" s="30">
        <f>IF(AND(Z$30,$O91),$E$30,"")</f>
        <v>8.6</v>
      </c>
      <c r="AA91" s="53" t="str">
        <f>IF(AND(AA$30,$O91),$F$30,"")</f>
        <v/>
      </c>
      <c r="AB91" s="29" t="str">
        <f>IF(AND(AB$30,$O91),$C$30,"")</f>
        <v/>
      </c>
      <c r="AC91" s="30" t="str">
        <f>IF(AND(AC$30,$O91),$D$30,"")</f>
        <v/>
      </c>
      <c r="AD91" s="30">
        <f>IF(AND(AD$30,$O91),$E$30,"")</f>
        <v>8.6</v>
      </c>
      <c r="AE91" s="53">
        <f>IF(AND(AE$30,$O91),$F$30,"")</f>
        <v>6.1</v>
      </c>
      <c r="AF91" s="29" t="str">
        <f>IF(AND(AF$30,$O91),$C$30,"")</f>
        <v/>
      </c>
      <c r="AG91" s="30">
        <f>IF(AND(AG$30,$O91),$D$30,"")</f>
        <v>6.5</v>
      </c>
      <c r="AH91" s="30" t="str">
        <f>IF(AND(AH$30,$O91),$E$30,"")</f>
        <v/>
      </c>
      <c r="AI91" s="53" t="str">
        <f>IF(AND(AI$30,$O91),$F$30,"")</f>
        <v/>
      </c>
      <c r="AJ91" s="29" t="str">
        <f>IF(AND(AJ$30,$O91),$C$30,"")</f>
        <v/>
      </c>
      <c r="AK91" s="30">
        <f>IF(AND(AK$30,$O91),$D$30,"")</f>
        <v>6.5</v>
      </c>
      <c r="AL91" s="30" t="str">
        <f>IF(AND(AL$30,$O91),$E$30,"")</f>
        <v/>
      </c>
      <c r="AM91" s="53">
        <f>IF(AND(AM$30,$O91),$F$30,"")</f>
        <v>6.1</v>
      </c>
      <c r="AN91" s="29" t="str">
        <f>IF(AND(AN$30,$O91),$C$30,"")</f>
        <v/>
      </c>
      <c r="AO91" s="30">
        <f>IF(AND(AO$30,$O91),$D$30,"")</f>
        <v>6.5</v>
      </c>
      <c r="AP91" s="30">
        <f>IF(AND(AP$30,$O91),$E$30,"")</f>
        <v>8.6</v>
      </c>
      <c r="AQ91" s="53" t="str">
        <f>IF(AND(AQ$30,$O91),$F$30,"")</f>
        <v/>
      </c>
      <c r="AR91" s="29" t="str">
        <f>IF(AND(AR$30,$O91),$C$30,"")</f>
        <v/>
      </c>
      <c r="AS91" s="30">
        <f>IF(AND(AS$30,$O91),$D$30,"")</f>
        <v>6.5</v>
      </c>
      <c r="AT91" s="30">
        <f>IF(AND(AT$30,$O91),$E$30,"")</f>
        <v>8.6</v>
      </c>
      <c r="AU91" s="53">
        <f>IF(AND(AU$30,$O91),$F$30,"")</f>
        <v>6.1</v>
      </c>
      <c r="AV91" s="29">
        <f>IF(AND(AV$30,$O91),$C$30,"")</f>
        <v>8.4</v>
      </c>
      <c r="AW91" s="30" t="str">
        <f>IF(AND(AW$30,$O91),$D$30,"")</f>
        <v/>
      </c>
      <c r="AX91" s="30" t="str">
        <f>IF(AND(AX$30,$O91),$E$30,"")</f>
        <v/>
      </c>
      <c r="AY91" s="53" t="str">
        <f>IF(AND(AY$30,$O91),$F$30,"")</f>
        <v/>
      </c>
      <c r="AZ91" s="29">
        <f>IF(AND(AZ$30,$O91),$C$30,"")</f>
        <v>8.4</v>
      </c>
      <c r="BA91" s="30" t="str">
        <f>IF(AND(BA$30,$O91),$D$30,"")</f>
        <v/>
      </c>
      <c r="BB91" s="30" t="str">
        <f>IF(AND(BB$30,$O91),$E$30,"")</f>
        <v/>
      </c>
      <c r="BC91" s="53">
        <f>IF(AND(BC$30,$O91),$F$30,"")</f>
        <v>6.1</v>
      </c>
      <c r="BD91" s="29">
        <f>IF(AND(BD$30,$O91),$C$30,"")</f>
        <v>8.4</v>
      </c>
      <c r="BE91" s="30" t="str">
        <f>IF(AND(BE$30,$O91),$D$30,"")</f>
        <v/>
      </c>
      <c r="BF91" s="30">
        <f>IF(AND(BF$30,$O91),$E$30,"")</f>
        <v>8.6</v>
      </c>
      <c r="BG91" s="53" t="str">
        <f>IF(AND(BG$30,$O91),$F$30,"")</f>
        <v/>
      </c>
      <c r="BH91" s="29">
        <f>IF(AND(BH$30,$O91),$C$30,"")</f>
        <v>8.4</v>
      </c>
      <c r="BI91" s="30" t="str">
        <f>IF(AND(BI$30,$O91),$D$30,"")</f>
        <v/>
      </c>
      <c r="BJ91" s="30">
        <f>IF(AND(BJ$30,$O91),$E$30,"")</f>
        <v>8.6</v>
      </c>
      <c r="BK91" s="53">
        <f>IF(AND(BK$30,$O91),$F$30,"")</f>
        <v>6.1</v>
      </c>
      <c r="BL91" s="29">
        <f>IF(AND(BL$30,$O91),$C$30,"")</f>
        <v>8.4</v>
      </c>
      <c r="BM91" s="30">
        <f>IF(AND(BM$30,$O91),$D$30,"")</f>
        <v>6.5</v>
      </c>
      <c r="BN91" s="30" t="str">
        <f>IF(AND(BN$30,$O91),$E$30,"")</f>
        <v/>
      </c>
      <c r="BO91" s="53" t="str">
        <f>IF(AND(BO$30,$O91),$F$30,"")</f>
        <v/>
      </c>
      <c r="BP91" s="29">
        <f>IF(AND(BP$30,$O91),$C$30,"")</f>
        <v>8.4</v>
      </c>
      <c r="BQ91" s="30">
        <f>IF(AND(BQ$30,$O91),$D$30,"")</f>
        <v>6.5</v>
      </c>
      <c r="BR91" s="30" t="str">
        <f>IF(AND(BR$30,$O91),$E$30,"")</f>
        <v/>
      </c>
      <c r="BS91" s="53">
        <f>IF(AND(BS$30,$O91),$F$30,"")</f>
        <v>6.1</v>
      </c>
      <c r="BT91" s="29">
        <f>IF(AND(BT$30,$O91),$C$30,"")</f>
        <v>8.4</v>
      </c>
      <c r="BU91" s="30">
        <f>IF(AND(BU$30,$O91),$D$30,"")</f>
        <v>6.5</v>
      </c>
      <c r="BV91" s="30">
        <f>IF(AND(BV$30,$O91),$E$30,"")</f>
        <v>8.6</v>
      </c>
      <c r="BW91" s="53" t="str">
        <f>IF(AND(BW$30,$O91),$F$30,"")</f>
        <v/>
      </c>
      <c r="BX91" s="29">
        <f>IF(AND(BX$30,$O91),$C$30,"")</f>
        <v>8.4</v>
      </c>
      <c r="BY91" s="30">
        <f>IF(AND(BY$30,$O91),$D$30,"")</f>
        <v>6.5</v>
      </c>
      <c r="BZ91" s="30">
        <f>IF(AND(BZ$30,$O91),$E$30,"")</f>
        <v>8.6</v>
      </c>
      <c r="CA91" s="53">
        <f>IF(AND(CA$30,$O91),$F$30,"")</f>
        <v>6.1</v>
      </c>
      <c r="CB91" s="29" t="str">
        <f>IF(AND(CB$30,$O91),$C$30,"")</f>
        <v/>
      </c>
      <c r="CC91" s="30" t="str">
        <f>IF(AND(CC$30,$O91),$D$30,"")</f>
        <v/>
      </c>
      <c r="CD91" s="30" t="str">
        <f>IF(AND(CD$30,$O91),$E$30,"")</f>
        <v/>
      </c>
      <c r="CE91" s="53" t="str">
        <f>IF(AND(CE$30,$O91),$F$30,"")</f>
        <v/>
      </c>
    </row>
    <row r="92" spans="12:83">
      <c r="L92" s="87"/>
      <c r="M92" s="36" t="str">
        <f t="shared" si="21"/>
        <v>T</v>
      </c>
      <c r="O92" s="82">
        <f>BinAnd(N91,T)</f>
        <v>4</v>
      </c>
      <c r="P92" s="31" t="str">
        <f>IF(AND(P$30,$O92),$C$31,"")</f>
        <v/>
      </c>
      <c r="Q92" s="32" t="str">
        <f>IF(AND(Q$30,$O92),$D$31,"")</f>
        <v/>
      </c>
      <c r="R92" s="32" t="str">
        <f>IF(AND(R$30,$O92),$E$31,"")</f>
        <v/>
      </c>
      <c r="S92" s="54" t="str">
        <f>IF(AND(S$30,$O92),$F$31,"")</f>
        <v/>
      </c>
      <c r="T92" s="31" t="str">
        <f>IF(AND(T$30,$O92),$C$31,"")</f>
        <v/>
      </c>
      <c r="U92" s="32" t="str">
        <f>IF(AND(U$30,$O92),$D$31,"")</f>
        <v/>
      </c>
      <c r="V92" s="32" t="str">
        <f>IF(AND(V$30,$O92),$E$31,"")</f>
        <v/>
      </c>
      <c r="W92" s="54">
        <f>IF(AND(W$30,$O92),$F$31,"")</f>
        <v>7.4</v>
      </c>
      <c r="X92" s="31" t="str">
        <f>IF(AND(X$30,$O92),$C$31,"")</f>
        <v/>
      </c>
      <c r="Y92" s="32" t="str">
        <f>IF(AND(Y$30,$O92),$D$31,"")</f>
        <v/>
      </c>
      <c r="Z92" s="32">
        <f>IF(AND(Z$30,$O92),$E$31,"")</f>
        <v>7.7</v>
      </c>
      <c r="AA92" s="54" t="str">
        <f>IF(AND(AA$30,$O92),$F$31,"")</f>
        <v/>
      </c>
      <c r="AB92" s="31" t="str">
        <f>IF(AND(AB$30,$O92),$C$31,"")</f>
        <v/>
      </c>
      <c r="AC92" s="32" t="str">
        <f>IF(AND(AC$30,$O92),$D$31,"")</f>
        <v/>
      </c>
      <c r="AD92" s="32">
        <f>IF(AND(AD$30,$O92),$E$31,"")</f>
        <v>7.7</v>
      </c>
      <c r="AE92" s="54">
        <f>IF(AND(AE$30,$O92),$F$31,"")</f>
        <v>7.4</v>
      </c>
      <c r="AF92" s="31" t="str">
        <f>IF(AND(AF$30,$O92),$C$31,"")</f>
        <v/>
      </c>
      <c r="AG92" s="32">
        <f>IF(AND(AG$30,$O92),$D$31,"")</f>
        <v>8.4</v>
      </c>
      <c r="AH92" s="32" t="str">
        <f>IF(AND(AH$30,$O92),$E$31,"")</f>
        <v/>
      </c>
      <c r="AI92" s="54" t="str">
        <f>IF(AND(AI$30,$O92),$F$31,"")</f>
        <v/>
      </c>
      <c r="AJ92" s="31" t="str">
        <f>IF(AND(AJ$30,$O92),$C$31,"")</f>
        <v/>
      </c>
      <c r="AK92" s="32">
        <f>IF(AND(AK$30,$O92),$D$31,"")</f>
        <v>8.4</v>
      </c>
      <c r="AL92" s="32" t="str">
        <f>IF(AND(AL$30,$O92),$E$31,"")</f>
        <v/>
      </c>
      <c r="AM92" s="54">
        <f>IF(AND(AM$30,$O92),$F$31,"")</f>
        <v>7.4</v>
      </c>
      <c r="AN92" s="31" t="str">
        <f>IF(AND(AN$30,$O92),$C$31,"")</f>
        <v/>
      </c>
      <c r="AO92" s="32">
        <f>IF(AND(AO$30,$O92),$D$31,"")</f>
        <v>8.4</v>
      </c>
      <c r="AP92" s="32">
        <f>IF(AND(AP$30,$O92),$E$31,"")</f>
        <v>7.7</v>
      </c>
      <c r="AQ92" s="54" t="str">
        <f>IF(AND(AQ$30,$O92),$F$31,"")</f>
        <v/>
      </c>
      <c r="AR92" s="31" t="str">
        <f>IF(AND(AR$30,$O92),$C$31,"")</f>
        <v/>
      </c>
      <c r="AS92" s="32">
        <f>IF(AND(AS$30,$O92),$D$31,"")</f>
        <v>8.4</v>
      </c>
      <c r="AT92" s="32">
        <f>IF(AND(AT$30,$O92),$E$31,"")</f>
        <v>7.7</v>
      </c>
      <c r="AU92" s="54">
        <f>IF(AND(AU$30,$O92),$F$31,"")</f>
        <v>7.4</v>
      </c>
      <c r="AV92" s="31">
        <f>IF(AND(AV$30,$O92),$C$31,"")</f>
        <v>6.3</v>
      </c>
      <c r="AW92" s="32" t="str">
        <f>IF(AND(AW$30,$O92),$D$31,"")</f>
        <v/>
      </c>
      <c r="AX92" s="32" t="str">
        <f>IF(AND(AX$30,$O92),$E$31,"")</f>
        <v/>
      </c>
      <c r="AY92" s="54" t="str">
        <f>IF(AND(AY$30,$O92),$F$31,"")</f>
        <v/>
      </c>
      <c r="AZ92" s="31">
        <f>IF(AND(AZ$30,$O92),$C$31,"")</f>
        <v>6.3</v>
      </c>
      <c r="BA92" s="32" t="str">
        <f>IF(AND(BA$30,$O92),$D$31,"")</f>
        <v/>
      </c>
      <c r="BB92" s="32" t="str">
        <f>IF(AND(BB$30,$O92),$E$31,"")</f>
        <v/>
      </c>
      <c r="BC92" s="54">
        <f>IF(AND(BC$30,$O92),$F$31,"")</f>
        <v>7.4</v>
      </c>
      <c r="BD92" s="31">
        <f>IF(AND(BD$30,$O92),$C$31,"")</f>
        <v>6.3</v>
      </c>
      <c r="BE92" s="32" t="str">
        <f>IF(AND(BE$30,$O92),$D$31,"")</f>
        <v/>
      </c>
      <c r="BF92" s="32">
        <f>IF(AND(BF$30,$O92),$E$31,"")</f>
        <v>7.7</v>
      </c>
      <c r="BG92" s="54" t="str">
        <f>IF(AND(BG$30,$O92),$F$31,"")</f>
        <v/>
      </c>
      <c r="BH92" s="31">
        <f>IF(AND(BH$30,$O92),$C$31,"")</f>
        <v>6.3</v>
      </c>
      <c r="BI92" s="32" t="str">
        <f>IF(AND(BI$30,$O92),$D$31,"")</f>
        <v/>
      </c>
      <c r="BJ92" s="32">
        <f>IF(AND(BJ$30,$O92),$E$31,"")</f>
        <v>7.7</v>
      </c>
      <c r="BK92" s="54">
        <f>IF(AND(BK$30,$O92),$F$31,"")</f>
        <v>7.4</v>
      </c>
      <c r="BL92" s="31">
        <f>IF(AND(BL$30,$O92),$C$31,"")</f>
        <v>6.3</v>
      </c>
      <c r="BM92" s="32">
        <f>IF(AND(BM$30,$O92),$D$31,"")</f>
        <v>8.4</v>
      </c>
      <c r="BN92" s="32" t="str">
        <f>IF(AND(BN$30,$O92),$E$31,"")</f>
        <v/>
      </c>
      <c r="BO92" s="54" t="str">
        <f>IF(AND(BO$30,$O92),$F$31,"")</f>
        <v/>
      </c>
      <c r="BP92" s="31">
        <f>IF(AND(BP$30,$O92),$C$31,"")</f>
        <v>6.3</v>
      </c>
      <c r="BQ92" s="32">
        <f>IF(AND(BQ$30,$O92),$D$31,"")</f>
        <v>8.4</v>
      </c>
      <c r="BR92" s="32" t="str">
        <f>IF(AND(BR$30,$O92),$E$31,"")</f>
        <v/>
      </c>
      <c r="BS92" s="54">
        <f>IF(AND(BS$30,$O92),$F$31,"")</f>
        <v>7.4</v>
      </c>
      <c r="BT92" s="31">
        <f>IF(AND(BT$30,$O92),$C$31,"")</f>
        <v>6.3</v>
      </c>
      <c r="BU92" s="32">
        <f>IF(AND(BU$30,$O92),$D$31,"")</f>
        <v>8.4</v>
      </c>
      <c r="BV92" s="32">
        <f>IF(AND(BV$30,$O92),$E$31,"")</f>
        <v>7.7</v>
      </c>
      <c r="BW92" s="54" t="str">
        <f>IF(AND(BW$30,$O92),$F$31,"")</f>
        <v/>
      </c>
      <c r="BX92" s="31">
        <f>IF(AND(BX$30,$O92),$C$31,"")</f>
        <v>6.3</v>
      </c>
      <c r="BY92" s="32">
        <f>IF(AND(BY$30,$O92),$D$31,"")</f>
        <v>8.4</v>
      </c>
      <c r="BZ92" s="32">
        <f>IF(AND(BZ$30,$O92),$E$31,"")</f>
        <v>7.7</v>
      </c>
      <c r="CA92" s="54">
        <f>IF(AND(CA$30,$O92),$F$31,"")</f>
        <v>7.4</v>
      </c>
      <c r="CB92" s="31" t="str">
        <f>IF(AND(CB$30,$O92),$C$31,"")</f>
        <v/>
      </c>
      <c r="CC92" s="32" t="str">
        <f>IF(AND(CC$30,$O92),$D$31,"")</f>
        <v/>
      </c>
      <c r="CD92" s="32" t="str">
        <f>IF(AND(CD$30,$O92),$E$31,"")</f>
        <v/>
      </c>
      <c r="CE92" s="54" t="str">
        <f>IF(AND(CE$30,$O92),$F$31,"")</f>
        <v/>
      </c>
    </row>
    <row r="93" spans="12:83">
      <c r="L93" s="87"/>
      <c r="M93" s="36" t="str">
        <f t="shared" si="21"/>
        <v>C</v>
      </c>
      <c r="O93" s="82">
        <f>BinAnd(N91,Ce)</f>
        <v>2</v>
      </c>
      <c r="P93" s="31" t="str">
        <f>IF(AND(P$30,$O93),$C$32,"")</f>
        <v/>
      </c>
      <c r="Q93" s="32" t="str">
        <f>IF(AND(Q$30,$O93),$D$32,"")</f>
        <v/>
      </c>
      <c r="R93" s="32" t="str">
        <f>IF(AND(R$30,$O93),$E$32,"")</f>
        <v/>
      </c>
      <c r="S93" s="54" t="str">
        <f>IF(AND(S$30,$O93),$F$32,"")</f>
        <v/>
      </c>
      <c r="T93" s="31" t="str">
        <f>IF(AND(T$30,$O93),$C$32,"")</f>
        <v/>
      </c>
      <c r="U93" s="32" t="str">
        <f>IF(AND(U$30,$O93),$D$32,"")</f>
        <v/>
      </c>
      <c r="V93" s="32" t="str">
        <f>IF(AND(V$30,$O93),$E$32,"")</f>
        <v/>
      </c>
      <c r="W93" s="54">
        <f>IF(AND(W$30,$O93),$F$32,"")</f>
        <v>10.1</v>
      </c>
      <c r="X93" s="31" t="str">
        <f>IF(AND(X$30,$O93),$C$32,"")</f>
        <v/>
      </c>
      <c r="Y93" s="32" t="str">
        <f>IF(AND(Y$30,$O93),$D$32,"")</f>
        <v/>
      </c>
      <c r="Z93" s="32">
        <f>IF(AND(Z$30,$O93),$E$32,"")</f>
        <v>6.7</v>
      </c>
      <c r="AA93" s="54" t="str">
        <f>IF(AND(AA$30,$O93),$F$32,"")</f>
        <v/>
      </c>
      <c r="AB93" s="31" t="str">
        <f>IF(AND(AB$30,$O93),$C$32,"")</f>
        <v/>
      </c>
      <c r="AC93" s="32" t="str">
        <f>IF(AND(AC$30,$O93),$D$32,"")</f>
        <v/>
      </c>
      <c r="AD93" s="32">
        <f>IF(AND(AD$30,$O93),$E$32,"")</f>
        <v>6.7</v>
      </c>
      <c r="AE93" s="54">
        <f>IF(AND(AE$30,$O93),$F$32,"")</f>
        <v>10.1</v>
      </c>
      <c r="AF93" s="31" t="str">
        <f>IF(AND(AF$30,$O93),$C$32,"")</f>
        <v/>
      </c>
      <c r="AG93" s="32">
        <f>IF(AND(AG$30,$O93),$D$32,"")</f>
        <v>6.1</v>
      </c>
      <c r="AH93" s="32" t="str">
        <f>IF(AND(AH$30,$O93),$E$32,"")</f>
        <v/>
      </c>
      <c r="AI93" s="54" t="str">
        <f>IF(AND(AI$30,$O93),$F$32,"")</f>
        <v/>
      </c>
      <c r="AJ93" s="31" t="str">
        <f>IF(AND(AJ$30,$O93),$C$32,"")</f>
        <v/>
      </c>
      <c r="AK93" s="32">
        <f>IF(AND(AK$30,$O93),$D$32,"")</f>
        <v>6.1</v>
      </c>
      <c r="AL93" s="32" t="str">
        <f>IF(AND(AL$30,$O93),$E$32,"")</f>
        <v/>
      </c>
      <c r="AM93" s="54">
        <f>IF(AND(AM$30,$O93),$F$32,"")</f>
        <v>10.1</v>
      </c>
      <c r="AN93" s="31" t="str">
        <f>IF(AND(AN$30,$O93),$C$32,"")</f>
        <v/>
      </c>
      <c r="AO93" s="32">
        <f>IF(AND(AO$30,$O93),$D$32,"")</f>
        <v>6.1</v>
      </c>
      <c r="AP93" s="32">
        <f>IF(AND(AP$30,$O93),$E$32,"")</f>
        <v>6.7</v>
      </c>
      <c r="AQ93" s="54" t="str">
        <f>IF(AND(AQ$30,$O93),$F$32,"")</f>
        <v/>
      </c>
      <c r="AR93" s="31" t="str">
        <f>IF(AND(AR$30,$O93),$C$32,"")</f>
        <v/>
      </c>
      <c r="AS93" s="32">
        <f>IF(AND(AS$30,$O93),$D$32,"")</f>
        <v>6.1</v>
      </c>
      <c r="AT93" s="32">
        <f>IF(AND(AT$30,$O93),$E$32,"")</f>
        <v>6.7</v>
      </c>
      <c r="AU93" s="54">
        <f>IF(AND(AU$30,$O93),$F$32,"")</f>
        <v>10.1</v>
      </c>
      <c r="AV93" s="31">
        <f>IF(AND(AV$30,$O93),$C$32,"")</f>
        <v>7.4</v>
      </c>
      <c r="AW93" s="32" t="str">
        <f>IF(AND(AW$30,$O93),$D$32,"")</f>
        <v/>
      </c>
      <c r="AX93" s="32" t="str">
        <f>IF(AND(AX$30,$O93),$E$32,"")</f>
        <v/>
      </c>
      <c r="AY93" s="54" t="str">
        <f>IF(AND(AY$30,$O93),$F$32,"")</f>
        <v/>
      </c>
      <c r="AZ93" s="31">
        <f>IF(AND(AZ$30,$O93),$C$32,"")</f>
        <v>7.4</v>
      </c>
      <c r="BA93" s="32" t="str">
        <f>IF(AND(BA$30,$O93),$D$32,"")</f>
        <v/>
      </c>
      <c r="BB93" s="32" t="str">
        <f>IF(AND(BB$30,$O93),$E$32,"")</f>
        <v/>
      </c>
      <c r="BC93" s="54">
        <f>IF(AND(BC$30,$O93),$F$32,"")</f>
        <v>10.1</v>
      </c>
      <c r="BD93" s="31">
        <f>IF(AND(BD$30,$O93),$C$32,"")</f>
        <v>7.4</v>
      </c>
      <c r="BE93" s="32" t="str">
        <f>IF(AND(BE$30,$O93),$D$32,"")</f>
        <v/>
      </c>
      <c r="BF93" s="32">
        <f>IF(AND(BF$30,$O93),$E$32,"")</f>
        <v>6.7</v>
      </c>
      <c r="BG93" s="54" t="str">
        <f>IF(AND(BG$30,$O93),$F$32,"")</f>
        <v/>
      </c>
      <c r="BH93" s="31">
        <f>IF(AND(BH$30,$O93),$C$32,"")</f>
        <v>7.4</v>
      </c>
      <c r="BI93" s="32" t="str">
        <f>IF(AND(BI$30,$O93),$D$32,"")</f>
        <v/>
      </c>
      <c r="BJ93" s="32">
        <f>IF(AND(BJ$30,$O93),$E$32,"")</f>
        <v>6.7</v>
      </c>
      <c r="BK93" s="54">
        <f>IF(AND(BK$30,$O93),$F$32,"")</f>
        <v>10.1</v>
      </c>
      <c r="BL93" s="31">
        <f>IF(AND(BL$30,$O93),$C$32,"")</f>
        <v>7.4</v>
      </c>
      <c r="BM93" s="32">
        <f>IF(AND(BM$30,$O93),$D$32,"")</f>
        <v>6.1</v>
      </c>
      <c r="BN93" s="32" t="str">
        <f>IF(AND(BN$30,$O93),$E$32,"")</f>
        <v/>
      </c>
      <c r="BO93" s="54" t="str">
        <f>IF(AND(BO$30,$O93),$F$32,"")</f>
        <v/>
      </c>
      <c r="BP93" s="31">
        <f>IF(AND(BP$30,$O93),$C$32,"")</f>
        <v>7.4</v>
      </c>
      <c r="BQ93" s="32">
        <f>IF(AND(BQ$30,$O93),$D$32,"")</f>
        <v>6.1</v>
      </c>
      <c r="BR93" s="32" t="str">
        <f>IF(AND(BR$30,$O93),$E$32,"")</f>
        <v/>
      </c>
      <c r="BS93" s="54">
        <f>IF(AND(BS$30,$O93),$F$32,"")</f>
        <v>10.1</v>
      </c>
      <c r="BT93" s="31">
        <f>IF(AND(BT$30,$O93),$C$32,"")</f>
        <v>7.4</v>
      </c>
      <c r="BU93" s="32">
        <f>IF(AND(BU$30,$O93),$D$32,"")</f>
        <v>6.1</v>
      </c>
      <c r="BV93" s="32">
        <f>IF(AND(BV$30,$O93),$E$32,"")</f>
        <v>6.7</v>
      </c>
      <c r="BW93" s="54" t="str">
        <f>IF(AND(BW$30,$O93),$F$32,"")</f>
        <v/>
      </c>
      <c r="BX93" s="31">
        <f>IF(AND(BX$30,$O93),$C$32,"")</f>
        <v>7.4</v>
      </c>
      <c r="BY93" s="32">
        <f>IF(AND(BY$30,$O93),$D$32,"")</f>
        <v>6.1</v>
      </c>
      <c r="BZ93" s="32">
        <f>IF(AND(BZ$30,$O93),$E$32,"")</f>
        <v>6.7</v>
      </c>
      <c r="CA93" s="54">
        <f>IF(AND(CA$30,$O93),$F$32,"")</f>
        <v>10.1</v>
      </c>
      <c r="CB93" s="31" t="str">
        <f>IF(AND(CB$30,$O93),$C$32,"")</f>
        <v/>
      </c>
      <c r="CC93" s="32" t="str">
        <f>IF(AND(CC$30,$O93),$D$32,"")</f>
        <v/>
      </c>
      <c r="CD93" s="32" t="str">
        <f>IF(AND(CD$30,$O93),$E$32,"")</f>
        <v/>
      </c>
      <c r="CE93" s="54" t="str">
        <f>IF(AND(CE$30,$O93),$F$32,"")</f>
        <v/>
      </c>
    </row>
    <row r="94" spans="12:83" ht="15.75" thickBot="1">
      <c r="L94" s="86"/>
      <c r="M94" s="37" t="str">
        <f t="shared" si="21"/>
        <v>G</v>
      </c>
      <c r="O94" s="43">
        <f>BinAnd(N91,G)</f>
        <v>1</v>
      </c>
      <c r="P94" s="55" t="str">
        <f>IF(AND(P$30,$O94),$C$33,"")</f>
        <v/>
      </c>
      <c r="Q94" s="56" t="str">
        <f>IF(AND(Q$30,$O94),$D$33,"")</f>
        <v/>
      </c>
      <c r="R94" s="56" t="str">
        <f>IF(AND(R$30,$O94),$E$33,"")</f>
        <v/>
      </c>
      <c r="S94" s="57" t="str">
        <f>IF(AND(S$30,$O94),$F$33,"")</f>
        <v/>
      </c>
      <c r="T94" s="55" t="str">
        <f>IF(AND(T$30,$O94),$C$33,"")</f>
        <v/>
      </c>
      <c r="U94" s="56" t="str">
        <f>IF(AND(U$30,$O94),$D$33,"")</f>
        <v/>
      </c>
      <c r="V94" s="56" t="str">
        <f>IF(AND(V$30,$O94),$E$33,"")</f>
        <v/>
      </c>
      <c r="W94" s="57">
        <f>IF(AND(W$30,$O94),$F$33,"")</f>
        <v>6.7</v>
      </c>
      <c r="X94" s="55" t="str">
        <f>IF(AND(X$30,$O94),$C$33,"")</f>
        <v/>
      </c>
      <c r="Y94" s="56" t="str">
        <f>IF(AND(Y$30,$O94),$D$33,"")</f>
        <v/>
      </c>
      <c r="Z94" s="56">
        <f>IF(AND(Z$30,$O94),$E$33,"")</f>
        <v>11.1</v>
      </c>
      <c r="AA94" s="57" t="str">
        <f>IF(AND(AA$30,$O94),$F$33,"")</f>
        <v/>
      </c>
      <c r="AB94" s="55" t="str">
        <f>IF(AND(AB$30,$O94),$C$33,"")</f>
        <v/>
      </c>
      <c r="AC94" s="56" t="str">
        <f>IF(AND(AC$30,$O94),$D$33,"")</f>
        <v/>
      </c>
      <c r="AD94" s="56">
        <f>IF(AND(AD$30,$O94),$E$33,"")</f>
        <v>11.1</v>
      </c>
      <c r="AE94" s="57">
        <f>IF(AND(AE$30,$O94),$F$33,"")</f>
        <v>6.7</v>
      </c>
      <c r="AF94" s="55" t="str">
        <f>IF(AND(AF$30,$O94),$C$33,"")</f>
        <v/>
      </c>
      <c r="AG94" s="56">
        <f>IF(AND(AG$30,$O94),$D$33,"")</f>
        <v>8.6</v>
      </c>
      <c r="AH94" s="56" t="str">
        <f>IF(AND(AH$30,$O94),$E$33,"")</f>
        <v/>
      </c>
      <c r="AI94" s="57" t="str">
        <f>IF(AND(AI$30,$O94),$F$33,"")</f>
        <v/>
      </c>
      <c r="AJ94" s="55" t="str">
        <f>IF(AND(AJ$30,$O94),$C$33,"")</f>
        <v/>
      </c>
      <c r="AK94" s="56">
        <f>IF(AND(AK$30,$O94),$D$33,"")</f>
        <v>8.6</v>
      </c>
      <c r="AL94" s="56" t="str">
        <f>IF(AND(AL$30,$O94),$E$33,"")</f>
        <v/>
      </c>
      <c r="AM94" s="57">
        <f>IF(AND(AM$30,$O94),$F$33,"")</f>
        <v>6.7</v>
      </c>
      <c r="AN94" s="55" t="str">
        <f>IF(AND(AN$30,$O94),$C$33,"")</f>
        <v/>
      </c>
      <c r="AO94" s="56">
        <f>IF(AND(AO$30,$O94),$D$33,"")</f>
        <v>8.6</v>
      </c>
      <c r="AP94" s="56">
        <f>IF(AND(AP$30,$O94),$E$33,"")</f>
        <v>11.1</v>
      </c>
      <c r="AQ94" s="57" t="str">
        <f>IF(AND(AQ$30,$O94),$F$33,"")</f>
        <v/>
      </c>
      <c r="AR94" s="55" t="str">
        <f>IF(AND(AR$30,$O94),$C$33,"")</f>
        <v/>
      </c>
      <c r="AS94" s="56">
        <f>IF(AND(AS$30,$O94),$D$33,"")</f>
        <v>8.6</v>
      </c>
      <c r="AT94" s="56">
        <f>IF(AND(AT$30,$O94),$E$33,"")</f>
        <v>11.1</v>
      </c>
      <c r="AU94" s="57">
        <f>IF(AND(AU$30,$O94),$F$33,"")</f>
        <v>6.7</v>
      </c>
      <c r="AV94" s="55">
        <f>IF(AND(AV$30,$O94),$C$33,"")</f>
        <v>7.7</v>
      </c>
      <c r="AW94" s="56" t="str">
        <f>IF(AND(AW$30,$O94),$D$33,"")</f>
        <v/>
      </c>
      <c r="AX94" s="56" t="str">
        <f>IF(AND(AX$30,$O94),$E$33,"")</f>
        <v/>
      </c>
      <c r="AY94" s="57" t="str">
        <f>IF(AND(AY$30,$O94),$F$33,"")</f>
        <v/>
      </c>
      <c r="AZ94" s="55">
        <f>IF(AND(AZ$30,$O94),$C$33,"")</f>
        <v>7.7</v>
      </c>
      <c r="BA94" s="56" t="str">
        <f>IF(AND(BA$30,$O94),$D$33,"")</f>
        <v/>
      </c>
      <c r="BB94" s="56" t="str">
        <f>IF(AND(BB$30,$O94),$E$33,"")</f>
        <v/>
      </c>
      <c r="BC94" s="57">
        <f>IF(AND(BC$30,$O94),$F$33,"")</f>
        <v>6.7</v>
      </c>
      <c r="BD94" s="55">
        <f>IF(AND(BD$30,$O94),$C$33,"")</f>
        <v>7.7</v>
      </c>
      <c r="BE94" s="56" t="str">
        <f>IF(AND(BE$30,$O94),$D$33,"")</f>
        <v/>
      </c>
      <c r="BF94" s="56">
        <f>IF(AND(BF$30,$O94),$E$33,"")</f>
        <v>11.1</v>
      </c>
      <c r="BG94" s="57" t="str">
        <f>IF(AND(BG$30,$O94),$F$33,"")</f>
        <v/>
      </c>
      <c r="BH94" s="55">
        <f>IF(AND(BH$30,$O94),$C$33,"")</f>
        <v>7.7</v>
      </c>
      <c r="BI94" s="56" t="str">
        <f>IF(AND(BI$30,$O94),$D$33,"")</f>
        <v/>
      </c>
      <c r="BJ94" s="56">
        <f>IF(AND(BJ$30,$O94),$E$33,"")</f>
        <v>11.1</v>
      </c>
      <c r="BK94" s="57">
        <f>IF(AND(BK$30,$O94),$F$33,"")</f>
        <v>6.7</v>
      </c>
      <c r="BL94" s="55">
        <f>IF(AND(BL$30,$O94),$C$33,"")</f>
        <v>7.7</v>
      </c>
      <c r="BM94" s="56">
        <f>IF(AND(BM$30,$O94),$D$33,"")</f>
        <v>8.6</v>
      </c>
      <c r="BN94" s="56" t="str">
        <f>IF(AND(BN$30,$O94),$E$33,"")</f>
        <v/>
      </c>
      <c r="BO94" s="57" t="str">
        <f>IF(AND(BO$30,$O94),$F$33,"")</f>
        <v/>
      </c>
      <c r="BP94" s="55">
        <f>IF(AND(BP$30,$O94),$C$33,"")</f>
        <v>7.7</v>
      </c>
      <c r="BQ94" s="56">
        <f>IF(AND(BQ$30,$O94),$D$33,"")</f>
        <v>8.6</v>
      </c>
      <c r="BR94" s="56" t="str">
        <f>IF(AND(BR$30,$O94),$E$33,"")</f>
        <v/>
      </c>
      <c r="BS94" s="57">
        <f>IF(AND(BS$30,$O94),$F$33,"")</f>
        <v>6.7</v>
      </c>
      <c r="BT94" s="55">
        <f>IF(AND(BT$30,$O94),$C$33,"")</f>
        <v>7.7</v>
      </c>
      <c r="BU94" s="56">
        <f>IF(AND(BU$30,$O94),$D$33,"")</f>
        <v>8.6</v>
      </c>
      <c r="BV94" s="56">
        <f>IF(AND(BV$30,$O94),$E$33,"")</f>
        <v>11.1</v>
      </c>
      <c r="BW94" s="57" t="str">
        <f>IF(AND(BW$30,$O94),$F$33,"")</f>
        <v/>
      </c>
      <c r="BX94" s="55">
        <f>IF(AND(BX$30,$O94),$C$33,"")</f>
        <v>7.7</v>
      </c>
      <c r="BY94" s="56">
        <f>IF(AND(BY$30,$O94),$D$33,"")</f>
        <v>8.6</v>
      </c>
      <c r="BZ94" s="56">
        <f>IF(AND(BZ$30,$O94),$E$33,"")</f>
        <v>11.1</v>
      </c>
      <c r="CA94" s="57">
        <f>IF(AND(CA$30,$O94),$F$33,"")</f>
        <v>6.7</v>
      </c>
      <c r="CB94" s="55" t="str">
        <f>IF(AND(CB$30,$O94),$C$33,"")</f>
        <v/>
      </c>
      <c r="CC94" s="56" t="str">
        <f>IF(AND(CC$30,$O94),$D$33,"")</f>
        <v/>
      </c>
      <c r="CD94" s="56" t="str">
        <f>IF(AND(CD$30,$O94),$E$33,"")</f>
        <v/>
      </c>
      <c r="CE94" s="57" t="str">
        <f>IF(AND(CE$30,$O94),$F$33,"")</f>
        <v/>
      </c>
    </row>
    <row r="95" spans="12:83">
      <c r="L95" s="83" t="str">
        <f>MID(CodDegElegir,N95+1,1)</f>
        <v/>
      </c>
      <c r="M95" s="85" t="str">
        <f t="shared" si="21"/>
        <v>-</v>
      </c>
      <c r="N95">
        <v>16</v>
      </c>
      <c r="O95" s="81">
        <f>BinAnd(N95,A)</f>
        <v>0</v>
      </c>
      <c r="P95" s="29" t="str">
        <f>IF(AND(P$30,$O95),$C$30,"")</f>
        <v/>
      </c>
      <c r="Q95" s="30" t="str">
        <f>IF(AND(Q$30,$O95),$D$30,"")</f>
        <v/>
      </c>
      <c r="R95" s="30" t="str">
        <f>IF(AND(R$30,$O95),$E$30,"")</f>
        <v/>
      </c>
      <c r="S95" s="53" t="str">
        <f>IF(AND(S$30,$O95),$F$30,"")</f>
        <v/>
      </c>
      <c r="T95" s="29" t="str">
        <f>IF(AND(T$30,$O95),$C$30,"")</f>
        <v/>
      </c>
      <c r="U95" s="30" t="str">
        <f>IF(AND(U$30,$O95),$D$30,"")</f>
        <v/>
      </c>
      <c r="V95" s="30" t="str">
        <f>IF(AND(V$30,$O95),$E$30,"")</f>
        <v/>
      </c>
      <c r="W95" s="53" t="str">
        <f>IF(AND(W$30,$O95),$F$30,"")</f>
        <v/>
      </c>
      <c r="X95" s="29" t="str">
        <f>IF(AND(X$30,$O95),$C$30,"")</f>
        <v/>
      </c>
      <c r="Y95" s="30" t="str">
        <f>IF(AND(Y$30,$O95),$D$30,"")</f>
        <v/>
      </c>
      <c r="Z95" s="30" t="str">
        <f>IF(AND(Z$30,$O95),$E$30,"")</f>
        <v/>
      </c>
      <c r="AA95" s="53" t="str">
        <f>IF(AND(AA$30,$O95),$F$30,"")</f>
        <v/>
      </c>
      <c r="AB95" s="29" t="str">
        <f>IF(AND(AB$30,$O95),$C$30,"")</f>
        <v/>
      </c>
      <c r="AC95" s="30" t="str">
        <f>IF(AND(AC$30,$O95),$D$30,"")</f>
        <v/>
      </c>
      <c r="AD95" s="30" t="str">
        <f>IF(AND(AD$30,$O95),$E$30,"")</f>
        <v/>
      </c>
      <c r="AE95" s="53" t="str">
        <f>IF(AND(AE$30,$O95),$F$30,"")</f>
        <v/>
      </c>
      <c r="AF95" s="29" t="str">
        <f>IF(AND(AF$30,$O95),$C$30,"")</f>
        <v/>
      </c>
      <c r="AG95" s="30" t="str">
        <f>IF(AND(AG$30,$O95),$D$30,"")</f>
        <v/>
      </c>
      <c r="AH95" s="30" t="str">
        <f>IF(AND(AH$30,$O95),$E$30,"")</f>
        <v/>
      </c>
      <c r="AI95" s="53" t="str">
        <f>IF(AND(AI$30,$O95),$F$30,"")</f>
        <v/>
      </c>
      <c r="AJ95" s="29" t="str">
        <f>IF(AND(AJ$30,$O95),$C$30,"")</f>
        <v/>
      </c>
      <c r="AK95" s="30" t="str">
        <f>IF(AND(AK$30,$O95),$D$30,"")</f>
        <v/>
      </c>
      <c r="AL95" s="30" t="str">
        <f>IF(AND(AL$30,$O95),$E$30,"")</f>
        <v/>
      </c>
      <c r="AM95" s="53" t="str">
        <f>IF(AND(AM$30,$O95),$F$30,"")</f>
        <v/>
      </c>
      <c r="AN95" s="29" t="str">
        <f>IF(AND(AN$30,$O95),$C$30,"")</f>
        <v/>
      </c>
      <c r="AO95" s="30" t="str">
        <f>IF(AND(AO$30,$O95),$D$30,"")</f>
        <v/>
      </c>
      <c r="AP95" s="30" t="str">
        <f>IF(AND(AP$30,$O95),$E$30,"")</f>
        <v/>
      </c>
      <c r="AQ95" s="53" t="str">
        <f>IF(AND(AQ$30,$O95),$F$30,"")</f>
        <v/>
      </c>
      <c r="AR95" s="29" t="str">
        <f>IF(AND(AR$30,$O95),$C$30,"")</f>
        <v/>
      </c>
      <c r="AS95" s="30" t="str">
        <f>IF(AND(AS$30,$O95),$D$30,"")</f>
        <v/>
      </c>
      <c r="AT95" s="30" t="str">
        <f>IF(AND(AT$30,$O95),$E$30,"")</f>
        <v/>
      </c>
      <c r="AU95" s="53" t="str">
        <f>IF(AND(AU$30,$O95),$F$30,"")</f>
        <v/>
      </c>
      <c r="AV95" s="29" t="str">
        <f>IF(AND(AV$30,$O95),$C$30,"")</f>
        <v/>
      </c>
      <c r="AW95" s="30" t="str">
        <f>IF(AND(AW$30,$O95),$D$30,"")</f>
        <v/>
      </c>
      <c r="AX95" s="30" t="str">
        <f>IF(AND(AX$30,$O95),$E$30,"")</f>
        <v/>
      </c>
      <c r="AY95" s="53" t="str">
        <f>IF(AND(AY$30,$O95),$F$30,"")</f>
        <v/>
      </c>
      <c r="AZ95" s="29" t="str">
        <f>IF(AND(AZ$30,$O95),$C$30,"")</f>
        <v/>
      </c>
      <c r="BA95" s="30" t="str">
        <f>IF(AND(BA$30,$O95),$D$30,"")</f>
        <v/>
      </c>
      <c r="BB95" s="30" t="str">
        <f>IF(AND(BB$30,$O95),$E$30,"")</f>
        <v/>
      </c>
      <c r="BC95" s="53" t="str">
        <f>IF(AND(BC$30,$O95),$F$30,"")</f>
        <v/>
      </c>
      <c r="BD95" s="29" t="str">
        <f>IF(AND(BD$30,$O95),$C$30,"")</f>
        <v/>
      </c>
      <c r="BE95" s="30" t="str">
        <f>IF(AND(BE$30,$O95),$D$30,"")</f>
        <v/>
      </c>
      <c r="BF95" s="30" t="str">
        <f>IF(AND(BF$30,$O95),$E$30,"")</f>
        <v/>
      </c>
      <c r="BG95" s="53" t="str">
        <f>IF(AND(BG$30,$O95),$F$30,"")</f>
        <v/>
      </c>
      <c r="BH95" s="29" t="str">
        <f>IF(AND(BH$30,$O95),$C$30,"")</f>
        <v/>
      </c>
      <c r="BI95" s="30" t="str">
        <f>IF(AND(BI$30,$O95),$D$30,"")</f>
        <v/>
      </c>
      <c r="BJ95" s="30" t="str">
        <f>IF(AND(BJ$30,$O95),$E$30,"")</f>
        <v/>
      </c>
      <c r="BK95" s="53" t="str">
        <f>IF(AND(BK$30,$O95),$F$30,"")</f>
        <v/>
      </c>
      <c r="BL95" s="29" t="str">
        <f>IF(AND(BL$30,$O95),$C$30,"")</f>
        <v/>
      </c>
      <c r="BM95" s="30" t="str">
        <f>IF(AND(BM$30,$O95),$D$30,"")</f>
        <v/>
      </c>
      <c r="BN95" s="30" t="str">
        <f>IF(AND(BN$30,$O95),$E$30,"")</f>
        <v/>
      </c>
      <c r="BO95" s="53" t="str">
        <f>IF(AND(BO$30,$O95),$F$30,"")</f>
        <v/>
      </c>
      <c r="BP95" s="29" t="str">
        <f>IF(AND(BP$30,$O95),$C$30,"")</f>
        <v/>
      </c>
      <c r="BQ95" s="30" t="str">
        <f>IF(AND(BQ$30,$O95),$D$30,"")</f>
        <v/>
      </c>
      <c r="BR95" s="30" t="str">
        <f>IF(AND(BR$30,$O95),$E$30,"")</f>
        <v/>
      </c>
      <c r="BS95" s="53" t="str">
        <f>IF(AND(BS$30,$O95),$F$30,"")</f>
        <v/>
      </c>
      <c r="BT95" s="29" t="str">
        <f>IF(AND(BT$30,$O95),$C$30,"")</f>
        <v/>
      </c>
      <c r="BU95" s="30" t="str">
        <f>IF(AND(BU$30,$O95),$D$30,"")</f>
        <v/>
      </c>
      <c r="BV95" s="30" t="str">
        <f>IF(AND(BV$30,$O95),$E$30,"")</f>
        <v/>
      </c>
      <c r="BW95" s="53" t="str">
        <f>IF(AND(BW$30,$O95),$F$30,"")</f>
        <v/>
      </c>
      <c r="BX95" s="29" t="str">
        <f>IF(AND(BX$30,$O95),$C$30,"")</f>
        <v/>
      </c>
      <c r="BY95" s="30" t="str">
        <f>IF(AND(BY$30,$O95),$D$30,"")</f>
        <v/>
      </c>
      <c r="BZ95" s="30" t="str">
        <f>IF(AND(BZ$30,$O95),$E$30,"")</f>
        <v/>
      </c>
      <c r="CA95" s="53" t="str">
        <f>IF(AND(CA$30,$O95),$F$30,"")</f>
        <v/>
      </c>
      <c r="CB95" s="29" t="str">
        <f>IF(AND(CB$30,$O95),$C$30,"")</f>
        <v/>
      </c>
      <c r="CC95" s="30" t="str">
        <f>IF(AND(CC$30,$O95),$D$30,"")</f>
        <v/>
      </c>
      <c r="CD95" s="30" t="str">
        <f>IF(AND(CD$30,$O95),$E$30,"")</f>
        <v/>
      </c>
      <c r="CE95" s="53" t="str">
        <f>IF(AND(CE$30,$O95),$F$30,"")</f>
        <v/>
      </c>
    </row>
    <row r="96" spans="12:83">
      <c r="L96" s="87"/>
      <c r="M96" s="36" t="str">
        <f t="shared" si="21"/>
        <v>-</v>
      </c>
      <c r="O96" s="82">
        <f>BinAnd(N95,T)</f>
        <v>0</v>
      </c>
      <c r="P96" s="31" t="str">
        <f>IF(AND(P$30,$O96),$C$31,"")</f>
        <v/>
      </c>
      <c r="Q96" s="32" t="str">
        <f>IF(AND(Q$30,$O96),$D$31,"")</f>
        <v/>
      </c>
      <c r="R96" s="32" t="str">
        <f>IF(AND(R$30,$O96),$E$31,"")</f>
        <v/>
      </c>
      <c r="S96" s="54" t="str">
        <f>IF(AND(S$30,$O96),$F$31,"")</f>
        <v/>
      </c>
      <c r="T96" s="31" t="str">
        <f>IF(AND(T$30,$O96),$C$31,"")</f>
        <v/>
      </c>
      <c r="U96" s="32" t="str">
        <f>IF(AND(U$30,$O96),$D$31,"")</f>
        <v/>
      </c>
      <c r="V96" s="32" t="str">
        <f>IF(AND(V$30,$O96),$E$31,"")</f>
        <v/>
      </c>
      <c r="W96" s="54" t="str">
        <f>IF(AND(W$30,$O96),$F$31,"")</f>
        <v/>
      </c>
      <c r="X96" s="31" t="str">
        <f>IF(AND(X$30,$O96),$C$31,"")</f>
        <v/>
      </c>
      <c r="Y96" s="32" t="str">
        <f>IF(AND(Y$30,$O96),$D$31,"")</f>
        <v/>
      </c>
      <c r="Z96" s="32" t="str">
        <f>IF(AND(Z$30,$O96),$E$31,"")</f>
        <v/>
      </c>
      <c r="AA96" s="54" t="str">
        <f>IF(AND(AA$30,$O96),$F$31,"")</f>
        <v/>
      </c>
      <c r="AB96" s="31" t="str">
        <f>IF(AND(AB$30,$O96),$C$31,"")</f>
        <v/>
      </c>
      <c r="AC96" s="32" t="str">
        <f>IF(AND(AC$30,$O96),$D$31,"")</f>
        <v/>
      </c>
      <c r="AD96" s="32" t="str">
        <f>IF(AND(AD$30,$O96),$E$31,"")</f>
        <v/>
      </c>
      <c r="AE96" s="54" t="str">
        <f>IF(AND(AE$30,$O96),$F$31,"")</f>
        <v/>
      </c>
      <c r="AF96" s="31" t="str">
        <f>IF(AND(AF$30,$O96),$C$31,"")</f>
        <v/>
      </c>
      <c r="AG96" s="32" t="str">
        <f>IF(AND(AG$30,$O96),$D$31,"")</f>
        <v/>
      </c>
      <c r="AH96" s="32" t="str">
        <f>IF(AND(AH$30,$O96),$E$31,"")</f>
        <v/>
      </c>
      <c r="AI96" s="54" t="str">
        <f>IF(AND(AI$30,$O96),$F$31,"")</f>
        <v/>
      </c>
      <c r="AJ96" s="31" t="str">
        <f>IF(AND(AJ$30,$O96),$C$31,"")</f>
        <v/>
      </c>
      <c r="AK96" s="32" t="str">
        <f>IF(AND(AK$30,$O96),$D$31,"")</f>
        <v/>
      </c>
      <c r="AL96" s="32" t="str">
        <f>IF(AND(AL$30,$O96),$E$31,"")</f>
        <v/>
      </c>
      <c r="AM96" s="54" t="str">
        <f>IF(AND(AM$30,$O96),$F$31,"")</f>
        <v/>
      </c>
      <c r="AN96" s="31" t="str">
        <f>IF(AND(AN$30,$O96),$C$31,"")</f>
        <v/>
      </c>
      <c r="AO96" s="32" t="str">
        <f>IF(AND(AO$30,$O96),$D$31,"")</f>
        <v/>
      </c>
      <c r="AP96" s="32" t="str">
        <f>IF(AND(AP$30,$O96),$E$31,"")</f>
        <v/>
      </c>
      <c r="AQ96" s="54" t="str">
        <f>IF(AND(AQ$30,$O96),$F$31,"")</f>
        <v/>
      </c>
      <c r="AR96" s="31" t="str">
        <f>IF(AND(AR$30,$O96),$C$31,"")</f>
        <v/>
      </c>
      <c r="AS96" s="32" t="str">
        <f>IF(AND(AS$30,$O96),$D$31,"")</f>
        <v/>
      </c>
      <c r="AT96" s="32" t="str">
        <f>IF(AND(AT$30,$O96),$E$31,"")</f>
        <v/>
      </c>
      <c r="AU96" s="54" t="str">
        <f>IF(AND(AU$30,$O96),$F$31,"")</f>
        <v/>
      </c>
      <c r="AV96" s="31" t="str">
        <f>IF(AND(AV$30,$O96),$C$31,"")</f>
        <v/>
      </c>
      <c r="AW96" s="32" t="str">
        <f>IF(AND(AW$30,$O96),$D$31,"")</f>
        <v/>
      </c>
      <c r="AX96" s="32" t="str">
        <f>IF(AND(AX$30,$O96),$E$31,"")</f>
        <v/>
      </c>
      <c r="AY96" s="54" t="str">
        <f>IF(AND(AY$30,$O96),$F$31,"")</f>
        <v/>
      </c>
      <c r="AZ96" s="31" t="str">
        <f>IF(AND(AZ$30,$O96),$C$31,"")</f>
        <v/>
      </c>
      <c r="BA96" s="32" t="str">
        <f>IF(AND(BA$30,$O96),$D$31,"")</f>
        <v/>
      </c>
      <c r="BB96" s="32" t="str">
        <f>IF(AND(BB$30,$O96),$E$31,"")</f>
        <v/>
      </c>
      <c r="BC96" s="54" t="str">
        <f>IF(AND(BC$30,$O96),$F$31,"")</f>
        <v/>
      </c>
      <c r="BD96" s="31" t="str">
        <f>IF(AND(BD$30,$O96),$C$31,"")</f>
        <v/>
      </c>
      <c r="BE96" s="32" t="str">
        <f>IF(AND(BE$30,$O96),$D$31,"")</f>
        <v/>
      </c>
      <c r="BF96" s="32" t="str">
        <f>IF(AND(BF$30,$O96),$E$31,"")</f>
        <v/>
      </c>
      <c r="BG96" s="54" t="str">
        <f>IF(AND(BG$30,$O96),$F$31,"")</f>
        <v/>
      </c>
      <c r="BH96" s="31" t="str">
        <f>IF(AND(BH$30,$O96),$C$31,"")</f>
        <v/>
      </c>
      <c r="BI96" s="32" t="str">
        <f>IF(AND(BI$30,$O96),$D$31,"")</f>
        <v/>
      </c>
      <c r="BJ96" s="32" t="str">
        <f>IF(AND(BJ$30,$O96),$E$31,"")</f>
        <v/>
      </c>
      <c r="BK96" s="54" t="str">
        <f>IF(AND(BK$30,$O96),$F$31,"")</f>
        <v/>
      </c>
      <c r="BL96" s="31" t="str">
        <f>IF(AND(BL$30,$O96),$C$31,"")</f>
        <v/>
      </c>
      <c r="BM96" s="32" t="str">
        <f>IF(AND(BM$30,$O96),$D$31,"")</f>
        <v/>
      </c>
      <c r="BN96" s="32" t="str">
        <f>IF(AND(BN$30,$O96),$E$31,"")</f>
        <v/>
      </c>
      <c r="BO96" s="54" t="str">
        <f>IF(AND(BO$30,$O96),$F$31,"")</f>
        <v/>
      </c>
      <c r="BP96" s="31" t="str">
        <f>IF(AND(BP$30,$O96),$C$31,"")</f>
        <v/>
      </c>
      <c r="BQ96" s="32" t="str">
        <f>IF(AND(BQ$30,$O96),$D$31,"")</f>
        <v/>
      </c>
      <c r="BR96" s="32" t="str">
        <f>IF(AND(BR$30,$O96),$E$31,"")</f>
        <v/>
      </c>
      <c r="BS96" s="54" t="str">
        <f>IF(AND(BS$30,$O96),$F$31,"")</f>
        <v/>
      </c>
      <c r="BT96" s="31" t="str">
        <f>IF(AND(BT$30,$O96),$C$31,"")</f>
        <v/>
      </c>
      <c r="BU96" s="32" t="str">
        <f>IF(AND(BU$30,$O96),$D$31,"")</f>
        <v/>
      </c>
      <c r="BV96" s="32" t="str">
        <f>IF(AND(BV$30,$O96),$E$31,"")</f>
        <v/>
      </c>
      <c r="BW96" s="54" t="str">
        <f>IF(AND(BW$30,$O96),$F$31,"")</f>
        <v/>
      </c>
      <c r="BX96" s="31" t="str">
        <f>IF(AND(BX$30,$O96),$C$31,"")</f>
        <v/>
      </c>
      <c r="BY96" s="32" t="str">
        <f>IF(AND(BY$30,$O96),$D$31,"")</f>
        <v/>
      </c>
      <c r="BZ96" s="32" t="str">
        <f>IF(AND(BZ$30,$O96),$E$31,"")</f>
        <v/>
      </c>
      <c r="CA96" s="54" t="str">
        <f>IF(AND(CA$30,$O96),$F$31,"")</f>
        <v/>
      </c>
      <c r="CB96" s="31" t="str">
        <f>IF(AND(CB$30,$O96),$C$31,"")</f>
        <v/>
      </c>
      <c r="CC96" s="32" t="str">
        <f>IF(AND(CC$30,$O96),$D$31,"")</f>
        <v/>
      </c>
      <c r="CD96" s="32" t="str">
        <f>IF(AND(CD$30,$O96),$E$31,"")</f>
        <v/>
      </c>
      <c r="CE96" s="54" t="str">
        <f>IF(AND(CE$30,$O96),$F$31,"")</f>
        <v/>
      </c>
    </row>
    <row r="97" spans="12:83">
      <c r="L97" s="87"/>
      <c r="M97" s="36" t="str">
        <f t="shared" si="21"/>
        <v>-</v>
      </c>
      <c r="O97" s="82">
        <f>BinAnd(N95,Ce)</f>
        <v>0</v>
      </c>
      <c r="P97" s="31" t="str">
        <f>IF(AND(P$30,$O97),$C$32,"")</f>
        <v/>
      </c>
      <c r="Q97" s="32" t="str">
        <f>IF(AND(Q$30,$O97),$D$32,"")</f>
        <v/>
      </c>
      <c r="R97" s="32" t="str">
        <f>IF(AND(R$30,$O97),$E$32,"")</f>
        <v/>
      </c>
      <c r="S97" s="54" t="str">
        <f>IF(AND(S$30,$O97),$F$32,"")</f>
        <v/>
      </c>
      <c r="T97" s="31" t="str">
        <f>IF(AND(T$30,$O97),$C$32,"")</f>
        <v/>
      </c>
      <c r="U97" s="32" t="str">
        <f>IF(AND(U$30,$O97),$D$32,"")</f>
        <v/>
      </c>
      <c r="V97" s="32" t="str">
        <f>IF(AND(V$30,$O97),$E$32,"")</f>
        <v/>
      </c>
      <c r="W97" s="54" t="str">
        <f>IF(AND(W$30,$O97),$F$32,"")</f>
        <v/>
      </c>
      <c r="X97" s="31" t="str">
        <f>IF(AND(X$30,$O97),$C$32,"")</f>
        <v/>
      </c>
      <c r="Y97" s="32" t="str">
        <f>IF(AND(Y$30,$O97),$D$32,"")</f>
        <v/>
      </c>
      <c r="Z97" s="32" t="str">
        <f>IF(AND(Z$30,$O97),$E$32,"")</f>
        <v/>
      </c>
      <c r="AA97" s="54" t="str">
        <f>IF(AND(AA$30,$O97),$F$32,"")</f>
        <v/>
      </c>
      <c r="AB97" s="31" t="str">
        <f>IF(AND(AB$30,$O97),$C$32,"")</f>
        <v/>
      </c>
      <c r="AC97" s="32" t="str">
        <f>IF(AND(AC$30,$O97),$D$32,"")</f>
        <v/>
      </c>
      <c r="AD97" s="32" t="str">
        <f>IF(AND(AD$30,$O97),$E$32,"")</f>
        <v/>
      </c>
      <c r="AE97" s="54" t="str">
        <f>IF(AND(AE$30,$O97),$F$32,"")</f>
        <v/>
      </c>
      <c r="AF97" s="31" t="str">
        <f>IF(AND(AF$30,$O97),$C$32,"")</f>
        <v/>
      </c>
      <c r="AG97" s="32" t="str">
        <f>IF(AND(AG$30,$O97),$D$32,"")</f>
        <v/>
      </c>
      <c r="AH97" s="32" t="str">
        <f>IF(AND(AH$30,$O97),$E$32,"")</f>
        <v/>
      </c>
      <c r="AI97" s="54" t="str">
        <f>IF(AND(AI$30,$O97),$F$32,"")</f>
        <v/>
      </c>
      <c r="AJ97" s="31" t="str">
        <f>IF(AND(AJ$30,$O97),$C$32,"")</f>
        <v/>
      </c>
      <c r="AK97" s="32" t="str">
        <f>IF(AND(AK$30,$O97),$D$32,"")</f>
        <v/>
      </c>
      <c r="AL97" s="32" t="str">
        <f>IF(AND(AL$30,$O97),$E$32,"")</f>
        <v/>
      </c>
      <c r="AM97" s="54" t="str">
        <f>IF(AND(AM$30,$O97),$F$32,"")</f>
        <v/>
      </c>
      <c r="AN97" s="31" t="str">
        <f>IF(AND(AN$30,$O97),$C$32,"")</f>
        <v/>
      </c>
      <c r="AO97" s="32" t="str">
        <f>IF(AND(AO$30,$O97),$D$32,"")</f>
        <v/>
      </c>
      <c r="AP97" s="32" t="str">
        <f>IF(AND(AP$30,$O97),$E$32,"")</f>
        <v/>
      </c>
      <c r="AQ97" s="54" t="str">
        <f>IF(AND(AQ$30,$O97),$F$32,"")</f>
        <v/>
      </c>
      <c r="AR97" s="31" t="str">
        <f>IF(AND(AR$30,$O97),$C$32,"")</f>
        <v/>
      </c>
      <c r="AS97" s="32" t="str">
        <f>IF(AND(AS$30,$O97),$D$32,"")</f>
        <v/>
      </c>
      <c r="AT97" s="32" t="str">
        <f>IF(AND(AT$30,$O97),$E$32,"")</f>
        <v/>
      </c>
      <c r="AU97" s="54" t="str">
        <f>IF(AND(AU$30,$O97),$F$32,"")</f>
        <v/>
      </c>
      <c r="AV97" s="31" t="str">
        <f>IF(AND(AV$30,$O97),$C$32,"")</f>
        <v/>
      </c>
      <c r="AW97" s="32" t="str">
        <f>IF(AND(AW$30,$O97),$D$32,"")</f>
        <v/>
      </c>
      <c r="AX97" s="32" t="str">
        <f>IF(AND(AX$30,$O97),$E$32,"")</f>
        <v/>
      </c>
      <c r="AY97" s="54" t="str">
        <f>IF(AND(AY$30,$O97),$F$32,"")</f>
        <v/>
      </c>
      <c r="AZ97" s="31" t="str">
        <f>IF(AND(AZ$30,$O97),$C$32,"")</f>
        <v/>
      </c>
      <c r="BA97" s="32" t="str">
        <f>IF(AND(BA$30,$O97),$D$32,"")</f>
        <v/>
      </c>
      <c r="BB97" s="32" t="str">
        <f>IF(AND(BB$30,$O97),$E$32,"")</f>
        <v/>
      </c>
      <c r="BC97" s="54" t="str">
        <f>IF(AND(BC$30,$O97),$F$32,"")</f>
        <v/>
      </c>
      <c r="BD97" s="31" t="str">
        <f>IF(AND(BD$30,$O97),$C$32,"")</f>
        <v/>
      </c>
      <c r="BE97" s="32" t="str">
        <f>IF(AND(BE$30,$O97),$D$32,"")</f>
        <v/>
      </c>
      <c r="BF97" s="32" t="str">
        <f>IF(AND(BF$30,$O97),$E$32,"")</f>
        <v/>
      </c>
      <c r="BG97" s="54" t="str">
        <f>IF(AND(BG$30,$O97),$F$32,"")</f>
        <v/>
      </c>
      <c r="BH97" s="31" t="str">
        <f>IF(AND(BH$30,$O97),$C$32,"")</f>
        <v/>
      </c>
      <c r="BI97" s="32" t="str">
        <f>IF(AND(BI$30,$O97),$D$32,"")</f>
        <v/>
      </c>
      <c r="BJ97" s="32" t="str">
        <f>IF(AND(BJ$30,$O97),$E$32,"")</f>
        <v/>
      </c>
      <c r="BK97" s="54" t="str">
        <f>IF(AND(BK$30,$O97),$F$32,"")</f>
        <v/>
      </c>
      <c r="BL97" s="31" t="str">
        <f>IF(AND(BL$30,$O97),$C$32,"")</f>
        <v/>
      </c>
      <c r="BM97" s="32" t="str">
        <f>IF(AND(BM$30,$O97),$D$32,"")</f>
        <v/>
      </c>
      <c r="BN97" s="32" t="str">
        <f>IF(AND(BN$30,$O97),$E$32,"")</f>
        <v/>
      </c>
      <c r="BO97" s="54" t="str">
        <f>IF(AND(BO$30,$O97),$F$32,"")</f>
        <v/>
      </c>
      <c r="BP97" s="31" t="str">
        <f>IF(AND(BP$30,$O97),$C$32,"")</f>
        <v/>
      </c>
      <c r="BQ97" s="32" t="str">
        <f>IF(AND(BQ$30,$O97),$D$32,"")</f>
        <v/>
      </c>
      <c r="BR97" s="32" t="str">
        <f>IF(AND(BR$30,$O97),$E$32,"")</f>
        <v/>
      </c>
      <c r="BS97" s="54" t="str">
        <f>IF(AND(BS$30,$O97),$F$32,"")</f>
        <v/>
      </c>
      <c r="BT97" s="31" t="str">
        <f>IF(AND(BT$30,$O97),$C$32,"")</f>
        <v/>
      </c>
      <c r="BU97" s="32" t="str">
        <f>IF(AND(BU$30,$O97),$D$32,"")</f>
        <v/>
      </c>
      <c r="BV97" s="32" t="str">
        <f>IF(AND(BV$30,$O97),$E$32,"")</f>
        <v/>
      </c>
      <c r="BW97" s="54" t="str">
        <f>IF(AND(BW$30,$O97),$F$32,"")</f>
        <v/>
      </c>
      <c r="BX97" s="31" t="str">
        <f>IF(AND(BX$30,$O97),$C$32,"")</f>
        <v/>
      </c>
      <c r="BY97" s="32" t="str">
        <f>IF(AND(BY$30,$O97),$D$32,"")</f>
        <v/>
      </c>
      <c r="BZ97" s="32" t="str">
        <f>IF(AND(BZ$30,$O97),$E$32,"")</f>
        <v/>
      </c>
      <c r="CA97" s="54" t="str">
        <f>IF(AND(CA$30,$O97),$F$32,"")</f>
        <v/>
      </c>
      <c r="CB97" s="31" t="str">
        <f>IF(AND(CB$30,$O97),$C$32,"")</f>
        <v/>
      </c>
      <c r="CC97" s="32" t="str">
        <f>IF(AND(CC$30,$O97),$D$32,"")</f>
        <v/>
      </c>
      <c r="CD97" s="32" t="str">
        <f>IF(AND(CD$30,$O97),$E$32,"")</f>
        <v/>
      </c>
      <c r="CE97" s="54" t="str">
        <f>IF(AND(CE$30,$O97),$F$32,"")</f>
        <v/>
      </c>
    </row>
    <row r="98" spans="12:83" ht="15.75" thickBot="1">
      <c r="L98" s="86"/>
      <c r="M98" s="37" t="str">
        <f t="shared" si="21"/>
        <v>-</v>
      </c>
      <c r="O98" s="43">
        <f>BinAnd(N95,G)</f>
        <v>0</v>
      </c>
      <c r="P98" s="55" t="str">
        <f>IF(AND(P$30,$O98),$C$33,"")</f>
        <v/>
      </c>
      <c r="Q98" s="56" t="str">
        <f>IF(AND(Q$30,$O98),$D$33,"")</f>
        <v/>
      </c>
      <c r="R98" s="56" t="str">
        <f>IF(AND(R$30,$O98),$E$33,"")</f>
        <v/>
      </c>
      <c r="S98" s="57" t="str">
        <f>IF(AND(S$30,$O98),$F$33,"")</f>
        <v/>
      </c>
      <c r="T98" s="55" t="str">
        <f>IF(AND(T$30,$O98),$C$33,"")</f>
        <v/>
      </c>
      <c r="U98" s="56" t="str">
        <f>IF(AND(U$30,$O98),$D$33,"")</f>
        <v/>
      </c>
      <c r="V98" s="56" t="str">
        <f>IF(AND(V$30,$O98),$E$33,"")</f>
        <v/>
      </c>
      <c r="W98" s="57" t="str">
        <f>IF(AND(W$30,$O98),$F$33,"")</f>
        <v/>
      </c>
      <c r="X98" s="55" t="str">
        <f>IF(AND(X$30,$O98),$C$33,"")</f>
        <v/>
      </c>
      <c r="Y98" s="56" t="str">
        <f>IF(AND(Y$30,$O98),$D$33,"")</f>
        <v/>
      </c>
      <c r="Z98" s="56" t="str">
        <f>IF(AND(Z$30,$O98),$E$33,"")</f>
        <v/>
      </c>
      <c r="AA98" s="57" t="str">
        <f>IF(AND(AA$30,$O98),$F$33,"")</f>
        <v/>
      </c>
      <c r="AB98" s="55" t="str">
        <f>IF(AND(AB$30,$O98),$C$33,"")</f>
        <v/>
      </c>
      <c r="AC98" s="56" t="str">
        <f>IF(AND(AC$30,$O98),$D$33,"")</f>
        <v/>
      </c>
      <c r="AD98" s="56" t="str">
        <f>IF(AND(AD$30,$O98),$E$33,"")</f>
        <v/>
      </c>
      <c r="AE98" s="57" t="str">
        <f>IF(AND(AE$30,$O98),$F$33,"")</f>
        <v/>
      </c>
      <c r="AF98" s="55" t="str">
        <f>IF(AND(AF$30,$O98),$C$33,"")</f>
        <v/>
      </c>
      <c r="AG98" s="56" t="str">
        <f>IF(AND(AG$30,$O98),$D$33,"")</f>
        <v/>
      </c>
      <c r="AH98" s="56" t="str">
        <f>IF(AND(AH$30,$O98),$E$33,"")</f>
        <v/>
      </c>
      <c r="AI98" s="57" t="str">
        <f>IF(AND(AI$30,$O98),$F$33,"")</f>
        <v/>
      </c>
      <c r="AJ98" s="55" t="str">
        <f>IF(AND(AJ$30,$O98),$C$33,"")</f>
        <v/>
      </c>
      <c r="AK98" s="56" t="str">
        <f>IF(AND(AK$30,$O98),$D$33,"")</f>
        <v/>
      </c>
      <c r="AL98" s="56" t="str">
        <f>IF(AND(AL$30,$O98),$E$33,"")</f>
        <v/>
      </c>
      <c r="AM98" s="57" t="str">
        <f>IF(AND(AM$30,$O98),$F$33,"")</f>
        <v/>
      </c>
      <c r="AN98" s="55" t="str">
        <f>IF(AND(AN$30,$O98),$C$33,"")</f>
        <v/>
      </c>
      <c r="AO98" s="56" t="str">
        <f>IF(AND(AO$30,$O98),$D$33,"")</f>
        <v/>
      </c>
      <c r="AP98" s="56" t="str">
        <f>IF(AND(AP$30,$O98),$E$33,"")</f>
        <v/>
      </c>
      <c r="AQ98" s="57" t="str">
        <f>IF(AND(AQ$30,$O98),$F$33,"")</f>
        <v/>
      </c>
      <c r="AR98" s="55" t="str">
        <f>IF(AND(AR$30,$O98),$C$33,"")</f>
        <v/>
      </c>
      <c r="AS98" s="56" t="str">
        <f>IF(AND(AS$30,$O98),$D$33,"")</f>
        <v/>
      </c>
      <c r="AT98" s="56" t="str">
        <f>IF(AND(AT$30,$O98),$E$33,"")</f>
        <v/>
      </c>
      <c r="AU98" s="57" t="str">
        <f>IF(AND(AU$30,$O98),$F$33,"")</f>
        <v/>
      </c>
      <c r="AV98" s="55" t="str">
        <f>IF(AND(AV$30,$O98),$C$33,"")</f>
        <v/>
      </c>
      <c r="AW98" s="56" t="str">
        <f>IF(AND(AW$30,$O98),$D$33,"")</f>
        <v/>
      </c>
      <c r="AX98" s="56" t="str">
        <f>IF(AND(AX$30,$O98),$E$33,"")</f>
        <v/>
      </c>
      <c r="AY98" s="57" t="str">
        <f>IF(AND(AY$30,$O98),$F$33,"")</f>
        <v/>
      </c>
      <c r="AZ98" s="55" t="str">
        <f>IF(AND(AZ$30,$O98),$C$33,"")</f>
        <v/>
      </c>
      <c r="BA98" s="56" t="str">
        <f>IF(AND(BA$30,$O98),$D$33,"")</f>
        <v/>
      </c>
      <c r="BB98" s="56" t="str">
        <f>IF(AND(BB$30,$O98),$E$33,"")</f>
        <v/>
      </c>
      <c r="BC98" s="57" t="str">
        <f>IF(AND(BC$30,$O98),$F$33,"")</f>
        <v/>
      </c>
      <c r="BD98" s="55" t="str">
        <f>IF(AND(BD$30,$O98),$C$33,"")</f>
        <v/>
      </c>
      <c r="BE98" s="56" t="str">
        <f>IF(AND(BE$30,$O98),$D$33,"")</f>
        <v/>
      </c>
      <c r="BF98" s="56" t="str">
        <f>IF(AND(BF$30,$O98),$E$33,"")</f>
        <v/>
      </c>
      <c r="BG98" s="57" t="str">
        <f>IF(AND(BG$30,$O98),$F$33,"")</f>
        <v/>
      </c>
      <c r="BH98" s="55" t="str">
        <f>IF(AND(BH$30,$O98),$C$33,"")</f>
        <v/>
      </c>
      <c r="BI98" s="56" t="str">
        <f>IF(AND(BI$30,$O98),$D$33,"")</f>
        <v/>
      </c>
      <c r="BJ98" s="56" t="str">
        <f>IF(AND(BJ$30,$O98),$E$33,"")</f>
        <v/>
      </c>
      <c r="BK98" s="57" t="str">
        <f>IF(AND(BK$30,$O98),$F$33,"")</f>
        <v/>
      </c>
      <c r="BL98" s="55" t="str">
        <f>IF(AND(BL$30,$O98),$C$33,"")</f>
        <v/>
      </c>
      <c r="BM98" s="56" t="str">
        <f>IF(AND(BM$30,$O98),$D$33,"")</f>
        <v/>
      </c>
      <c r="BN98" s="56" t="str">
        <f>IF(AND(BN$30,$O98),$E$33,"")</f>
        <v/>
      </c>
      <c r="BO98" s="57" t="str">
        <f>IF(AND(BO$30,$O98),$F$33,"")</f>
        <v/>
      </c>
      <c r="BP98" s="55" t="str">
        <f>IF(AND(BP$30,$O98),$C$33,"")</f>
        <v/>
      </c>
      <c r="BQ98" s="56" t="str">
        <f>IF(AND(BQ$30,$O98),$D$33,"")</f>
        <v/>
      </c>
      <c r="BR98" s="56" t="str">
        <f>IF(AND(BR$30,$O98),$E$33,"")</f>
        <v/>
      </c>
      <c r="BS98" s="57" t="str">
        <f>IF(AND(BS$30,$O98),$F$33,"")</f>
        <v/>
      </c>
      <c r="BT98" s="55" t="str">
        <f>IF(AND(BT$30,$O98),$C$33,"")</f>
        <v/>
      </c>
      <c r="BU98" s="56" t="str">
        <f>IF(AND(BU$30,$O98),$D$33,"")</f>
        <v/>
      </c>
      <c r="BV98" s="56" t="str">
        <f>IF(AND(BV$30,$O98),$E$33,"")</f>
        <v/>
      </c>
      <c r="BW98" s="57" t="str">
        <f>IF(AND(BW$30,$O98),$F$33,"")</f>
        <v/>
      </c>
      <c r="BX98" s="55" t="str">
        <f>IF(AND(BX$30,$O98),$C$33,"")</f>
        <v/>
      </c>
      <c r="BY98" s="56" t="str">
        <f>IF(AND(BY$30,$O98),$D$33,"")</f>
        <v/>
      </c>
      <c r="BZ98" s="56" t="str">
        <f>IF(AND(BZ$30,$O98),$E$33,"")</f>
        <v/>
      </c>
      <c r="CA98" s="57" t="str">
        <f>IF(AND(CA$30,$O98),$F$33,"")</f>
        <v/>
      </c>
      <c r="CB98" s="55" t="str">
        <f>IF(AND(CB$30,$O98),$C$33,"")</f>
        <v/>
      </c>
      <c r="CC98" s="56" t="str">
        <f>IF(AND(CC$30,$O98),$D$33,"")</f>
        <v/>
      </c>
      <c r="CD98" s="56" t="str">
        <f>IF(AND(CD$30,$O98),$E$33,"")</f>
        <v/>
      </c>
      <c r="CE98" s="57" t="str">
        <f>IF(AND(CE$30,$O98),$F$33,"")</f>
        <v/>
      </c>
    </row>
  </sheetData>
  <pageMargins left="0.7" right="0.7" top="0.78740157499999996" bottom="0.78740157499999996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dS"/>
  <dimension ref="A1:CE98"/>
  <sheetViews>
    <sheetView topLeftCell="A49" workbookViewId="0">
      <selection activeCell="A26" sqref="A26:F33"/>
    </sheetView>
  </sheetViews>
  <sheetFormatPr baseColWidth="10" defaultColWidth="4.28515625" defaultRowHeight="15"/>
  <cols>
    <col min="2" max="2" width="5.85546875" bestFit="1" customWidth="1"/>
    <col min="12" max="12" width="2.85546875" bestFit="1" customWidth="1"/>
    <col min="14" max="14" width="3" bestFit="1" customWidth="1"/>
  </cols>
  <sheetData>
    <row r="1" spans="3:76" ht="15.75" thickBot="1"/>
    <row r="2" spans="3:76">
      <c r="C2" t="s">
        <v>86</v>
      </c>
      <c r="H2" s="6">
        <v>8</v>
      </c>
      <c r="I2" s="7" t="s">
        <v>2</v>
      </c>
      <c r="J2" s="7">
        <v>0</v>
      </c>
      <c r="K2" s="7">
        <v>0</v>
      </c>
      <c r="L2" s="7">
        <v>0</v>
      </c>
      <c r="M2" s="7">
        <v>0</v>
      </c>
      <c r="N2" s="7">
        <v>0</v>
      </c>
      <c r="O2" s="7">
        <v>0</v>
      </c>
      <c r="P2" s="7">
        <v>0</v>
      </c>
      <c r="Q2" s="7">
        <v>0</v>
      </c>
      <c r="R2" s="7">
        <v>1</v>
      </c>
      <c r="S2" s="7">
        <v>1</v>
      </c>
      <c r="T2" s="7">
        <v>1</v>
      </c>
      <c r="U2" s="7">
        <v>1</v>
      </c>
      <c r="V2" s="7">
        <v>1</v>
      </c>
      <c r="W2" s="7">
        <v>1</v>
      </c>
      <c r="X2" s="7">
        <v>1</v>
      </c>
      <c r="Y2" s="8">
        <v>1</v>
      </c>
      <c r="AC2" t="s">
        <v>87</v>
      </c>
      <c r="AH2" s="6">
        <v>8</v>
      </c>
      <c r="AI2" s="7" t="s">
        <v>2</v>
      </c>
      <c r="AJ2" s="7">
        <v>0</v>
      </c>
      <c r="AK2" s="7">
        <v>0</v>
      </c>
      <c r="AL2" s="7">
        <v>0</v>
      </c>
      <c r="AM2" s="7">
        <v>0</v>
      </c>
      <c r="AN2" s="7">
        <v>0</v>
      </c>
      <c r="AO2" s="7">
        <v>0</v>
      </c>
      <c r="AP2" s="7">
        <v>0</v>
      </c>
      <c r="AQ2" s="7">
        <v>0</v>
      </c>
      <c r="AR2" s="7">
        <v>1</v>
      </c>
      <c r="AS2" s="7">
        <v>1</v>
      </c>
      <c r="AT2" s="7">
        <v>1</v>
      </c>
      <c r="AU2" s="7">
        <v>1</v>
      </c>
      <c r="AV2" s="7">
        <v>1</v>
      </c>
      <c r="AW2" s="7">
        <v>1</v>
      </c>
      <c r="AX2" s="7">
        <v>1</v>
      </c>
      <c r="AY2" s="8">
        <v>1</v>
      </c>
      <c r="BB2" t="s">
        <v>106</v>
      </c>
      <c r="BG2" s="6">
        <v>8</v>
      </c>
      <c r="BH2" s="7" t="s">
        <v>2</v>
      </c>
      <c r="BI2" s="7">
        <v>0</v>
      </c>
      <c r="BJ2" s="7">
        <v>0</v>
      </c>
      <c r="BK2" s="7">
        <v>0</v>
      </c>
      <c r="BL2" s="7">
        <v>0</v>
      </c>
      <c r="BM2" s="7">
        <v>0</v>
      </c>
      <c r="BN2" s="7">
        <v>0</v>
      </c>
      <c r="BO2" s="7">
        <v>0</v>
      </c>
      <c r="BP2" s="7">
        <v>0</v>
      </c>
      <c r="BQ2" s="7">
        <v>1</v>
      </c>
      <c r="BR2" s="7">
        <v>1</v>
      </c>
      <c r="BS2" s="7">
        <v>1</v>
      </c>
      <c r="BT2" s="7">
        <v>1</v>
      </c>
      <c r="BU2" s="7">
        <v>1</v>
      </c>
      <c r="BV2" s="7">
        <v>1</v>
      </c>
      <c r="BW2" s="7">
        <v>1</v>
      </c>
      <c r="BX2" s="8">
        <v>1</v>
      </c>
    </row>
    <row r="3" spans="3:76">
      <c r="H3" s="9">
        <v>4</v>
      </c>
      <c r="I3" s="10" t="s">
        <v>1</v>
      </c>
      <c r="J3" s="10">
        <v>0</v>
      </c>
      <c r="K3" s="10">
        <v>0</v>
      </c>
      <c r="L3" s="10">
        <v>0</v>
      </c>
      <c r="M3" s="10">
        <v>0</v>
      </c>
      <c r="N3" s="10">
        <v>1</v>
      </c>
      <c r="O3" s="10">
        <v>1</v>
      </c>
      <c r="P3" s="10">
        <v>1</v>
      </c>
      <c r="Q3" s="10">
        <v>1</v>
      </c>
      <c r="R3" s="10">
        <v>0</v>
      </c>
      <c r="S3" s="10">
        <v>0</v>
      </c>
      <c r="T3" s="10">
        <v>0</v>
      </c>
      <c r="U3" s="10">
        <v>0</v>
      </c>
      <c r="V3" s="10">
        <v>1</v>
      </c>
      <c r="W3" s="10">
        <v>1</v>
      </c>
      <c r="X3" s="10">
        <v>1</v>
      </c>
      <c r="Y3" s="11">
        <v>1</v>
      </c>
      <c r="AH3" s="9">
        <v>4</v>
      </c>
      <c r="AI3" s="10" t="s">
        <v>1</v>
      </c>
      <c r="AJ3" s="10">
        <v>0</v>
      </c>
      <c r="AK3" s="10">
        <v>0</v>
      </c>
      <c r="AL3" s="10">
        <v>0</v>
      </c>
      <c r="AM3" s="10">
        <v>0</v>
      </c>
      <c r="AN3" s="10">
        <v>1</v>
      </c>
      <c r="AO3" s="10">
        <v>1</v>
      </c>
      <c r="AP3" s="10">
        <v>1</v>
      </c>
      <c r="AQ3" s="10">
        <v>1</v>
      </c>
      <c r="AR3" s="10">
        <v>0</v>
      </c>
      <c r="AS3" s="10">
        <v>0</v>
      </c>
      <c r="AT3" s="10">
        <v>0</v>
      </c>
      <c r="AU3" s="10">
        <v>0</v>
      </c>
      <c r="AV3" s="10">
        <v>1</v>
      </c>
      <c r="AW3" s="10">
        <v>1</v>
      </c>
      <c r="AX3" s="10">
        <v>1</v>
      </c>
      <c r="AY3" s="11">
        <v>1</v>
      </c>
      <c r="BG3" s="9">
        <v>4</v>
      </c>
      <c r="BH3" s="10" t="s">
        <v>1</v>
      </c>
      <c r="BI3" s="10">
        <v>0</v>
      </c>
      <c r="BJ3" s="10">
        <v>0</v>
      </c>
      <c r="BK3" s="10">
        <v>0</v>
      </c>
      <c r="BL3" s="10">
        <v>0</v>
      </c>
      <c r="BM3" s="10">
        <v>1</v>
      </c>
      <c r="BN3" s="10">
        <v>1</v>
      </c>
      <c r="BO3" s="10">
        <v>1</v>
      </c>
      <c r="BP3" s="10">
        <v>1</v>
      </c>
      <c r="BQ3" s="10">
        <v>0</v>
      </c>
      <c r="BR3" s="10">
        <v>0</v>
      </c>
      <c r="BS3" s="10">
        <v>0</v>
      </c>
      <c r="BT3" s="10">
        <v>0</v>
      </c>
      <c r="BU3" s="10">
        <v>1</v>
      </c>
      <c r="BV3" s="10">
        <v>1</v>
      </c>
      <c r="BW3" s="10">
        <v>1</v>
      </c>
      <c r="BX3" s="11">
        <v>1</v>
      </c>
    </row>
    <row r="4" spans="3:76">
      <c r="H4" s="9">
        <v>2</v>
      </c>
      <c r="I4" s="10" t="s">
        <v>4</v>
      </c>
      <c r="J4" s="10">
        <v>0</v>
      </c>
      <c r="K4" s="10">
        <v>0</v>
      </c>
      <c r="L4" s="10">
        <v>1</v>
      </c>
      <c r="M4" s="10">
        <v>1</v>
      </c>
      <c r="N4" s="10">
        <v>0</v>
      </c>
      <c r="O4" s="10">
        <v>0</v>
      </c>
      <c r="P4" s="10">
        <v>1</v>
      </c>
      <c r="Q4" s="10">
        <v>1</v>
      </c>
      <c r="R4" s="10">
        <v>0</v>
      </c>
      <c r="S4" s="10">
        <v>0</v>
      </c>
      <c r="T4" s="10">
        <v>1</v>
      </c>
      <c r="U4" s="10">
        <v>1</v>
      </c>
      <c r="V4" s="10">
        <v>0</v>
      </c>
      <c r="W4" s="10">
        <v>0</v>
      </c>
      <c r="X4" s="10">
        <v>1</v>
      </c>
      <c r="Y4" s="11">
        <v>1</v>
      </c>
      <c r="AH4" s="9">
        <v>2</v>
      </c>
      <c r="AI4" s="10" t="s">
        <v>4</v>
      </c>
      <c r="AJ4" s="10">
        <v>0</v>
      </c>
      <c r="AK4" s="10">
        <v>0</v>
      </c>
      <c r="AL4" s="10">
        <v>1</v>
      </c>
      <c r="AM4" s="10">
        <v>1</v>
      </c>
      <c r="AN4" s="10">
        <v>0</v>
      </c>
      <c r="AO4" s="10">
        <v>0</v>
      </c>
      <c r="AP4" s="10">
        <v>1</v>
      </c>
      <c r="AQ4" s="10">
        <v>1</v>
      </c>
      <c r="AR4" s="10">
        <v>0</v>
      </c>
      <c r="AS4" s="10">
        <v>0</v>
      </c>
      <c r="AT4" s="10">
        <v>1</v>
      </c>
      <c r="AU4" s="10">
        <v>1</v>
      </c>
      <c r="AV4" s="10">
        <v>0</v>
      </c>
      <c r="AW4" s="10">
        <v>0</v>
      </c>
      <c r="AX4" s="10">
        <v>1</v>
      </c>
      <c r="AY4" s="11">
        <v>1</v>
      </c>
      <c r="BG4" s="9">
        <v>2</v>
      </c>
      <c r="BH4" s="10" t="s">
        <v>4</v>
      </c>
      <c r="BI4" s="10">
        <v>0</v>
      </c>
      <c r="BJ4" s="10">
        <v>0</v>
      </c>
      <c r="BK4" s="10">
        <v>1</v>
      </c>
      <c r="BL4" s="10">
        <v>1</v>
      </c>
      <c r="BM4" s="10">
        <v>0</v>
      </c>
      <c r="BN4" s="10">
        <v>0</v>
      </c>
      <c r="BO4" s="10">
        <v>1</v>
      </c>
      <c r="BP4" s="10">
        <v>1</v>
      </c>
      <c r="BQ4" s="10">
        <v>0</v>
      </c>
      <c r="BR4" s="10">
        <v>0</v>
      </c>
      <c r="BS4" s="10">
        <v>1</v>
      </c>
      <c r="BT4" s="10">
        <v>1</v>
      </c>
      <c r="BU4" s="10">
        <v>0</v>
      </c>
      <c r="BV4" s="10">
        <v>0</v>
      </c>
      <c r="BW4" s="10">
        <v>1</v>
      </c>
      <c r="BX4" s="11">
        <v>1</v>
      </c>
    </row>
    <row r="5" spans="3:76" ht="15.75" thickBot="1">
      <c r="H5" s="12">
        <v>1</v>
      </c>
      <c r="I5" s="13" t="s">
        <v>3</v>
      </c>
      <c r="J5" s="13">
        <v>0</v>
      </c>
      <c r="K5" s="13">
        <v>1</v>
      </c>
      <c r="L5" s="13">
        <v>0</v>
      </c>
      <c r="M5" s="13">
        <v>1</v>
      </c>
      <c r="N5" s="13">
        <v>0</v>
      </c>
      <c r="O5" s="13">
        <v>1</v>
      </c>
      <c r="P5" s="13">
        <v>0</v>
      </c>
      <c r="Q5" s="13">
        <v>1</v>
      </c>
      <c r="R5" s="13">
        <v>0</v>
      </c>
      <c r="S5" s="13">
        <v>1</v>
      </c>
      <c r="T5" s="13">
        <v>0</v>
      </c>
      <c r="U5" s="13">
        <v>1</v>
      </c>
      <c r="V5" s="13">
        <v>0</v>
      </c>
      <c r="W5" s="13">
        <v>1</v>
      </c>
      <c r="X5" s="13">
        <v>0</v>
      </c>
      <c r="Y5" s="14">
        <v>1</v>
      </c>
      <c r="AH5" s="12">
        <v>1</v>
      </c>
      <c r="AI5" s="13" t="s">
        <v>3</v>
      </c>
      <c r="AJ5" s="13">
        <v>0</v>
      </c>
      <c r="AK5" s="13">
        <v>1</v>
      </c>
      <c r="AL5" s="13">
        <v>0</v>
      </c>
      <c r="AM5" s="13">
        <v>1</v>
      </c>
      <c r="AN5" s="13">
        <v>0</v>
      </c>
      <c r="AO5" s="13">
        <v>1</v>
      </c>
      <c r="AP5" s="13">
        <v>0</v>
      </c>
      <c r="AQ5" s="13">
        <v>1</v>
      </c>
      <c r="AR5" s="13">
        <v>0</v>
      </c>
      <c r="AS5" s="13">
        <v>1</v>
      </c>
      <c r="AT5" s="13">
        <v>0</v>
      </c>
      <c r="AU5" s="13">
        <v>1</v>
      </c>
      <c r="AV5" s="13">
        <v>0</v>
      </c>
      <c r="AW5" s="13">
        <v>1</v>
      </c>
      <c r="AX5" s="13">
        <v>0</v>
      </c>
      <c r="AY5" s="14">
        <v>1</v>
      </c>
      <c r="BG5" s="12">
        <v>1</v>
      </c>
      <c r="BH5" s="13" t="s">
        <v>3</v>
      </c>
      <c r="BI5" s="13">
        <v>0</v>
      </c>
      <c r="BJ5" s="13">
        <v>1</v>
      </c>
      <c r="BK5" s="13">
        <v>0</v>
      </c>
      <c r="BL5" s="13">
        <v>1</v>
      </c>
      <c r="BM5" s="13">
        <v>0</v>
      </c>
      <c r="BN5" s="13">
        <v>1</v>
      </c>
      <c r="BO5" s="13">
        <v>0</v>
      </c>
      <c r="BP5" s="13">
        <v>1</v>
      </c>
      <c r="BQ5" s="13">
        <v>0</v>
      </c>
      <c r="BR5" s="13">
        <v>1</v>
      </c>
      <c r="BS5" s="13">
        <v>0</v>
      </c>
      <c r="BT5" s="13">
        <v>1</v>
      </c>
      <c r="BU5" s="13">
        <v>0</v>
      </c>
      <c r="BV5" s="13">
        <v>1</v>
      </c>
      <c r="BW5" s="13">
        <v>0</v>
      </c>
      <c r="BX5" s="14">
        <v>1</v>
      </c>
    </row>
    <row r="6" spans="3:76" ht="32.25" thickBot="1">
      <c r="J6" s="52" t="s">
        <v>0</v>
      </c>
      <c r="K6" s="48" t="s">
        <v>3</v>
      </c>
      <c r="L6" s="48" t="s">
        <v>4</v>
      </c>
      <c r="M6" s="48" t="s">
        <v>8</v>
      </c>
      <c r="N6" s="48" t="s">
        <v>1</v>
      </c>
      <c r="O6" s="48" t="s">
        <v>10</v>
      </c>
      <c r="P6" s="48" t="s">
        <v>11</v>
      </c>
      <c r="Q6" s="48" t="s">
        <v>13</v>
      </c>
      <c r="R6" s="48" t="s">
        <v>2</v>
      </c>
      <c r="S6" s="48" t="s">
        <v>14</v>
      </c>
      <c r="T6" s="48" t="s">
        <v>16</v>
      </c>
      <c r="U6" s="48" t="s">
        <v>18</v>
      </c>
      <c r="V6" s="48" t="s">
        <v>20</v>
      </c>
      <c r="W6" s="48" t="s">
        <v>22</v>
      </c>
      <c r="X6" s="48" t="s">
        <v>24</v>
      </c>
      <c r="Y6" s="48" t="s">
        <v>26</v>
      </c>
      <c r="AJ6" s="52" t="s">
        <v>0</v>
      </c>
      <c r="AK6" s="48" t="s">
        <v>3</v>
      </c>
      <c r="AL6" s="48" t="s">
        <v>4</v>
      </c>
      <c r="AM6" s="48" t="s">
        <v>8</v>
      </c>
      <c r="AN6" s="48" t="s">
        <v>1</v>
      </c>
      <c r="AO6" s="48" t="s">
        <v>10</v>
      </c>
      <c r="AP6" s="48" t="s">
        <v>11</v>
      </c>
      <c r="AQ6" s="48" t="s">
        <v>13</v>
      </c>
      <c r="AR6" s="48" t="s">
        <v>2</v>
      </c>
      <c r="AS6" s="48" t="s">
        <v>14</v>
      </c>
      <c r="AT6" s="48" t="s">
        <v>16</v>
      </c>
      <c r="AU6" s="48" t="s">
        <v>18</v>
      </c>
      <c r="AV6" s="48" t="s">
        <v>20</v>
      </c>
      <c r="AW6" s="48" t="s">
        <v>22</v>
      </c>
      <c r="AX6" s="48" t="s">
        <v>24</v>
      </c>
      <c r="AY6" s="48" t="s">
        <v>26</v>
      </c>
      <c r="BI6" s="52" t="s">
        <v>0</v>
      </c>
      <c r="BJ6" s="48" t="s">
        <v>3</v>
      </c>
      <c r="BK6" s="48" t="s">
        <v>4</v>
      </c>
      <c r="BL6" s="48" t="s">
        <v>8</v>
      </c>
      <c r="BM6" s="48" t="s">
        <v>1</v>
      </c>
      <c r="BN6" s="48" t="s">
        <v>10</v>
      </c>
      <c r="BO6" s="48" t="s">
        <v>11</v>
      </c>
      <c r="BP6" s="48" t="s">
        <v>13</v>
      </c>
      <c r="BQ6" s="48" t="s">
        <v>2</v>
      </c>
      <c r="BR6" s="48" t="s">
        <v>14</v>
      </c>
      <c r="BS6" s="48" t="s">
        <v>16</v>
      </c>
      <c r="BT6" s="48" t="s">
        <v>18</v>
      </c>
      <c r="BU6" s="48" t="s">
        <v>20</v>
      </c>
      <c r="BV6" s="48" t="s">
        <v>22</v>
      </c>
      <c r="BW6" s="48" t="s">
        <v>24</v>
      </c>
      <c r="BX6" s="48" t="s">
        <v>26</v>
      </c>
    </row>
    <row r="7" spans="3:76" ht="15.75" thickBot="1">
      <c r="C7" s="5">
        <v>8</v>
      </c>
      <c r="D7" s="5">
        <v>4</v>
      </c>
      <c r="E7" s="5">
        <v>2</v>
      </c>
      <c r="F7" s="5">
        <v>1</v>
      </c>
      <c r="G7" s="5"/>
      <c r="J7" s="6">
        <v>0</v>
      </c>
      <c r="K7" s="9">
        <v>1</v>
      </c>
      <c r="L7" s="9">
        <v>2</v>
      </c>
      <c r="M7" s="12">
        <v>3</v>
      </c>
      <c r="N7" s="5">
        <v>4</v>
      </c>
      <c r="O7" s="5">
        <v>5</v>
      </c>
      <c r="P7" s="5">
        <v>6</v>
      </c>
      <c r="Q7" s="5">
        <v>7</v>
      </c>
      <c r="R7" s="6">
        <v>8</v>
      </c>
      <c r="S7" s="9">
        <v>9</v>
      </c>
      <c r="T7" s="9">
        <v>10</v>
      </c>
      <c r="U7" s="12">
        <v>11</v>
      </c>
      <c r="V7" s="5">
        <v>12</v>
      </c>
      <c r="W7" s="5">
        <v>13</v>
      </c>
      <c r="X7" s="5">
        <v>14</v>
      </c>
      <c r="Y7" s="5">
        <v>15</v>
      </c>
      <c r="AC7" s="5">
        <v>8</v>
      </c>
      <c r="AD7" s="5">
        <v>4</v>
      </c>
      <c r="AE7" s="5">
        <v>2</v>
      </c>
      <c r="AF7" s="5">
        <v>1</v>
      </c>
      <c r="AG7" s="5"/>
      <c r="AJ7" s="6">
        <v>0</v>
      </c>
      <c r="AK7" s="9">
        <v>1</v>
      </c>
      <c r="AL7" s="9">
        <v>2</v>
      </c>
      <c r="AM7" s="12">
        <v>3</v>
      </c>
      <c r="AN7" s="5">
        <v>4</v>
      </c>
      <c r="AO7" s="5">
        <v>5</v>
      </c>
      <c r="AP7" s="5">
        <v>6</v>
      </c>
      <c r="AQ7" s="5">
        <v>7</v>
      </c>
      <c r="AR7" s="6">
        <v>8</v>
      </c>
      <c r="AS7" s="9">
        <v>9</v>
      </c>
      <c r="AT7" s="9">
        <v>10</v>
      </c>
      <c r="AU7" s="12">
        <v>11</v>
      </c>
      <c r="AV7" s="5">
        <v>12</v>
      </c>
      <c r="AW7" s="5">
        <v>13</v>
      </c>
      <c r="AX7" s="5">
        <v>14</v>
      </c>
      <c r="AY7" s="5">
        <v>15</v>
      </c>
      <c r="BB7" s="5">
        <v>8</v>
      </c>
      <c r="BC7" s="5">
        <v>4</v>
      </c>
      <c r="BD7" s="5">
        <v>2</v>
      </c>
      <c r="BE7" s="5">
        <v>1</v>
      </c>
      <c r="BF7" s="5"/>
      <c r="BI7" s="6">
        <v>0</v>
      </c>
      <c r="BJ7" s="9">
        <v>1</v>
      </c>
      <c r="BK7" s="9">
        <v>2</v>
      </c>
      <c r="BL7" s="12">
        <v>3</v>
      </c>
      <c r="BM7" s="5">
        <v>4</v>
      </c>
      <c r="BN7" s="5">
        <v>5</v>
      </c>
      <c r="BO7" s="5">
        <v>6</v>
      </c>
      <c r="BP7" s="5">
        <v>7</v>
      </c>
      <c r="BQ7" s="6">
        <v>8</v>
      </c>
      <c r="BR7" s="9">
        <v>9</v>
      </c>
      <c r="BS7" s="9">
        <v>10</v>
      </c>
      <c r="BT7" s="12">
        <v>11</v>
      </c>
      <c r="BU7" s="5">
        <v>12</v>
      </c>
      <c r="BV7" s="5">
        <v>13</v>
      </c>
      <c r="BW7" s="5">
        <v>14</v>
      </c>
      <c r="BX7" s="5">
        <v>15</v>
      </c>
    </row>
    <row r="8" spans="3:76" ht="15.75" thickBot="1">
      <c r="C8" s="5" t="s">
        <v>2</v>
      </c>
      <c r="D8" s="5" t="s">
        <v>1</v>
      </c>
      <c r="E8" s="5" t="s">
        <v>4</v>
      </c>
      <c r="F8" s="5" t="s">
        <v>3</v>
      </c>
      <c r="G8" s="5"/>
      <c r="J8" s="4" t="s">
        <v>0</v>
      </c>
      <c r="K8" s="3" t="s">
        <v>3</v>
      </c>
      <c r="L8" s="3" t="s">
        <v>4</v>
      </c>
      <c r="M8" s="3" t="s">
        <v>7</v>
      </c>
      <c r="N8" s="1" t="s">
        <v>1</v>
      </c>
      <c r="O8" s="1" t="s">
        <v>9</v>
      </c>
      <c r="P8" s="1" t="s">
        <v>6</v>
      </c>
      <c r="Q8" s="1" t="s">
        <v>12</v>
      </c>
      <c r="R8" s="4" t="s">
        <v>2</v>
      </c>
      <c r="S8" s="3" t="s">
        <v>5</v>
      </c>
      <c r="T8" s="3" t="s">
        <v>15</v>
      </c>
      <c r="U8" s="3" t="s">
        <v>17</v>
      </c>
      <c r="V8" s="3" t="s">
        <v>19</v>
      </c>
      <c r="W8" s="3" t="s">
        <v>21</v>
      </c>
      <c r="X8" s="3" t="s">
        <v>23</v>
      </c>
      <c r="Y8" s="1" t="s">
        <v>25</v>
      </c>
      <c r="AC8" s="5" t="s">
        <v>2</v>
      </c>
      <c r="AD8" s="5" t="s">
        <v>1</v>
      </c>
      <c r="AE8" s="5" t="s">
        <v>4</v>
      </c>
      <c r="AF8" s="5" t="s">
        <v>3</v>
      </c>
      <c r="AG8" s="5"/>
      <c r="AJ8" s="4" t="s">
        <v>0</v>
      </c>
      <c r="AK8" s="3" t="s">
        <v>3</v>
      </c>
      <c r="AL8" s="3" t="s">
        <v>4</v>
      </c>
      <c r="AM8" s="3" t="s">
        <v>7</v>
      </c>
      <c r="AN8" s="1" t="s">
        <v>1</v>
      </c>
      <c r="AO8" s="1" t="s">
        <v>9</v>
      </c>
      <c r="AP8" s="1" t="s">
        <v>6</v>
      </c>
      <c r="AQ8" s="1" t="s">
        <v>12</v>
      </c>
      <c r="AR8" s="4" t="s">
        <v>2</v>
      </c>
      <c r="AS8" s="3" t="s">
        <v>5</v>
      </c>
      <c r="AT8" s="3" t="s">
        <v>15</v>
      </c>
      <c r="AU8" s="3" t="s">
        <v>17</v>
      </c>
      <c r="AV8" s="3" t="s">
        <v>19</v>
      </c>
      <c r="AW8" s="3" t="s">
        <v>21</v>
      </c>
      <c r="AX8" s="3" t="s">
        <v>23</v>
      </c>
      <c r="AY8" s="1" t="s">
        <v>25</v>
      </c>
      <c r="BB8" s="5" t="s">
        <v>2</v>
      </c>
      <c r="BC8" s="5" t="s">
        <v>1</v>
      </c>
      <c r="BD8" s="5" t="s">
        <v>4</v>
      </c>
      <c r="BE8" s="5" t="s">
        <v>3</v>
      </c>
      <c r="BF8" s="5"/>
      <c r="BI8" s="4" t="s">
        <v>0</v>
      </c>
      <c r="BJ8" s="3" t="s">
        <v>3</v>
      </c>
      <c r="BK8" s="3" t="s">
        <v>4</v>
      </c>
      <c r="BL8" s="3" t="s">
        <v>7</v>
      </c>
      <c r="BM8" s="1" t="s">
        <v>1</v>
      </c>
      <c r="BN8" s="1" t="s">
        <v>9</v>
      </c>
      <c r="BO8" s="1" t="s">
        <v>6</v>
      </c>
      <c r="BP8" s="1" t="s">
        <v>12</v>
      </c>
      <c r="BQ8" s="4" t="s">
        <v>2</v>
      </c>
      <c r="BR8" s="3" t="s">
        <v>5</v>
      </c>
      <c r="BS8" s="3" t="s">
        <v>15</v>
      </c>
      <c r="BT8" s="3" t="s">
        <v>17</v>
      </c>
      <c r="BU8" s="3" t="s">
        <v>19</v>
      </c>
      <c r="BV8" s="3" t="s">
        <v>21</v>
      </c>
      <c r="BW8" s="3" t="s">
        <v>23</v>
      </c>
      <c r="BX8" s="1" t="s">
        <v>25</v>
      </c>
    </row>
    <row r="9" spans="3:76">
      <c r="C9" s="7">
        <v>0</v>
      </c>
      <c r="D9" s="7">
        <v>0</v>
      </c>
      <c r="E9" s="7">
        <v>0</v>
      </c>
      <c r="F9" s="8">
        <v>0</v>
      </c>
      <c r="G9" s="7" t="s">
        <v>0</v>
      </c>
      <c r="H9" s="6">
        <v>0</v>
      </c>
      <c r="I9" s="4" t="s">
        <v>0</v>
      </c>
      <c r="J9" s="83">
        <f t="shared" ref="J9:Y18" ca="1" si="0">MIN(OFFSET(dS,$H9*4,J$7*4,4,4))</f>
        <v>0</v>
      </c>
      <c r="K9" s="84">
        <f t="shared" ca="1" si="0"/>
        <v>0</v>
      </c>
      <c r="L9" s="84">
        <f t="shared" ca="1" si="0"/>
        <v>0</v>
      </c>
      <c r="M9" s="84">
        <f t="shared" ca="1" si="0"/>
        <v>0</v>
      </c>
      <c r="N9" s="83">
        <f t="shared" ca="1" si="0"/>
        <v>0</v>
      </c>
      <c r="O9" s="84">
        <f t="shared" ca="1" si="0"/>
        <v>0</v>
      </c>
      <c r="P9" s="84">
        <f t="shared" ca="1" si="0"/>
        <v>0</v>
      </c>
      <c r="Q9" s="85">
        <f t="shared" ca="1" si="0"/>
        <v>0</v>
      </c>
      <c r="R9" s="84">
        <f t="shared" ca="1" si="0"/>
        <v>0</v>
      </c>
      <c r="S9" s="84">
        <f t="shared" ca="1" si="0"/>
        <v>0</v>
      </c>
      <c r="T9" s="84">
        <f t="shared" ca="1" si="0"/>
        <v>0</v>
      </c>
      <c r="U9" s="84">
        <f t="shared" ca="1" si="0"/>
        <v>0</v>
      </c>
      <c r="V9" s="83">
        <f t="shared" ca="1" si="0"/>
        <v>0</v>
      </c>
      <c r="W9" s="84">
        <f t="shared" ca="1" si="0"/>
        <v>0</v>
      </c>
      <c r="X9" s="84">
        <f t="shared" ca="1" si="0"/>
        <v>0</v>
      </c>
      <c r="Y9" s="85">
        <f t="shared" ca="1" si="0"/>
        <v>0</v>
      </c>
      <c r="AC9" s="7">
        <v>0</v>
      </c>
      <c r="AD9" s="7">
        <v>0</v>
      </c>
      <c r="AE9" s="7">
        <v>0</v>
      </c>
      <c r="AF9" s="8">
        <v>0</v>
      </c>
      <c r="AG9" s="7" t="s">
        <v>0</v>
      </c>
      <c r="AH9" s="6">
        <v>0</v>
      </c>
      <c r="AI9" s="4" t="s">
        <v>0</v>
      </c>
      <c r="AJ9" s="83">
        <f t="shared" ref="AJ9:AY18" ca="1" si="1">MAX(OFFSET(dS,$H9*4,AJ$7*4,4,4))</f>
        <v>0</v>
      </c>
      <c r="AK9" s="84">
        <f t="shared" ca="1" si="1"/>
        <v>0</v>
      </c>
      <c r="AL9" s="84">
        <f t="shared" ca="1" si="1"/>
        <v>0</v>
      </c>
      <c r="AM9" s="84">
        <f t="shared" ca="1" si="1"/>
        <v>0</v>
      </c>
      <c r="AN9" s="83">
        <f t="shared" ca="1" si="1"/>
        <v>0</v>
      </c>
      <c r="AO9" s="84">
        <f t="shared" ca="1" si="1"/>
        <v>0</v>
      </c>
      <c r="AP9" s="84">
        <f t="shared" ca="1" si="1"/>
        <v>0</v>
      </c>
      <c r="AQ9" s="85">
        <f t="shared" ca="1" si="1"/>
        <v>0</v>
      </c>
      <c r="AR9" s="84">
        <f t="shared" ca="1" si="1"/>
        <v>0</v>
      </c>
      <c r="AS9" s="84">
        <f t="shared" ca="1" si="1"/>
        <v>0</v>
      </c>
      <c r="AT9" s="84">
        <f t="shared" ca="1" si="1"/>
        <v>0</v>
      </c>
      <c r="AU9" s="84">
        <f t="shared" ca="1" si="1"/>
        <v>0</v>
      </c>
      <c r="AV9" s="83">
        <f t="shared" ca="1" si="1"/>
        <v>0</v>
      </c>
      <c r="AW9" s="84">
        <f t="shared" ca="1" si="1"/>
        <v>0</v>
      </c>
      <c r="AX9" s="84">
        <f t="shared" ca="1" si="1"/>
        <v>0</v>
      </c>
      <c r="AY9" s="85">
        <f t="shared" ca="1" si="1"/>
        <v>0</v>
      </c>
      <c r="BB9" s="7">
        <v>0</v>
      </c>
      <c r="BC9" s="7">
        <v>0</v>
      </c>
      <c r="BD9" s="7">
        <v>0</v>
      </c>
      <c r="BE9" s="8">
        <v>0</v>
      </c>
      <c r="BF9" s="7" t="s">
        <v>0</v>
      </c>
      <c r="BG9" s="6">
        <v>0</v>
      </c>
      <c r="BH9" s="4" t="s">
        <v>0</v>
      </c>
      <c r="BI9" s="83">
        <f t="shared" ref="BI9:BJ24" ca="1" si="2">AJ9-J9</f>
        <v>0</v>
      </c>
      <c r="BJ9" s="84">
        <f ca="1">AK9-K9</f>
        <v>0</v>
      </c>
      <c r="BK9" s="84">
        <f t="shared" ref="BK9:BX24" ca="1" si="3">AL9-L9</f>
        <v>0</v>
      </c>
      <c r="BL9" s="84">
        <f t="shared" ca="1" si="3"/>
        <v>0</v>
      </c>
      <c r="BM9" s="83">
        <f t="shared" ca="1" si="3"/>
        <v>0</v>
      </c>
      <c r="BN9" s="84">
        <f t="shared" ca="1" si="3"/>
        <v>0</v>
      </c>
      <c r="BO9" s="84">
        <f t="shared" ca="1" si="3"/>
        <v>0</v>
      </c>
      <c r="BP9" s="85">
        <f t="shared" ca="1" si="3"/>
        <v>0</v>
      </c>
      <c r="BQ9" s="84">
        <f t="shared" ca="1" si="3"/>
        <v>0</v>
      </c>
      <c r="BR9" s="84">
        <f t="shared" ca="1" si="3"/>
        <v>0</v>
      </c>
      <c r="BS9" s="84">
        <f t="shared" ca="1" si="3"/>
        <v>0</v>
      </c>
      <c r="BT9" s="84">
        <f t="shared" ca="1" si="3"/>
        <v>0</v>
      </c>
      <c r="BU9" s="83">
        <f t="shared" ca="1" si="3"/>
        <v>0</v>
      </c>
      <c r="BV9" s="84">
        <f t="shared" ca="1" si="3"/>
        <v>0</v>
      </c>
      <c r="BW9" s="84">
        <f t="shared" ca="1" si="3"/>
        <v>0</v>
      </c>
      <c r="BX9" s="85">
        <f t="shared" ca="1" si="3"/>
        <v>0</v>
      </c>
    </row>
    <row r="10" spans="3:76">
      <c r="C10" s="10">
        <v>0</v>
      </c>
      <c r="D10" s="10">
        <v>0</v>
      </c>
      <c r="E10" s="10">
        <v>0</v>
      </c>
      <c r="F10" s="11">
        <v>1</v>
      </c>
      <c r="G10" s="5" t="s">
        <v>3</v>
      </c>
      <c r="H10" s="9">
        <v>1</v>
      </c>
      <c r="I10" s="3" t="s">
        <v>3</v>
      </c>
      <c r="J10" s="87">
        <f t="shared" ca="1" si="0"/>
        <v>0</v>
      </c>
      <c r="K10" s="32">
        <f t="shared" ca="1" si="0"/>
        <v>15.6</v>
      </c>
      <c r="L10" s="32">
        <f t="shared" ca="1" si="0"/>
        <v>28.4</v>
      </c>
      <c r="M10" s="32">
        <f t="shared" ca="1" si="0"/>
        <v>15.6</v>
      </c>
      <c r="N10" s="87">
        <f t="shared" ca="1" si="0"/>
        <v>23</v>
      </c>
      <c r="O10" s="32">
        <f t="shared" ca="1" si="0"/>
        <v>15.6</v>
      </c>
      <c r="P10" s="32">
        <f t="shared" ca="1" si="0"/>
        <v>23</v>
      </c>
      <c r="Q10" s="36">
        <f t="shared" ca="1" si="0"/>
        <v>15.6</v>
      </c>
      <c r="R10" s="32">
        <f t="shared" ca="1" si="0"/>
        <v>20.3</v>
      </c>
      <c r="S10" s="32">
        <f t="shared" ca="1" si="0"/>
        <v>15.6</v>
      </c>
      <c r="T10" s="32">
        <f t="shared" ca="1" si="0"/>
        <v>20.3</v>
      </c>
      <c r="U10" s="32">
        <f t="shared" ca="1" si="0"/>
        <v>15.6</v>
      </c>
      <c r="V10" s="87">
        <f t="shared" ca="1" si="0"/>
        <v>20.3</v>
      </c>
      <c r="W10" s="32">
        <f t="shared" ca="1" si="0"/>
        <v>15.6</v>
      </c>
      <c r="X10" s="32">
        <f t="shared" ca="1" si="0"/>
        <v>20.3</v>
      </c>
      <c r="Y10" s="36">
        <f t="shared" ca="1" si="0"/>
        <v>15.6</v>
      </c>
      <c r="AC10" s="10">
        <v>0</v>
      </c>
      <c r="AD10" s="10">
        <v>0</v>
      </c>
      <c r="AE10" s="10">
        <v>0</v>
      </c>
      <c r="AF10" s="11">
        <v>1</v>
      </c>
      <c r="AG10" s="5" t="s">
        <v>3</v>
      </c>
      <c r="AH10" s="9">
        <v>1</v>
      </c>
      <c r="AI10" s="3" t="s">
        <v>3</v>
      </c>
      <c r="AJ10" s="87">
        <f t="shared" ca="1" si="1"/>
        <v>0</v>
      </c>
      <c r="AK10" s="32">
        <f t="shared" ca="1" si="1"/>
        <v>15.6</v>
      </c>
      <c r="AL10" s="32">
        <f t="shared" ca="1" si="1"/>
        <v>28.4</v>
      </c>
      <c r="AM10" s="32">
        <f t="shared" ca="1" si="1"/>
        <v>28.4</v>
      </c>
      <c r="AN10" s="87">
        <f t="shared" ca="1" si="1"/>
        <v>23</v>
      </c>
      <c r="AO10" s="32">
        <f t="shared" ca="1" si="1"/>
        <v>23</v>
      </c>
      <c r="AP10" s="32">
        <f t="shared" ca="1" si="1"/>
        <v>28.4</v>
      </c>
      <c r="AQ10" s="36">
        <f t="shared" ca="1" si="1"/>
        <v>28.4</v>
      </c>
      <c r="AR10" s="32">
        <f t="shared" ca="1" si="1"/>
        <v>20.3</v>
      </c>
      <c r="AS10" s="32">
        <f t="shared" ca="1" si="1"/>
        <v>20.3</v>
      </c>
      <c r="AT10" s="32">
        <f t="shared" ca="1" si="1"/>
        <v>28.4</v>
      </c>
      <c r="AU10" s="32">
        <f t="shared" ca="1" si="1"/>
        <v>28.4</v>
      </c>
      <c r="AV10" s="87">
        <f t="shared" ca="1" si="1"/>
        <v>23</v>
      </c>
      <c r="AW10" s="32">
        <f t="shared" ca="1" si="1"/>
        <v>23</v>
      </c>
      <c r="AX10" s="32">
        <f t="shared" ca="1" si="1"/>
        <v>28.4</v>
      </c>
      <c r="AY10" s="36">
        <f t="shared" ca="1" si="1"/>
        <v>28.4</v>
      </c>
      <c r="BB10" s="10">
        <v>0</v>
      </c>
      <c r="BC10" s="10">
        <v>0</v>
      </c>
      <c r="BD10" s="10">
        <v>0</v>
      </c>
      <c r="BE10" s="11">
        <v>1</v>
      </c>
      <c r="BF10" s="5" t="s">
        <v>3</v>
      </c>
      <c r="BG10" s="9">
        <v>1</v>
      </c>
      <c r="BH10" s="3" t="s">
        <v>3</v>
      </c>
      <c r="BI10" s="87">
        <f t="shared" ca="1" si="2"/>
        <v>0</v>
      </c>
      <c r="BJ10" s="32">
        <f t="shared" ca="1" si="2"/>
        <v>0</v>
      </c>
      <c r="BK10" s="32">
        <f t="shared" ca="1" si="3"/>
        <v>0</v>
      </c>
      <c r="BL10" s="32">
        <f t="shared" ca="1" si="3"/>
        <v>12.799999999999999</v>
      </c>
      <c r="BM10" s="87">
        <f t="shared" ca="1" si="3"/>
        <v>0</v>
      </c>
      <c r="BN10" s="32">
        <f t="shared" ca="1" si="3"/>
        <v>7.4</v>
      </c>
      <c r="BO10" s="32">
        <f t="shared" ca="1" si="3"/>
        <v>5.3999999999999986</v>
      </c>
      <c r="BP10" s="36">
        <f t="shared" ca="1" si="3"/>
        <v>12.799999999999999</v>
      </c>
      <c r="BQ10" s="32">
        <f t="shared" ca="1" si="3"/>
        <v>0</v>
      </c>
      <c r="BR10" s="32">
        <f t="shared" ca="1" si="3"/>
        <v>4.7000000000000011</v>
      </c>
      <c r="BS10" s="32">
        <f t="shared" ca="1" si="3"/>
        <v>8.0999999999999979</v>
      </c>
      <c r="BT10" s="32">
        <f t="shared" ca="1" si="3"/>
        <v>12.799999999999999</v>
      </c>
      <c r="BU10" s="87">
        <f t="shared" ca="1" si="3"/>
        <v>2.6999999999999993</v>
      </c>
      <c r="BV10" s="32">
        <f t="shared" ca="1" si="3"/>
        <v>7.4</v>
      </c>
      <c r="BW10" s="32">
        <f t="shared" ca="1" si="3"/>
        <v>8.0999999999999979</v>
      </c>
      <c r="BX10" s="36">
        <f t="shared" ca="1" si="3"/>
        <v>12.799999999999999</v>
      </c>
    </row>
    <row r="11" spans="3:76">
      <c r="C11" s="10">
        <v>0</v>
      </c>
      <c r="D11" s="10">
        <v>0</v>
      </c>
      <c r="E11" s="10">
        <v>1</v>
      </c>
      <c r="F11" s="11">
        <v>0</v>
      </c>
      <c r="G11" s="5" t="s">
        <v>4</v>
      </c>
      <c r="H11" s="9">
        <v>2</v>
      </c>
      <c r="I11" s="3" t="s">
        <v>4</v>
      </c>
      <c r="J11" s="87">
        <f t="shared" ca="1" si="0"/>
        <v>0</v>
      </c>
      <c r="K11" s="32">
        <f t="shared" ca="1" si="0"/>
        <v>25.5</v>
      </c>
      <c r="L11" s="32">
        <f t="shared" ca="1" si="0"/>
        <v>15.6</v>
      </c>
      <c r="M11" s="32">
        <f t="shared" ca="1" si="0"/>
        <v>15.6</v>
      </c>
      <c r="N11" s="87">
        <f t="shared" ca="1" si="0"/>
        <v>16.100000000000001</v>
      </c>
      <c r="O11" s="32">
        <f t="shared" ca="1" si="0"/>
        <v>16.100000000000001</v>
      </c>
      <c r="P11" s="32">
        <f t="shared" ca="1" si="0"/>
        <v>15.6</v>
      </c>
      <c r="Q11" s="36">
        <f t="shared" ca="1" si="0"/>
        <v>15.6</v>
      </c>
      <c r="R11" s="32">
        <f t="shared" ca="1" si="0"/>
        <v>19.3</v>
      </c>
      <c r="S11" s="32">
        <f t="shared" ca="1" si="0"/>
        <v>19.3</v>
      </c>
      <c r="T11" s="32">
        <f t="shared" ca="1" si="0"/>
        <v>15.6</v>
      </c>
      <c r="U11" s="32">
        <f t="shared" ca="1" si="0"/>
        <v>15.6</v>
      </c>
      <c r="V11" s="87">
        <f t="shared" ca="1" si="0"/>
        <v>16.100000000000001</v>
      </c>
      <c r="W11" s="32">
        <f t="shared" ca="1" si="0"/>
        <v>16.100000000000001</v>
      </c>
      <c r="X11" s="32">
        <f t="shared" ca="1" si="0"/>
        <v>15.6</v>
      </c>
      <c r="Y11" s="36">
        <f t="shared" ca="1" si="0"/>
        <v>15.6</v>
      </c>
      <c r="AC11" s="10">
        <v>0</v>
      </c>
      <c r="AD11" s="10">
        <v>0</v>
      </c>
      <c r="AE11" s="10">
        <v>1</v>
      </c>
      <c r="AF11" s="11">
        <v>0</v>
      </c>
      <c r="AG11" s="5" t="s">
        <v>4</v>
      </c>
      <c r="AH11" s="9">
        <v>2</v>
      </c>
      <c r="AI11" s="3" t="s">
        <v>4</v>
      </c>
      <c r="AJ11" s="87">
        <f t="shared" ca="1" si="1"/>
        <v>0</v>
      </c>
      <c r="AK11" s="32">
        <f t="shared" ca="1" si="1"/>
        <v>25.5</v>
      </c>
      <c r="AL11" s="32">
        <f t="shared" ca="1" si="1"/>
        <v>15.6</v>
      </c>
      <c r="AM11" s="32">
        <f t="shared" ca="1" si="1"/>
        <v>25.5</v>
      </c>
      <c r="AN11" s="87">
        <f t="shared" ca="1" si="1"/>
        <v>16.100000000000001</v>
      </c>
      <c r="AO11" s="32">
        <f t="shared" ca="1" si="1"/>
        <v>25.5</v>
      </c>
      <c r="AP11" s="32">
        <f t="shared" ca="1" si="1"/>
        <v>16.100000000000001</v>
      </c>
      <c r="AQ11" s="36">
        <f t="shared" ca="1" si="1"/>
        <v>25.5</v>
      </c>
      <c r="AR11" s="32">
        <f t="shared" ca="1" si="1"/>
        <v>19.3</v>
      </c>
      <c r="AS11" s="32">
        <f t="shared" ca="1" si="1"/>
        <v>25.5</v>
      </c>
      <c r="AT11" s="32">
        <f t="shared" ca="1" si="1"/>
        <v>19.3</v>
      </c>
      <c r="AU11" s="32">
        <f t="shared" ca="1" si="1"/>
        <v>25.5</v>
      </c>
      <c r="AV11" s="87">
        <f t="shared" ca="1" si="1"/>
        <v>19.3</v>
      </c>
      <c r="AW11" s="32">
        <f t="shared" ca="1" si="1"/>
        <v>25.5</v>
      </c>
      <c r="AX11" s="32">
        <f t="shared" ca="1" si="1"/>
        <v>19.3</v>
      </c>
      <c r="AY11" s="36">
        <f t="shared" ca="1" si="1"/>
        <v>25.5</v>
      </c>
      <c r="BB11" s="10">
        <v>0</v>
      </c>
      <c r="BC11" s="10">
        <v>0</v>
      </c>
      <c r="BD11" s="10">
        <v>1</v>
      </c>
      <c r="BE11" s="11">
        <v>0</v>
      </c>
      <c r="BF11" s="5" t="s">
        <v>4</v>
      </c>
      <c r="BG11" s="9">
        <v>2</v>
      </c>
      <c r="BH11" s="3" t="s">
        <v>4</v>
      </c>
      <c r="BI11" s="87">
        <f t="shared" ca="1" si="2"/>
        <v>0</v>
      </c>
      <c r="BJ11" s="32">
        <f t="shared" ca="1" si="2"/>
        <v>0</v>
      </c>
      <c r="BK11" s="32">
        <f t="shared" ca="1" si="3"/>
        <v>0</v>
      </c>
      <c r="BL11" s="32">
        <f t="shared" ca="1" si="3"/>
        <v>9.9</v>
      </c>
      <c r="BM11" s="87">
        <f t="shared" ca="1" si="3"/>
        <v>0</v>
      </c>
      <c r="BN11" s="32">
        <f t="shared" ca="1" si="3"/>
        <v>9.3999999999999986</v>
      </c>
      <c r="BO11" s="32">
        <f t="shared" ca="1" si="3"/>
        <v>0.50000000000000178</v>
      </c>
      <c r="BP11" s="36">
        <f t="shared" ca="1" si="3"/>
        <v>9.9</v>
      </c>
      <c r="BQ11" s="32">
        <f t="shared" ca="1" si="3"/>
        <v>0</v>
      </c>
      <c r="BR11" s="32">
        <f t="shared" ca="1" si="3"/>
        <v>6.1999999999999993</v>
      </c>
      <c r="BS11" s="32">
        <f t="shared" ca="1" si="3"/>
        <v>3.7000000000000011</v>
      </c>
      <c r="BT11" s="32">
        <f t="shared" ca="1" si="3"/>
        <v>9.9</v>
      </c>
      <c r="BU11" s="87">
        <f t="shared" ca="1" si="3"/>
        <v>3.1999999999999993</v>
      </c>
      <c r="BV11" s="32">
        <f t="shared" ca="1" si="3"/>
        <v>9.3999999999999986</v>
      </c>
      <c r="BW11" s="32">
        <f t="shared" ca="1" si="3"/>
        <v>3.7000000000000011</v>
      </c>
      <c r="BX11" s="36">
        <f t="shared" ca="1" si="3"/>
        <v>9.9</v>
      </c>
    </row>
    <row r="12" spans="3:76" ht="15.75" thickBot="1">
      <c r="C12" s="13">
        <v>0</v>
      </c>
      <c r="D12" s="13">
        <v>0</v>
      </c>
      <c r="E12" s="13">
        <v>1</v>
      </c>
      <c r="F12" s="14">
        <v>1</v>
      </c>
      <c r="G12" s="5" t="s">
        <v>8</v>
      </c>
      <c r="H12" s="12">
        <v>3</v>
      </c>
      <c r="I12" s="2" t="s">
        <v>7</v>
      </c>
      <c r="J12" s="87">
        <f t="shared" ca="1" si="0"/>
        <v>0</v>
      </c>
      <c r="K12" s="32">
        <f t="shared" ca="1" si="0"/>
        <v>15.6</v>
      </c>
      <c r="L12" s="32">
        <f t="shared" ca="1" si="0"/>
        <v>15.6</v>
      </c>
      <c r="M12" s="32">
        <f t="shared" ca="1" si="0"/>
        <v>15.6</v>
      </c>
      <c r="N12" s="87">
        <f t="shared" ca="1" si="0"/>
        <v>16.100000000000001</v>
      </c>
      <c r="O12" s="32">
        <f t="shared" ca="1" si="0"/>
        <v>15.6</v>
      </c>
      <c r="P12" s="32">
        <f t="shared" ca="1" si="0"/>
        <v>15.6</v>
      </c>
      <c r="Q12" s="36">
        <f t="shared" ca="1" si="0"/>
        <v>15.6</v>
      </c>
      <c r="R12" s="32">
        <f t="shared" ca="1" si="0"/>
        <v>19.3</v>
      </c>
      <c r="S12" s="32">
        <f t="shared" ca="1" si="0"/>
        <v>15.6</v>
      </c>
      <c r="T12" s="32">
        <f t="shared" ca="1" si="0"/>
        <v>15.6</v>
      </c>
      <c r="U12" s="32">
        <f t="shared" ca="1" si="0"/>
        <v>15.6</v>
      </c>
      <c r="V12" s="87">
        <f t="shared" ca="1" si="0"/>
        <v>16.100000000000001</v>
      </c>
      <c r="W12" s="32">
        <f t="shared" ca="1" si="0"/>
        <v>15.6</v>
      </c>
      <c r="X12" s="32">
        <f t="shared" ca="1" si="0"/>
        <v>15.6</v>
      </c>
      <c r="Y12" s="36">
        <f t="shared" ca="1" si="0"/>
        <v>15.6</v>
      </c>
      <c r="AC12" s="13">
        <v>0</v>
      </c>
      <c r="AD12" s="13">
        <v>0</v>
      </c>
      <c r="AE12" s="13">
        <v>1</v>
      </c>
      <c r="AF12" s="14">
        <v>1</v>
      </c>
      <c r="AG12" s="5" t="s">
        <v>8</v>
      </c>
      <c r="AH12" s="12">
        <v>3</v>
      </c>
      <c r="AI12" s="2" t="s">
        <v>7</v>
      </c>
      <c r="AJ12" s="87">
        <f t="shared" ca="1" si="1"/>
        <v>0</v>
      </c>
      <c r="AK12" s="32">
        <f t="shared" ca="1" si="1"/>
        <v>25.5</v>
      </c>
      <c r="AL12" s="32">
        <f t="shared" ca="1" si="1"/>
        <v>28.4</v>
      </c>
      <c r="AM12" s="32">
        <f t="shared" ca="1" si="1"/>
        <v>28.4</v>
      </c>
      <c r="AN12" s="87">
        <f t="shared" ca="1" si="1"/>
        <v>23</v>
      </c>
      <c r="AO12" s="32">
        <f t="shared" ca="1" si="1"/>
        <v>25.5</v>
      </c>
      <c r="AP12" s="32">
        <f t="shared" ca="1" si="1"/>
        <v>28.4</v>
      </c>
      <c r="AQ12" s="36">
        <f t="shared" ca="1" si="1"/>
        <v>28.4</v>
      </c>
      <c r="AR12" s="32">
        <f t="shared" ca="1" si="1"/>
        <v>20.3</v>
      </c>
      <c r="AS12" s="32">
        <f t="shared" ca="1" si="1"/>
        <v>25.5</v>
      </c>
      <c r="AT12" s="32">
        <f t="shared" ca="1" si="1"/>
        <v>28.4</v>
      </c>
      <c r="AU12" s="32">
        <f t="shared" ca="1" si="1"/>
        <v>28.4</v>
      </c>
      <c r="AV12" s="87">
        <f t="shared" ca="1" si="1"/>
        <v>23</v>
      </c>
      <c r="AW12" s="32">
        <f t="shared" ca="1" si="1"/>
        <v>25.5</v>
      </c>
      <c r="AX12" s="32">
        <f t="shared" ca="1" si="1"/>
        <v>28.4</v>
      </c>
      <c r="AY12" s="36">
        <f t="shared" ca="1" si="1"/>
        <v>28.4</v>
      </c>
      <c r="BB12" s="13">
        <v>0</v>
      </c>
      <c r="BC12" s="13">
        <v>0</v>
      </c>
      <c r="BD12" s="13">
        <v>1</v>
      </c>
      <c r="BE12" s="14">
        <v>1</v>
      </c>
      <c r="BF12" s="5" t="s">
        <v>8</v>
      </c>
      <c r="BG12" s="12">
        <v>3</v>
      </c>
      <c r="BH12" s="2" t="s">
        <v>7</v>
      </c>
      <c r="BI12" s="87">
        <f t="shared" ca="1" si="2"/>
        <v>0</v>
      </c>
      <c r="BJ12" s="32">
        <f t="shared" ca="1" si="2"/>
        <v>9.9</v>
      </c>
      <c r="BK12" s="32">
        <f t="shared" ca="1" si="3"/>
        <v>12.799999999999999</v>
      </c>
      <c r="BL12" s="32">
        <f t="shared" ca="1" si="3"/>
        <v>12.799999999999999</v>
      </c>
      <c r="BM12" s="87">
        <f t="shared" ca="1" si="3"/>
        <v>6.8999999999999986</v>
      </c>
      <c r="BN12" s="32">
        <f t="shared" ca="1" si="3"/>
        <v>9.9</v>
      </c>
      <c r="BO12" s="32">
        <f t="shared" ca="1" si="3"/>
        <v>12.799999999999999</v>
      </c>
      <c r="BP12" s="36">
        <f t="shared" ca="1" si="3"/>
        <v>12.799999999999999</v>
      </c>
      <c r="BQ12" s="32">
        <f t="shared" ca="1" si="3"/>
        <v>1</v>
      </c>
      <c r="BR12" s="32">
        <f t="shared" ca="1" si="3"/>
        <v>9.9</v>
      </c>
      <c r="BS12" s="32">
        <f t="shared" ca="1" si="3"/>
        <v>12.799999999999999</v>
      </c>
      <c r="BT12" s="32">
        <f t="shared" ca="1" si="3"/>
        <v>12.799999999999999</v>
      </c>
      <c r="BU12" s="87">
        <f t="shared" ca="1" si="3"/>
        <v>6.8999999999999986</v>
      </c>
      <c r="BV12" s="32">
        <f t="shared" ca="1" si="3"/>
        <v>9.9</v>
      </c>
      <c r="BW12" s="32">
        <f t="shared" ca="1" si="3"/>
        <v>12.799999999999999</v>
      </c>
      <c r="BX12" s="36">
        <f t="shared" ca="1" si="3"/>
        <v>12.799999999999999</v>
      </c>
    </row>
    <row r="13" spans="3:76">
      <c r="C13" s="5">
        <v>0</v>
      </c>
      <c r="D13" s="5">
        <v>1</v>
      </c>
      <c r="E13" s="5">
        <v>0</v>
      </c>
      <c r="F13" s="5">
        <v>0</v>
      </c>
      <c r="G13" s="5" t="s">
        <v>1</v>
      </c>
      <c r="H13" s="5">
        <v>4</v>
      </c>
      <c r="I13" s="1" t="s">
        <v>1</v>
      </c>
      <c r="J13" s="83">
        <f t="shared" ca="1" si="0"/>
        <v>0</v>
      </c>
      <c r="K13" s="84">
        <f t="shared" ca="1" si="0"/>
        <v>19.3</v>
      </c>
      <c r="L13" s="84">
        <f t="shared" ca="1" si="0"/>
        <v>20.3</v>
      </c>
      <c r="M13" s="84">
        <f t="shared" ca="1" si="0"/>
        <v>19.3</v>
      </c>
      <c r="N13" s="83">
        <f t="shared" ca="1" si="0"/>
        <v>23.6</v>
      </c>
      <c r="O13" s="84">
        <f t="shared" ca="1" si="0"/>
        <v>19.3</v>
      </c>
      <c r="P13" s="84">
        <f t="shared" ca="1" si="0"/>
        <v>20.3</v>
      </c>
      <c r="Q13" s="85">
        <f t="shared" ca="1" si="0"/>
        <v>19.3</v>
      </c>
      <c r="R13" s="84">
        <f t="shared" ca="1" si="0"/>
        <v>18.5</v>
      </c>
      <c r="S13" s="84">
        <f t="shared" ca="1" si="0"/>
        <v>18.5</v>
      </c>
      <c r="T13" s="84">
        <f t="shared" ca="1" si="0"/>
        <v>18.5</v>
      </c>
      <c r="U13" s="84">
        <f t="shared" ca="1" si="0"/>
        <v>18.5</v>
      </c>
      <c r="V13" s="83">
        <f t="shared" ca="1" si="0"/>
        <v>18.5</v>
      </c>
      <c r="W13" s="84">
        <f t="shared" ca="1" si="0"/>
        <v>18.5</v>
      </c>
      <c r="X13" s="84">
        <f t="shared" ca="1" si="0"/>
        <v>18.5</v>
      </c>
      <c r="Y13" s="85">
        <f t="shared" ca="1" si="0"/>
        <v>18.5</v>
      </c>
      <c r="AC13" s="5">
        <v>0</v>
      </c>
      <c r="AD13" s="5">
        <v>1</v>
      </c>
      <c r="AE13" s="5">
        <v>0</v>
      </c>
      <c r="AF13" s="5">
        <v>0</v>
      </c>
      <c r="AG13" s="5" t="s">
        <v>1</v>
      </c>
      <c r="AH13" s="5">
        <v>4</v>
      </c>
      <c r="AI13" s="1" t="s">
        <v>1</v>
      </c>
      <c r="AJ13" s="83">
        <f t="shared" ca="1" si="1"/>
        <v>0</v>
      </c>
      <c r="AK13" s="84">
        <f t="shared" ca="1" si="1"/>
        <v>19.3</v>
      </c>
      <c r="AL13" s="84">
        <f t="shared" ca="1" si="1"/>
        <v>20.3</v>
      </c>
      <c r="AM13" s="84">
        <f t="shared" ca="1" si="1"/>
        <v>20.3</v>
      </c>
      <c r="AN13" s="83">
        <f t="shared" ca="1" si="1"/>
        <v>23.6</v>
      </c>
      <c r="AO13" s="84">
        <f t="shared" ca="1" si="1"/>
        <v>23.6</v>
      </c>
      <c r="AP13" s="84">
        <f t="shared" ca="1" si="1"/>
        <v>23.6</v>
      </c>
      <c r="AQ13" s="85">
        <f t="shared" ca="1" si="1"/>
        <v>23.6</v>
      </c>
      <c r="AR13" s="84">
        <f t="shared" ca="1" si="1"/>
        <v>18.5</v>
      </c>
      <c r="AS13" s="84">
        <f t="shared" ca="1" si="1"/>
        <v>19.3</v>
      </c>
      <c r="AT13" s="84">
        <f t="shared" ca="1" si="1"/>
        <v>20.3</v>
      </c>
      <c r="AU13" s="84">
        <f t="shared" ca="1" si="1"/>
        <v>20.3</v>
      </c>
      <c r="AV13" s="83">
        <f t="shared" ca="1" si="1"/>
        <v>23.6</v>
      </c>
      <c r="AW13" s="84">
        <f t="shared" ca="1" si="1"/>
        <v>23.6</v>
      </c>
      <c r="AX13" s="84">
        <f t="shared" ca="1" si="1"/>
        <v>23.6</v>
      </c>
      <c r="AY13" s="85">
        <f t="shared" ca="1" si="1"/>
        <v>23.6</v>
      </c>
      <c r="BB13" s="5">
        <v>0</v>
      </c>
      <c r="BC13" s="5">
        <v>1</v>
      </c>
      <c r="BD13" s="5">
        <v>0</v>
      </c>
      <c r="BE13" s="5">
        <v>0</v>
      </c>
      <c r="BF13" s="5" t="s">
        <v>1</v>
      </c>
      <c r="BG13" s="5">
        <v>4</v>
      </c>
      <c r="BH13" s="1" t="s">
        <v>1</v>
      </c>
      <c r="BI13" s="83">
        <f t="shared" ca="1" si="2"/>
        <v>0</v>
      </c>
      <c r="BJ13" s="84">
        <f t="shared" ca="1" si="2"/>
        <v>0</v>
      </c>
      <c r="BK13" s="84">
        <f t="shared" ca="1" si="3"/>
        <v>0</v>
      </c>
      <c r="BL13" s="84">
        <f t="shared" ca="1" si="3"/>
        <v>1</v>
      </c>
      <c r="BM13" s="83">
        <f t="shared" ca="1" si="3"/>
        <v>0</v>
      </c>
      <c r="BN13" s="84">
        <f t="shared" ca="1" si="3"/>
        <v>4.3000000000000007</v>
      </c>
      <c r="BO13" s="84">
        <f t="shared" ca="1" si="3"/>
        <v>3.3000000000000007</v>
      </c>
      <c r="BP13" s="85">
        <f t="shared" ca="1" si="3"/>
        <v>4.3000000000000007</v>
      </c>
      <c r="BQ13" s="84">
        <f t="shared" ca="1" si="3"/>
        <v>0</v>
      </c>
      <c r="BR13" s="84">
        <f t="shared" ca="1" si="3"/>
        <v>0.80000000000000071</v>
      </c>
      <c r="BS13" s="84">
        <f t="shared" ca="1" si="3"/>
        <v>1.8000000000000007</v>
      </c>
      <c r="BT13" s="84">
        <f t="shared" ca="1" si="3"/>
        <v>1.8000000000000007</v>
      </c>
      <c r="BU13" s="83">
        <f t="shared" ca="1" si="3"/>
        <v>5.1000000000000014</v>
      </c>
      <c r="BV13" s="84">
        <f t="shared" ca="1" si="3"/>
        <v>5.1000000000000014</v>
      </c>
      <c r="BW13" s="84">
        <f t="shared" ca="1" si="3"/>
        <v>5.1000000000000014</v>
      </c>
      <c r="BX13" s="85">
        <f t="shared" ca="1" si="3"/>
        <v>5.1000000000000014</v>
      </c>
    </row>
    <row r="14" spans="3:76">
      <c r="C14" s="5">
        <v>0</v>
      </c>
      <c r="D14" s="5">
        <v>1</v>
      </c>
      <c r="E14" s="5">
        <v>0</v>
      </c>
      <c r="F14" s="5">
        <v>1</v>
      </c>
      <c r="G14" s="5" t="s">
        <v>10</v>
      </c>
      <c r="H14" s="5">
        <v>5</v>
      </c>
      <c r="I14" s="1" t="s">
        <v>9</v>
      </c>
      <c r="J14" s="87">
        <f t="shared" ca="1" si="0"/>
        <v>0</v>
      </c>
      <c r="K14" s="32">
        <f t="shared" ca="1" si="0"/>
        <v>15.6</v>
      </c>
      <c r="L14" s="32">
        <f t="shared" ca="1" si="0"/>
        <v>20.3</v>
      </c>
      <c r="M14" s="32">
        <f t="shared" ca="1" si="0"/>
        <v>15.6</v>
      </c>
      <c r="N14" s="87">
        <f t="shared" ca="1" si="0"/>
        <v>23</v>
      </c>
      <c r="O14" s="32">
        <f t="shared" ca="1" si="0"/>
        <v>15.6</v>
      </c>
      <c r="P14" s="32">
        <f t="shared" ca="1" si="0"/>
        <v>20.3</v>
      </c>
      <c r="Q14" s="36">
        <f t="shared" ca="1" si="0"/>
        <v>15.6</v>
      </c>
      <c r="R14" s="32">
        <f t="shared" ca="1" si="0"/>
        <v>18.5</v>
      </c>
      <c r="S14" s="32">
        <f t="shared" ca="1" si="0"/>
        <v>15.6</v>
      </c>
      <c r="T14" s="32">
        <f t="shared" ca="1" si="0"/>
        <v>18.5</v>
      </c>
      <c r="U14" s="32">
        <f t="shared" ca="1" si="0"/>
        <v>15.6</v>
      </c>
      <c r="V14" s="87">
        <f t="shared" ca="1" si="0"/>
        <v>18.5</v>
      </c>
      <c r="W14" s="32">
        <f t="shared" ca="1" si="0"/>
        <v>15.6</v>
      </c>
      <c r="X14" s="32">
        <f t="shared" ca="1" si="0"/>
        <v>18.5</v>
      </c>
      <c r="Y14" s="36">
        <f t="shared" ca="1" si="0"/>
        <v>15.6</v>
      </c>
      <c r="AC14" s="5">
        <v>0</v>
      </c>
      <c r="AD14" s="5">
        <v>1</v>
      </c>
      <c r="AE14" s="5">
        <v>0</v>
      </c>
      <c r="AF14" s="5">
        <v>1</v>
      </c>
      <c r="AG14" s="5" t="s">
        <v>10</v>
      </c>
      <c r="AH14" s="5">
        <v>5</v>
      </c>
      <c r="AI14" s="1" t="s">
        <v>9</v>
      </c>
      <c r="AJ14" s="87">
        <f t="shared" ca="1" si="1"/>
        <v>0</v>
      </c>
      <c r="AK14" s="32">
        <f t="shared" ca="1" si="1"/>
        <v>19.3</v>
      </c>
      <c r="AL14" s="32">
        <f t="shared" ca="1" si="1"/>
        <v>28.4</v>
      </c>
      <c r="AM14" s="32">
        <f t="shared" ca="1" si="1"/>
        <v>28.4</v>
      </c>
      <c r="AN14" s="87">
        <f t="shared" ca="1" si="1"/>
        <v>23.6</v>
      </c>
      <c r="AO14" s="32">
        <f t="shared" ca="1" si="1"/>
        <v>23.6</v>
      </c>
      <c r="AP14" s="32">
        <f t="shared" ca="1" si="1"/>
        <v>28.4</v>
      </c>
      <c r="AQ14" s="36">
        <f t="shared" ca="1" si="1"/>
        <v>28.4</v>
      </c>
      <c r="AR14" s="32">
        <f t="shared" ca="1" si="1"/>
        <v>20.3</v>
      </c>
      <c r="AS14" s="32">
        <f t="shared" ca="1" si="1"/>
        <v>20.3</v>
      </c>
      <c r="AT14" s="32">
        <f t="shared" ca="1" si="1"/>
        <v>28.4</v>
      </c>
      <c r="AU14" s="32">
        <f t="shared" ca="1" si="1"/>
        <v>28.4</v>
      </c>
      <c r="AV14" s="87">
        <f t="shared" ca="1" si="1"/>
        <v>23.6</v>
      </c>
      <c r="AW14" s="32">
        <f t="shared" ca="1" si="1"/>
        <v>23.6</v>
      </c>
      <c r="AX14" s="32">
        <f t="shared" ca="1" si="1"/>
        <v>28.4</v>
      </c>
      <c r="AY14" s="36">
        <f t="shared" ca="1" si="1"/>
        <v>28.4</v>
      </c>
      <c r="BB14" s="5">
        <v>0</v>
      </c>
      <c r="BC14" s="5">
        <v>1</v>
      </c>
      <c r="BD14" s="5">
        <v>0</v>
      </c>
      <c r="BE14" s="5">
        <v>1</v>
      </c>
      <c r="BF14" s="5" t="s">
        <v>10</v>
      </c>
      <c r="BG14" s="5">
        <v>5</v>
      </c>
      <c r="BH14" s="1" t="s">
        <v>9</v>
      </c>
      <c r="BI14" s="87">
        <f t="shared" ca="1" si="2"/>
        <v>0</v>
      </c>
      <c r="BJ14" s="32">
        <f t="shared" ca="1" si="2"/>
        <v>3.7000000000000011</v>
      </c>
      <c r="BK14" s="32">
        <f t="shared" ca="1" si="3"/>
        <v>8.0999999999999979</v>
      </c>
      <c r="BL14" s="32">
        <f t="shared" ca="1" si="3"/>
        <v>12.799999999999999</v>
      </c>
      <c r="BM14" s="87">
        <f t="shared" ca="1" si="3"/>
        <v>0.60000000000000142</v>
      </c>
      <c r="BN14" s="32">
        <f t="shared" ca="1" si="3"/>
        <v>8.0000000000000018</v>
      </c>
      <c r="BO14" s="32">
        <f t="shared" ca="1" si="3"/>
        <v>8.0999999999999979</v>
      </c>
      <c r="BP14" s="36">
        <f t="shared" ca="1" si="3"/>
        <v>12.799999999999999</v>
      </c>
      <c r="BQ14" s="32">
        <f t="shared" ca="1" si="3"/>
        <v>1.8000000000000007</v>
      </c>
      <c r="BR14" s="32">
        <f t="shared" ca="1" si="3"/>
        <v>4.7000000000000011</v>
      </c>
      <c r="BS14" s="32">
        <f t="shared" ca="1" si="3"/>
        <v>9.8999999999999986</v>
      </c>
      <c r="BT14" s="32">
        <f t="shared" ca="1" si="3"/>
        <v>12.799999999999999</v>
      </c>
      <c r="BU14" s="87">
        <f t="shared" ca="1" si="3"/>
        <v>5.1000000000000014</v>
      </c>
      <c r="BV14" s="32">
        <f t="shared" ca="1" si="3"/>
        <v>8.0000000000000018</v>
      </c>
      <c r="BW14" s="32">
        <f t="shared" ca="1" si="3"/>
        <v>9.8999999999999986</v>
      </c>
      <c r="BX14" s="36">
        <f t="shared" ca="1" si="3"/>
        <v>12.799999999999999</v>
      </c>
    </row>
    <row r="15" spans="3:76">
      <c r="C15" s="5">
        <v>0</v>
      </c>
      <c r="D15" s="5">
        <v>1</v>
      </c>
      <c r="E15" s="5">
        <v>1</v>
      </c>
      <c r="F15" s="5">
        <v>0</v>
      </c>
      <c r="G15" s="5" t="s">
        <v>11</v>
      </c>
      <c r="H15" s="5">
        <v>6</v>
      </c>
      <c r="I15" s="1" t="s">
        <v>6</v>
      </c>
      <c r="J15" s="87">
        <f t="shared" ca="1" si="0"/>
        <v>0</v>
      </c>
      <c r="K15" s="32">
        <f t="shared" ca="1" si="0"/>
        <v>19.3</v>
      </c>
      <c r="L15" s="32">
        <f t="shared" ca="1" si="0"/>
        <v>15.6</v>
      </c>
      <c r="M15" s="32">
        <f t="shared" ca="1" si="0"/>
        <v>15.6</v>
      </c>
      <c r="N15" s="87">
        <f t="shared" ca="1" si="0"/>
        <v>16.100000000000001</v>
      </c>
      <c r="O15" s="32">
        <f t="shared" ca="1" si="0"/>
        <v>16.100000000000001</v>
      </c>
      <c r="P15" s="32">
        <f t="shared" ca="1" si="0"/>
        <v>15.6</v>
      </c>
      <c r="Q15" s="36">
        <f t="shared" ca="1" si="0"/>
        <v>15.6</v>
      </c>
      <c r="R15" s="32">
        <f t="shared" ca="1" si="0"/>
        <v>18.5</v>
      </c>
      <c r="S15" s="32">
        <f t="shared" ca="1" si="0"/>
        <v>18.5</v>
      </c>
      <c r="T15" s="32">
        <f t="shared" ca="1" si="0"/>
        <v>15.6</v>
      </c>
      <c r="U15" s="32">
        <f t="shared" ca="1" si="0"/>
        <v>15.6</v>
      </c>
      <c r="V15" s="87">
        <f t="shared" ca="1" si="0"/>
        <v>16.100000000000001</v>
      </c>
      <c r="W15" s="32">
        <f t="shared" ca="1" si="0"/>
        <v>16.100000000000001</v>
      </c>
      <c r="X15" s="32">
        <f t="shared" ca="1" si="0"/>
        <v>15.6</v>
      </c>
      <c r="Y15" s="36">
        <f t="shared" ca="1" si="0"/>
        <v>15.6</v>
      </c>
      <c r="AC15" s="5">
        <v>0</v>
      </c>
      <c r="AD15" s="5">
        <v>1</v>
      </c>
      <c r="AE15" s="5">
        <v>1</v>
      </c>
      <c r="AF15" s="5">
        <v>0</v>
      </c>
      <c r="AG15" s="5" t="s">
        <v>11</v>
      </c>
      <c r="AH15" s="5">
        <v>6</v>
      </c>
      <c r="AI15" s="1" t="s">
        <v>6</v>
      </c>
      <c r="AJ15" s="87">
        <f t="shared" ca="1" si="1"/>
        <v>0</v>
      </c>
      <c r="AK15" s="32">
        <f t="shared" ca="1" si="1"/>
        <v>25.5</v>
      </c>
      <c r="AL15" s="32">
        <f t="shared" ca="1" si="1"/>
        <v>20.3</v>
      </c>
      <c r="AM15" s="32">
        <f t="shared" ca="1" si="1"/>
        <v>25.5</v>
      </c>
      <c r="AN15" s="87">
        <f t="shared" ca="1" si="1"/>
        <v>23.6</v>
      </c>
      <c r="AO15" s="32">
        <f t="shared" ca="1" si="1"/>
        <v>25.5</v>
      </c>
      <c r="AP15" s="32">
        <f t="shared" ca="1" si="1"/>
        <v>23.6</v>
      </c>
      <c r="AQ15" s="36">
        <f t="shared" ca="1" si="1"/>
        <v>25.5</v>
      </c>
      <c r="AR15" s="32">
        <f t="shared" ca="1" si="1"/>
        <v>19.3</v>
      </c>
      <c r="AS15" s="32">
        <f t="shared" ca="1" si="1"/>
        <v>25.5</v>
      </c>
      <c r="AT15" s="32">
        <f t="shared" ca="1" si="1"/>
        <v>20.3</v>
      </c>
      <c r="AU15" s="32">
        <f t="shared" ca="1" si="1"/>
        <v>25.5</v>
      </c>
      <c r="AV15" s="87">
        <f t="shared" ca="1" si="1"/>
        <v>23.6</v>
      </c>
      <c r="AW15" s="32">
        <f t="shared" ca="1" si="1"/>
        <v>25.5</v>
      </c>
      <c r="AX15" s="32">
        <f t="shared" ca="1" si="1"/>
        <v>23.6</v>
      </c>
      <c r="AY15" s="36">
        <f t="shared" ca="1" si="1"/>
        <v>25.5</v>
      </c>
      <c r="BB15" s="5">
        <v>0</v>
      </c>
      <c r="BC15" s="5">
        <v>1</v>
      </c>
      <c r="BD15" s="5">
        <v>1</v>
      </c>
      <c r="BE15" s="5">
        <v>0</v>
      </c>
      <c r="BF15" s="5" t="s">
        <v>11</v>
      </c>
      <c r="BG15" s="5">
        <v>6</v>
      </c>
      <c r="BH15" s="1" t="s">
        <v>6</v>
      </c>
      <c r="BI15" s="87">
        <f t="shared" ca="1" si="2"/>
        <v>0</v>
      </c>
      <c r="BJ15" s="32">
        <f t="shared" ca="1" si="2"/>
        <v>6.1999999999999993</v>
      </c>
      <c r="BK15" s="32">
        <f t="shared" ca="1" si="3"/>
        <v>4.7000000000000011</v>
      </c>
      <c r="BL15" s="32">
        <f t="shared" ca="1" si="3"/>
        <v>9.9</v>
      </c>
      <c r="BM15" s="87">
        <f t="shared" ca="1" si="3"/>
        <v>7.5</v>
      </c>
      <c r="BN15" s="32">
        <f t="shared" ca="1" si="3"/>
        <v>9.3999999999999986</v>
      </c>
      <c r="BO15" s="32">
        <f t="shared" ca="1" si="3"/>
        <v>8.0000000000000018</v>
      </c>
      <c r="BP15" s="36">
        <f t="shared" ca="1" si="3"/>
        <v>9.9</v>
      </c>
      <c r="BQ15" s="32">
        <f t="shared" ca="1" si="3"/>
        <v>0.80000000000000071</v>
      </c>
      <c r="BR15" s="32">
        <f t="shared" ca="1" si="3"/>
        <v>7</v>
      </c>
      <c r="BS15" s="32">
        <f t="shared" ca="1" si="3"/>
        <v>4.7000000000000011</v>
      </c>
      <c r="BT15" s="32">
        <f t="shared" ca="1" si="3"/>
        <v>9.9</v>
      </c>
      <c r="BU15" s="87">
        <f t="shared" ca="1" si="3"/>
        <v>7.5</v>
      </c>
      <c r="BV15" s="32">
        <f t="shared" ca="1" si="3"/>
        <v>9.3999999999999986</v>
      </c>
      <c r="BW15" s="32">
        <f t="shared" ca="1" si="3"/>
        <v>8.0000000000000018</v>
      </c>
      <c r="BX15" s="36">
        <f t="shared" ca="1" si="3"/>
        <v>9.9</v>
      </c>
    </row>
    <row r="16" spans="3:76" ht="15.75" thickBot="1">
      <c r="C16" s="5">
        <v>0</v>
      </c>
      <c r="D16" s="5">
        <v>1</v>
      </c>
      <c r="E16" s="5">
        <v>1</v>
      </c>
      <c r="F16" s="5">
        <v>1</v>
      </c>
      <c r="G16" s="5" t="s">
        <v>13</v>
      </c>
      <c r="H16" s="5">
        <v>7</v>
      </c>
      <c r="I16" s="1" t="s">
        <v>12</v>
      </c>
      <c r="J16" s="86">
        <f t="shared" ca="1" si="0"/>
        <v>0</v>
      </c>
      <c r="K16" s="35">
        <f t="shared" ca="1" si="0"/>
        <v>15.6</v>
      </c>
      <c r="L16" s="35">
        <f t="shared" ca="1" si="0"/>
        <v>15.6</v>
      </c>
      <c r="M16" s="35">
        <f t="shared" ca="1" si="0"/>
        <v>15.6</v>
      </c>
      <c r="N16" s="86">
        <f t="shared" ca="1" si="0"/>
        <v>16.100000000000001</v>
      </c>
      <c r="O16" s="35">
        <f t="shared" ca="1" si="0"/>
        <v>15.6</v>
      </c>
      <c r="P16" s="35">
        <f t="shared" ca="1" si="0"/>
        <v>15.6</v>
      </c>
      <c r="Q16" s="37">
        <f t="shared" ca="1" si="0"/>
        <v>15.6</v>
      </c>
      <c r="R16" s="35">
        <f t="shared" ca="1" si="0"/>
        <v>18.5</v>
      </c>
      <c r="S16" s="35">
        <f t="shared" ca="1" si="0"/>
        <v>15.6</v>
      </c>
      <c r="T16" s="35">
        <f t="shared" ca="1" si="0"/>
        <v>15.6</v>
      </c>
      <c r="U16" s="35">
        <f t="shared" ca="1" si="0"/>
        <v>15.6</v>
      </c>
      <c r="V16" s="86">
        <f t="shared" ca="1" si="0"/>
        <v>16.100000000000001</v>
      </c>
      <c r="W16" s="35">
        <f t="shared" ca="1" si="0"/>
        <v>15.6</v>
      </c>
      <c r="X16" s="35">
        <f t="shared" ca="1" si="0"/>
        <v>15.6</v>
      </c>
      <c r="Y16" s="37">
        <f t="shared" ca="1" si="0"/>
        <v>15.6</v>
      </c>
      <c r="AC16" s="5">
        <v>0</v>
      </c>
      <c r="AD16" s="5">
        <v>1</v>
      </c>
      <c r="AE16" s="5">
        <v>1</v>
      </c>
      <c r="AF16" s="5">
        <v>1</v>
      </c>
      <c r="AG16" s="5" t="s">
        <v>13</v>
      </c>
      <c r="AH16" s="5">
        <v>7</v>
      </c>
      <c r="AI16" s="1" t="s">
        <v>12</v>
      </c>
      <c r="AJ16" s="86">
        <f t="shared" ca="1" si="1"/>
        <v>0</v>
      </c>
      <c r="AK16" s="35">
        <f t="shared" ca="1" si="1"/>
        <v>25.5</v>
      </c>
      <c r="AL16" s="35">
        <f t="shared" ca="1" si="1"/>
        <v>28.4</v>
      </c>
      <c r="AM16" s="35">
        <f t="shared" ca="1" si="1"/>
        <v>28.4</v>
      </c>
      <c r="AN16" s="86">
        <f t="shared" ca="1" si="1"/>
        <v>23.6</v>
      </c>
      <c r="AO16" s="35">
        <f t="shared" ca="1" si="1"/>
        <v>25.5</v>
      </c>
      <c r="AP16" s="35">
        <f t="shared" ca="1" si="1"/>
        <v>28.4</v>
      </c>
      <c r="AQ16" s="37">
        <f t="shared" ca="1" si="1"/>
        <v>28.4</v>
      </c>
      <c r="AR16" s="35">
        <f t="shared" ca="1" si="1"/>
        <v>20.3</v>
      </c>
      <c r="AS16" s="35">
        <f t="shared" ca="1" si="1"/>
        <v>25.5</v>
      </c>
      <c r="AT16" s="35">
        <f t="shared" ca="1" si="1"/>
        <v>28.4</v>
      </c>
      <c r="AU16" s="35">
        <f t="shared" ca="1" si="1"/>
        <v>28.4</v>
      </c>
      <c r="AV16" s="86">
        <f t="shared" ca="1" si="1"/>
        <v>23.6</v>
      </c>
      <c r="AW16" s="35">
        <f t="shared" ca="1" si="1"/>
        <v>25.5</v>
      </c>
      <c r="AX16" s="35">
        <f t="shared" ca="1" si="1"/>
        <v>28.4</v>
      </c>
      <c r="AY16" s="37">
        <f t="shared" ca="1" si="1"/>
        <v>28.4</v>
      </c>
      <c r="BB16" s="5">
        <v>0</v>
      </c>
      <c r="BC16" s="5">
        <v>1</v>
      </c>
      <c r="BD16" s="5">
        <v>1</v>
      </c>
      <c r="BE16" s="5">
        <v>1</v>
      </c>
      <c r="BF16" s="5" t="s">
        <v>13</v>
      </c>
      <c r="BG16" s="5">
        <v>7</v>
      </c>
      <c r="BH16" s="1" t="s">
        <v>12</v>
      </c>
      <c r="BI16" s="86">
        <f t="shared" ca="1" si="2"/>
        <v>0</v>
      </c>
      <c r="BJ16" s="35">
        <f t="shared" ca="1" si="2"/>
        <v>9.9</v>
      </c>
      <c r="BK16" s="35">
        <f t="shared" ca="1" si="3"/>
        <v>12.799999999999999</v>
      </c>
      <c r="BL16" s="35">
        <f t="shared" ca="1" si="3"/>
        <v>12.799999999999999</v>
      </c>
      <c r="BM16" s="86">
        <f t="shared" ca="1" si="3"/>
        <v>7.5</v>
      </c>
      <c r="BN16" s="35">
        <f t="shared" ca="1" si="3"/>
        <v>9.9</v>
      </c>
      <c r="BO16" s="35">
        <f t="shared" ca="1" si="3"/>
        <v>12.799999999999999</v>
      </c>
      <c r="BP16" s="37">
        <f t="shared" ca="1" si="3"/>
        <v>12.799999999999999</v>
      </c>
      <c r="BQ16" s="35">
        <f t="shared" ca="1" si="3"/>
        <v>1.8000000000000007</v>
      </c>
      <c r="BR16" s="35">
        <f t="shared" ca="1" si="3"/>
        <v>9.9</v>
      </c>
      <c r="BS16" s="35">
        <f t="shared" ca="1" si="3"/>
        <v>12.799999999999999</v>
      </c>
      <c r="BT16" s="35">
        <f t="shared" ca="1" si="3"/>
        <v>12.799999999999999</v>
      </c>
      <c r="BU16" s="86">
        <f t="shared" ca="1" si="3"/>
        <v>7.5</v>
      </c>
      <c r="BV16" s="35">
        <f t="shared" ca="1" si="3"/>
        <v>9.9</v>
      </c>
      <c r="BW16" s="35">
        <f t="shared" ca="1" si="3"/>
        <v>12.799999999999999</v>
      </c>
      <c r="BX16" s="37">
        <f t="shared" ca="1" si="3"/>
        <v>12.799999999999999</v>
      </c>
    </row>
    <row r="17" spans="1:83">
      <c r="C17" s="7">
        <v>1</v>
      </c>
      <c r="D17" s="7">
        <v>0</v>
      </c>
      <c r="E17" s="7">
        <v>0</v>
      </c>
      <c r="F17" s="8">
        <v>0</v>
      </c>
      <c r="G17" s="5" t="s">
        <v>2</v>
      </c>
      <c r="H17" s="6">
        <v>8</v>
      </c>
      <c r="I17" s="4" t="s">
        <v>2</v>
      </c>
      <c r="J17" s="87">
        <f t="shared" ca="1" si="0"/>
        <v>0</v>
      </c>
      <c r="K17" s="32">
        <f t="shared" ca="1" si="0"/>
        <v>16.100000000000001</v>
      </c>
      <c r="L17" s="32">
        <f t="shared" ca="1" si="0"/>
        <v>23</v>
      </c>
      <c r="M17" s="32">
        <f t="shared" ca="1" si="0"/>
        <v>16.100000000000001</v>
      </c>
      <c r="N17" s="87">
        <f t="shared" ca="1" si="0"/>
        <v>18.8</v>
      </c>
      <c r="O17" s="32">
        <f t="shared" ca="1" si="0"/>
        <v>16.100000000000001</v>
      </c>
      <c r="P17" s="32">
        <f t="shared" ca="1" si="0"/>
        <v>18.8</v>
      </c>
      <c r="Q17" s="36">
        <f t="shared" ca="1" si="0"/>
        <v>16.100000000000001</v>
      </c>
      <c r="R17" s="32">
        <f t="shared" ca="1" si="0"/>
        <v>23.6</v>
      </c>
      <c r="S17" s="32">
        <f t="shared" ca="1" si="0"/>
        <v>16.100000000000001</v>
      </c>
      <c r="T17" s="32">
        <f t="shared" ca="1" si="0"/>
        <v>23</v>
      </c>
      <c r="U17" s="32">
        <f t="shared" ca="1" si="0"/>
        <v>16.100000000000001</v>
      </c>
      <c r="V17" s="87">
        <f t="shared" ca="1" si="0"/>
        <v>18.8</v>
      </c>
      <c r="W17" s="32">
        <f t="shared" ca="1" si="0"/>
        <v>16.100000000000001</v>
      </c>
      <c r="X17" s="32">
        <f t="shared" ca="1" si="0"/>
        <v>18.8</v>
      </c>
      <c r="Y17" s="36">
        <f t="shared" ca="1" si="0"/>
        <v>16.100000000000001</v>
      </c>
      <c r="AC17" s="7">
        <v>1</v>
      </c>
      <c r="AD17" s="7">
        <v>0</v>
      </c>
      <c r="AE17" s="7">
        <v>0</v>
      </c>
      <c r="AF17" s="8">
        <v>0</v>
      </c>
      <c r="AG17" s="5" t="s">
        <v>2</v>
      </c>
      <c r="AH17" s="6">
        <v>8</v>
      </c>
      <c r="AI17" s="4" t="s">
        <v>2</v>
      </c>
      <c r="AJ17" s="87">
        <f t="shared" ca="1" si="1"/>
        <v>0</v>
      </c>
      <c r="AK17" s="32">
        <f t="shared" ca="1" si="1"/>
        <v>16.100000000000001</v>
      </c>
      <c r="AL17" s="32">
        <f t="shared" ca="1" si="1"/>
        <v>23</v>
      </c>
      <c r="AM17" s="32">
        <f t="shared" ca="1" si="1"/>
        <v>23</v>
      </c>
      <c r="AN17" s="87">
        <f t="shared" ca="1" si="1"/>
        <v>18.8</v>
      </c>
      <c r="AO17" s="32">
        <f t="shared" ca="1" si="1"/>
        <v>18.8</v>
      </c>
      <c r="AP17" s="32">
        <f t="shared" ca="1" si="1"/>
        <v>23</v>
      </c>
      <c r="AQ17" s="36">
        <f t="shared" ca="1" si="1"/>
        <v>23</v>
      </c>
      <c r="AR17" s="32">
        <f t="shared" ca="1" si="1"/>
        <v>23.6</v>
      </c>
      <c r="AS17" s="32">
        <f t="shared" ca="1" si="1"/>
        <v>23.6</v>
      </c>
      <c r="AT17" s="32">
        <f t="shared" ca="1" si="1"/>
        <v>23.6</v>
      </c>
      <c r="AU17" s="32">
        <f t="shared" ca="1" si="1"/>
        <v>23.6</v>
      </c>
      <c r="AV17" s="87">
        <f t="shared" ca="1" si="1"/>
        <v>23.6</v>
      </c>
      <c r="AW17" s="32">
        <f t="shared" ca="1" si="1"/>
        <v>23.6</v>
      </c>
      <c r="AX17" s="32">
        <f t="shared" ca="1" si="1"/>
        <v>23.6</v>
      </c>
      <c r="AY17" s="36">
        <f t="shared" ca="1" si="1"/>
        <v>23.6</v>
      </c>
      <c r="BB17" s="7">
        <v>1</v>
      </c>
      <c r="BC17" s="7">
        <v>0</v>
      </c>
      <c r="BD17" s="7">
        <v>0</v>
      </c>
      <c r="BE17" s="8">
        <v>0</v>
      </c>
      <c r="BF17" s="5" t="s">
        <v>2</v>
      </c>
      <c r="BG17" s="6">
        <v>8</v>
      </c>
      <c r="BH17" s="4" t="s">
        <v>2</v>
      </c>
      <c r="BI17" s="87">
        <f t="shared" ca="1" si="2"/>
        <v>0</v>
      </c>
      <c r="BJ17" s="32">
        <f t="shared" ca="1" si="2"/>
        <v>0</v>
      </c>
      <c r="BK17" s="32">
        <f t="shared" ca="1" si="3"/>
        <v>0</v>
      </c>
      <c r="BL17" s="32">
        <f t="shared" ca="1" si="3"/>
        <v>6.8999999999999986</v>
      </c>
      <c r="BM17" s="87">
        <f t="shared" ca="1" si="3"/>
        <v>0</v>
      </c>
      <c r="BN17" s="32">
        <f t="shared" ca="1" si="3"/>
        <v>2.6999999999999993</v>
      </c>
      <c r="BO17" s="32">
        <f t="shared" ca="1" si="3"/>
        <v>4.1999999999999993</v>
      </c>
      <c r="BP17" s="36">
        <f t="shared" ca="1" si="3"/>
        <v>6.8999999999999986</v>
      </c>
      <c r="BQ17" s="32">
        <f t="shared" ca="1" si="3"/>
        <v>0</v>
      </c>
      <c r="BR17" s="32">
        <f t="shared" ca="1" si="3"/>
        <v>7.5</v>
      </c>
      <c r="BS17" s="32">
        <f t="shared" ca="1" si="3"/>
        <v>0.60000000000000142</v>
      </c>
      <c r="BT17" s="32">
        <f t="shared" ca="1" si="3"/>
        <v>7.5</v>
      </c>
      <c r="BU17" s="87">
        <f t="shared" ca="1" si="3"/>
        <v>4.8000000000000007</v>
      </c>
      <c r="BV17" s="32">
        <f t="shared" ca="1" si="3"/>
        <v>7.5</v>
      </c>
      <c r="BW17" s="32">
        <f t="shared" ca="1" si="3"/>
        <v>4.8000000000000007</v>
      </c>
      <c r="BX17" s="36">
        <f t="shared" ca="1" si="3"/>
        <v>7.5</v>
      </c>
    </row>
    <row r="18" spans="1:83">
      <c r="C18" s="10">
        <v>1</v>
      </c>
      <c r="D18" s="10">
        <v>0</v>
      </c>
      <c r="E18" s="10">
        <v>0</v>
      </c>
      <c r="F18" s="11">
        <v>1</v>
      </c>
      <c r="G18" s="5" t="s">
        <v>14</v>
      </c>
      <c r="H18" s="9">
        <v>9</v>
      </c>
      <c r="I18" s="3" t="s">
        <v>5</v>
      </c>
      <c r="J18" s="87">
        <f t="shared" ca="1" si="0"/>
        <v>0</v>
      </c>
      <c r="K18" s="32">
        <f t="shared" ca="1" si="0"/>
        <v>15.6</v>
      </c>
      <c r="L18" s="32">
        <f t="shared" ca="1" si="0"/>
        <v>23</v>
      </c>
      <c r="M18" s="32">
        <f t="shared" ca="1" si="0"/>
        <v>15.6</v>
      </c>
      <c r="N18" s="87">
        <f t="shared" ca="1" si="0"/>
        <v>18.8</v>
      </c>
      <c r="O18" s="32">
        <f t="shared" ca="1" si="0"/>
        <v>15.6</v>
      </c>
      <c r="P18" s="32">
        <f t="shared" ca="1" si="0"/>
        <v>18.8</v>
      </c>
      <c r="Q18" s="36">
        <f t="shared" ca="1" si="0"/>
        <v>15.6</v>
      </c>
      <c r="R18" s="32">
        <f t="shared" ca="1" si="0"/>
        <v>20.3</v>
      </c>
      <c r="S18" s="32">
        <f t="shared" ca="1" si="0"/>
        <v>15.6</v>
      </c>
      <c r="T18" s="32">
        <f t="shared" ca="1" si="0"/>
        <v>20.3</v>
      </c>
      <c r="U18" s="32">
        <f t="shared" ca="1" si="0"/>
        <v>15.6</v>
      </c>
      <c r="V18" s="87">
        <f t="shared" ca="1" si="0"/>
        <v>18.8</v>
      </c>
      <c r="W18" s="32">
        <f t="shared" ca="1" si="0"/>
        <v>15.6</v>
      </c>
      <c r="X18" s="32">
        <f t="shared" ca="1" si="0"/>
        <v>18.8</v>
      </c>
      <c r="Y18" s="36">
        <f t="shared" ca="1" si="0"/>
        <v>15.6</v>
      </c>
      <c r="AC18" s="10">
        <v>1</v>
      </c>
      <c r="AD18" s="10">
        <v>0</v>
      </c>
      <c r="AE18" s="10">
        <v>0</v>
      </c>
      <c r="AF18" s="11">
        <v>1</v>
      </c>
      <c r="AG18" s="5" t="s">
        <v>14</v>
      </c>
      <c r="AH18" s="9">
        <v>9</v>
      </c>
      <c r="AI18" s="3" t="s">
        <v>5</v>
      </c>
      <c r="AJ18" s="87">
        <f t="shared" ca="1" si="1"/>
        <v>0</v>
      </c>
      <c r="AK18" s="32">
        <f t="shared" ca="1" si="1"/>
        <v>16.100000000000001</v>
      </c>
      <c r="AL18" s="32">
        <f t="shared" ca="1" si="1"/>
        <v>28.4</v>
      </c>
      <c r="AM18" s="32">
        <f t="shared" ca="1" si="1"/>
        <v>28.4</v>
      </c>
      <c r="AN18" s="87">
        <f t="shared" ca="1" si="1"/>
        <v>23</v>
      </c>
      <c r="AO18" s="32">
        <f t="shared" ca="1" si="1"/>
        <v>23</v>
      </c>
      <c r="AP18" s="32">
        <f t="shared" ca="1" si="1"/>
        <v>28.4</v>
      </c>
      <c r="AQ18" s="36">
        <f t="shared" ca="1" si="1"/>
        <v>28.4</v>
      </c>
      <c r="AR18" s="32">
        <f t="shared" ca="1" si="1"/>
        <v>23.6</v>
      </c>
      <c r="AS18" s="32">
        <f t="shared" ca="1" si="1"/>
        <v>23.6</v>
      </c>
      <c r="AT18" s="32">
        <f t="shared" ca="1" si="1"/>
        <v>28.4</v>
      </c>
      <c r="AU18" s="32">
        <f t="shared" ca="1" si="1"/>
        <v>28.4</v>
      </c>
      <c r="AV18" s="87">
        <f t="shared" ca="1" si="1"/>
        <v>23.6</v>
      </c>
      <c r="AW18" s="32">
        <f t="shared" ca="1" si="1"/>
        <v>23.6</v>
      </c>
      <c r="AX18" s="32">
        <f t="shared" ca="1" si="1"/>
        <v>28.4</v>
      </c>
      <c r="AY18" s="36">
        <f t="shared" ca="1" si="1"/>
        <v>28.4</v>
      </c>
      <c r="BB18" s="10">
        <v>1</v>
      </c>
      <c r="BC18" s="10">
        <v>0</v>
      </c>
      <c r="BD18" s="10">
        <v>0</v>
      </c>
      <c r="BE18" s="11">
        <v>1</v>
      </c>
      <c r="BF18" s="5" t="s">
        <v>14</v>
      </c>
      <c r="BG18" s="9">
        <v>9</v>
      </c>
      <c r="BH18" s="3" t="s">
        <v>5</v>
      </c>
      <c r="BI18" s="87">
        <f t="shared" ca="1" si="2"/>
        <v>0</v>
      </c>
      <c r="BJ18" s="32">
        <f t="shared" ca="1" si="2"/>
        <v>0.50000000000000178</v>
      </c>
      <c r="BK18" s="32">
        <f t="shared" ca="1" si="3"/>
        <v>5.3999999999999986</v>
      </c>
      <c r="BL18" s="32">
        <f t="shared" ca="1" si="3"/>
        <v>12.799999999999999</v>
      </c>
      <c r="BM18" s="87">
        <f t="shared" ca="1" si="3"/>
        <v>4.1999999999999993</v>
      </c>
      <c r="BN18" s="32">
        <f t="shared" ca="1" si="3"/>
        <v>7.4</v>
      </c>
      <c r="BO18" s="32">
        <f t="shared" ca="1" si="3"/>
        <v>9.5999999999999979</v>
      </c>
      <c r="BP18" s="36">
        <f t="shared" ca="1" si="3"/>
        <v>12.799999999999999</v>
      </c>
      <c r="BQ18" s="32">
        <f t="shared" ca="1" si="3"/>
        <v>3.3000000000000007</v>
      </c>
      <c r="BR18" s="32">
        <f t="shared" ca="1" si="3"/>
        <v>8.0000000000000018</v>
      </c>
      <c r="BS18" s="32">
        <f t="shared" ca="1" si="3"/>
        <v>8.0999999999999979</v>
      </c>
      <c r="BT18" s="32">
        <f t="shared" ca="1" si="3"/>
        <v>12.799999999999999</v>
      </c>
      <c r="BU18" s="87">
        <f t="shared" ca="1" si="3"/>
        <v>4.8000000000000007</v>
      </c>
      <c r="BV18" s="32">
        <f t="shared" ca="1" si="3"/>
        <v>8.0000000000000018</v>
      </c>
      <c r="BW18" s="32">
        <f t="shared" ca="1" si="3"/>
        <v>9.5999999999999979</v>
      </c>
      <c r="BX18" s="36">
        <f t="shared" ca="1" si="3"/>
        <v>12.799999999999999</v>
      </c>
    </row>
    <row r="19" spans="1:83">
      <c r="C19" s="10">
        <v>1</v>
      </c>
      <c r="D19" s="10">
        <v>0</v>
      </c>
      <c r="E19" s="10">
        <v>1</v>
      </c>
      <c r="F19" s="11">
        <v>0</v>
      </c>
      <c r="G19" s="5" t="s">
        <v>16</v>
      </c>
      <c r="H19" s="9">
        <v>10</v>
      </c>
      <c r="I19" s="3" t="s">
        <v>15</v>
      </c>
      <c r="J19" s="87">
        <f t="shared" ref="J19:Y24" ca="1" si="4">MIN(OFFSET(dS,$H19*4,J$7*4,4,4))</f>
        <v>0</v>
      </c>
      <c r="K19" s="32">
        <f t="shared" ca="1" si="4"/>
        <v>16.100000000000001</v>
      </c>
      <c r="L19" s="32">
        <f t="shared" ca="1" si="4"/>
        <v>15.6</v>
      </c>
      <c r="M19" s="32">
        <f t="shared" ca="1" si="4"/>
        <v>15.6</v>
      </c>
      <c r="N19" s="87">
        <f t="shared" ca="1" si="4"/>
        <v>16.100000000000001</v>
      </c>
      <c r="O19" s="32">
        <f t="shared" ca="1" si="4"/>
        <v>16.100000000000001</v>
      </c>
      <c r="P19" s="32">
        <f t="shared" ca="1" si="4"/>
        <v>15.6</v>
      </c>
      <c r="Q19" s="36">
        <f t="shared" ca="1" si="4"/>
        <v>15.6</v>
      </c>
      <c r="R19" s="32">
        <f t="shared" ca="1" si="4"/>
        <v>19.3</v>
      </c>
      <c r="S19" s="32">
        <f t="shared" ca="1" si="4"/>
        <v>16.100000000000001</v>
      </c>
      <c r="T19" s="32">
        <f t="shared" ca="1" si="4"/>
        <v>15.6</v>
      </c>
      <c r="U19" s="32">
        <f t="shared" ca="1" si="4"/>
        <v>15.6</v>
      </c>
      <c r="V19" s="87">
        <f t="shared" ca="1" si="4"/>
        <v>16.100000000000001</v>
      </c>
      <c r="W19" s="32">
        <f t="shared" ca="1" si="4"/>
        <v>16.100000000000001</v>
      </c>
      <c r="X19" s="32">
        <f t="shared" ca="1" si="4"/>
        <v>15.6</v>
      </c>
      <c r="Y19" s="36">
        <f t="shared" ca="1" si="4"/>
        <v>15.6</v>
      </c>
      <c r="AC19" s="10">
        <v>1</v>
      </c>
      <c r="AD19" s="10">
        <v>0</v>
      </c>
      <c r="AE19" s="10">
        <v>1</v>
      </c>
      <c r="AF19" s="11">
        <v>0</v>
      </c>
      <c r="AG19" s="5" t="s">
        <v>16</v>
      </c>
      <c r="AH19" s="9">
        <v>10</v>
      </c>
      <c r="AI19" s="3" t="s">
        <v>15</v>
      </c>
      <c r="AJ19" s="87">
        <f t="shared" ref="AJ19:AY24" ca="1" si="5">MAX(OFFSET(dS,$H19*4,AJ$7*4,4,4))</f>
        <v>0</v>
      </c>
      <c r="AK19" s="32">
        <f t="shared" ca="1" si="5"/>
        <v>25.5</v>
      </c>
      <c r="AL19" s="32">
        <f t="shared" ca="1" si="5"/>
        <v>23</v>
      </c>
      <c r="AM19" s="32">
        <f t="shared" ca="1" si="5"/>
        <v>25.5</v>
      </c>
      <c r="AN19" s="87">
        <f t="shared" ca="1" si="5"/>
        <v>18.8</v>
      </c>
      <c r="AO19" s="32">
        <f t="shared" ca="1" si="5"/>
        <v>25.5</v>
      </c>
      <c r="AP19" s="32">
        <f t="shared" ca="1" si="5"/>
        <v>23</v>
      </c>
      <c r="AQ19" s="36">
        <f t="shared" ca="1" si="5"/>
        <v>25.5</v>
      </c>
      <c r="AR19" s="32">
        <f t="shared" ca="1" si="5"/>
        <v>23.6</v>
      </c>
      <c r="AS19" s="32">
        <f t="shared" ca="1" si="5"/>
        <v>25.5</v>
      </c>
      <c r="AT19" s="32">
        <f t="shared" ca="1" si="5"/>
        <v>23.6</v>
      </c>
      <c r="AU19" s="32">
        <f t="shared" ca="1" si="5"/>
        <v>25.5</v>
      </c>
      <c r="AV19" s="87">
        <f t="shared" ca="1" si="5"/>
        <v>23.6</v>
      </c>
      <c r="AW19" s="32">
        <f t="shared" ca="1" si="5"/>
        <v>25.5</v>
      </c>
      <c r="AX19" s="32">
        <f t="shared" ca="1" si="5"/>
        <v>23.6</v>
      </c>
      <c r="AY19" s="36">
        <f t="shared" ca="1" si="5"/>
        <v>25.5</v>
      </c>
      <c r="BB19" s="10">
        <v>1</v>
      </c>
      <c r="BC19" s="10">
        <v>0</v>
      </c>
      <c r="BD19" s="10">
        <v>1</v>
      </c>
      <c r="BE19" s="11">
        <v>0</v>
      </c>
      <c r="BF19" s="5" t="s">
        <v>16</v>
      </c>
      <c r="BG19" s="9">
        <v>10</v>
      </c>
      <c r="BH19" s="3" t="s">
        <v>15</v>
      </c>
      <c r="BI19" s="87">
        <f t="shared" ca="1" si="2"/>
        <v>0</v>
      </c>
      <c r="BJ19" s="32">
        <f t="shared" ca="1" si="2"/>
        <v>9.3999999999999986</v>
      </c>
      <c r="BK19" s="32">
        <f t="shared" ca="1" si="3"/>
        <v>7.4</v>
      </c>
      <c r="BL19" s="32">
        <f t="shared" ca="1" si="3"/>
        <v>9.9</v>
      </c>
      <c r="BM19" s="87">
        <f t="shared" ca="1" si="3"/>
        <v>2.6999999999999993</v>
      </c>
      <c r="BN19" s="32">
        <f t="shared" ca="1" si="3"/>
        <v>9.3999999999999986</v>
      </c>
      <c r="BO19" s="32">
        <f t="shared" ca="1" si="3"/>
        <v>7.4</v>
      </c>
      <c r="BP19" s="36">
        <f t="shared" ca="1" si="3"/>
        <v>9.9</v>
      </c>
      <c r="BQ19" s="32">
        <f t="shared" ca="1" si="3"/>
        <v>4.3000000000000007</v>
      </c>
      <c r="BR19" s="32">
        <f t="shared" ca="1" si="3"/>
        <v>9.3999999999999986</v>
      </c>
      <c r="BS19" s="32">
        <f t="shared" ca="1" si="3"/>
        <v>8.0000000000000018</v>
      </c>
      <c r="BT19" s="32">
        <f t="shared" ca="1" si="3"/>
        <v>9.9</v>
      </c>
      <c r="BU19" s="87">
        <f t="shared" ca="1" si="3"/>
        <v>7.5</v>
      </c>
      <c r="BV19" s="32">
        <f t="shared" ca="1" si="3"/>
        <v>9.3999999999999986</v>
      </c>
      <c r="BW19" s="32">
        <f t="shared" ca="1" si="3"/>
        <v>8.0000000000000018</v>
      </c>
      <c r="BX19" s="36">
        <f t="shared" ca="1" si="3"/>
        <v>9.9</v>
      </c>
    </row>
    <row r="20" spans="1:83" ht="15.75" thickBot="1">
      <c r="C20" s="13">
        <v>1</v>
      </c>
      <c r="D20" s="13">
        <v>0</v>
      </c>
      <c r="E20" s="13">
        <v>1</v>
      </c>
      <c r="F20" s="14">
        <v>1</v>
      </c>
      <c r="G20" s="5" t="s">
        <v>18</v>
      </c>
      <c r="H20" s="12">
        <v>11</v>
      </c>
      <c r="I20" s="2" t="s">
        <v>17</v>
      </c>
      <c r="J20" s="87">
        <f t="shared" ca="1" si="4"/>
        <v>0</v>
      </c>
      <c r="K20" s="32">
        <f t="shared" ca="1" si="4"/>
        <v>15.6</v>
      </c>
      <c r="L20" s="32">
        <f t="shared" ca="1" si="4"/>
        <v>15.6</v>
      </c>
      <c r="M20" s="32">
        <f t="shared" ca="1" si="4"/>
        <v>15.6</v>
      </c>
      <c r="N20" s="87">
        <f t="shared" ca="1" si="4"/>
        <v>16.100000000000001</v>
      </c>
      <c r="O20" s="32">
        <f t="shared" ca="1" si="4"/>
        <v>15.6</v>
      </c>
      <c r="P20" s="32">
        <f t="shared" ca="1" si="4"/>
        <v>15.6</v>
      </c>
      <c r="Q20" s="36">
        <f t="shared" ca="1" si="4"/>
        <v>15.6</v>
      </c>
      <c r="R20" s="32">
        <f t="shared" ca="1" si="4"/>
        <v>19.3</v>
      </c>
      <c r="S20" s="32">
        <f t="shared" ca="1" si="4"/>
        <v>15.6</v>
      </c>
      <c r="T20" s="32">
        <f t="shared" ca="1" si="4"/>
        <v>15.6</v>
      </c>
      <c r="U20" s="32">
        <f t="shared" ca="1" si="4"/>
        <v>15.6</v>
      </c>
      <c r="V20" s="87">
        <f t="shared" ca="1" si="4"/>
        <v>16.100000000000001</v>
      </c>
      <c r="W20" s="32">
        <f t="shared" ca="1" si="4"/>
        <v>15.6</v>
      </c>
      <c r="X20" s="32">
        <f t="shared" ca="1" si="4"/>
        <v>15.6</v>
      </c>
      <c r="Y20" s="36">
        <f t="shared" ca="1" si="4"/>
        <v>15.6</v>
      </c>
      <c r="AC20" s="13">
        <v>1</v>
      </c>
      <c r="AD20" s="13">
        <v>0</v>
      </c>
      <c r="AE20" s="13">
        <v>1</v>
      </c>
      <c r="AF20" s="14">
        <v>1</v>
      </c>
      <c r="AG20" s="5" t="s">
        <v>18</v>
      </c>
      <c r="AH20" s="12">
        <v>11</v>
      </c>
      <c r="AI20" s="2" t="s">
        <v>17</v>
      </c>
      <c r="AJ20" s="87">
        <f t="shared" ca="1" si="5"/>
        <v>0</v>
      </c>
      <c r="AK20" s="32">
        <f t="shared" ca="1" si="5"/>
        <v>25.5</v>
      </c>
      <c r="AL20" s="32">
        <f t="shared" ca="1" si="5"/>
        <v>28.4</v>
      </c>
      <c r="AM20" s="32">
        <f t="shared" ca="1" si="5"/>
        <v>28.4</v>
      </c>
      <c r="AN20" s="87">
        <f t="shared" ca="1" si="5"/>
        <v>23</v>
      </c>
      <c r="AO20" s="32">
        <f t="shared" ca="1" si="5"/>
        <v>25.5</v>
      </c>
      <c r="AP20" s="32">
        <f t="shared" ca="1" si="5"/>
        <v>28.4</v>
      </c>
      <c r="AQ20" s="36">
        <f t="shared" ca="1" si="5"/>
        <v>28.4</v>
      </c>
      <c r="AR20" s="32">
        <f t="shared" ca="1" si="5"/>
        <v>23.6</v>
      </c>
      <c r="AS20" s="32">
        <f t="shared" ca="1" si="5"/>
        <v>25.5</v>
      </c>
      <c r="AT20" s="32">
        <f t="shared" ca="1" si="5"/>
        <v>28.4</v>
      </c>
      <c r="AU20" s="32">
        <f t="shared" ca="1" si="5"/>
        <v>28.4</v>
      </c>
      <c r="AV20" s="87">
        <f t="shared" ca="1" si="5"/>
        <v>23.6</v>
      </c>
      <c r="AW20" s="32">
        <f t="shared" ca="1" si="5"/>
        <v>25.5</v>
      </c>
      <c r="AX20" s="32">
        <f t="shared" ca="1" si="5"/>
        <v>28.4</v>
      </c>
      <c r="AY20" s="36">
        <f t="shared" ca="1" si="5"/>
        <v>28.4</v>
      </c>
      <c r="BB20" s="13">
        <v>1</v>
      </c>
      <c r="BC20" s="13">
        <v>0</v>
      </c>
      <c r="BD20" s="13">
        <v>1</v>
      </c>
      <c r="BE20" s="14">
        <v>1</v>
      </c>
      <c r="BF20" s="5" t="s">
        <v>18</v>
      </c>
      <c r="BG20" s="12">
        <v>11</v>
      </c>
      <c r="BH20" s="2" t="s">
        <v>17</v>
      </c>
      <c r="BI20" s="87">
        <f t="shared" ca="1" si="2"/>
        <v>0</v>
      </c>
      <c r="BJ20" s="32">
        <f t="shared" ca="1" si="2"/>
        <v>9.9</v>
      </c>
      <c r="BK20" s="32">
        <f t="shared" ca="1" si="3"/>
        <v>12.799999999999999</v>
      </c>
      <c r="BL20" s="32">
        <f t="shared" ca="1" si="3"/>
        <v>12.799999999999999</v>
      </c>
      <c r="BM20" s="87">
        <f t="shared" ca="1" si="3"/>
        <v>6.8999999999999986</v>
      </c>
      <c r="BN20" s="32">
        <f t="shared" ca="1" si="3"/>
        <v>9.9</v>
      </c>
      <c r="BO20" s="32">
        <f t="shared" ca="1" si="3"/>
        <v>12.799999999999999</v>
      </c>
      <c r="BP20" s="36">
        <f t="shared" ca="1" si="3"/>
        <v>12.799999999999999</v>
      </c>
      <c r="BQ20" s="32">
        <f t="shared" ca="1" si="3"/>
        <v>4.3000000000000007</v>
      </c>
      <c r="BR20" s="32">
        <f t="shared" ca="1" si="3"/>
        <v>9.9</v>
      </c>
      <c r="BS20" s="32">
        <f t="shared" ca="1" si="3"/>
        <v>12.799999999999999</v>
      </c>
      <c r="BT20" s="32">
        <f t="shared" ca="1" si="3"/>
        <v>12.799999999999999</v>
      </c>
      <c r="BU20" s="87">
        <f t="shared" ca="1" si="3"/>
        <v>7.5</v>
      </c>
      <c r="BV20" s="32">
        <f t="shared" ca="1" si="3"/>
        <v>9.9</v>
      </c>
      <c r="BW20" s="32">
        <f t="shared" ca="1" si="3"/>
        <v>12.799999999999999</v>
      </c>
      <c r="BX20" s="36">
        <f t="shared" ca="1" si="3"/>
        <v>12.799999999999999</v>
      </c>
    </row>
    <row r="21" spans="1:83">
      <c r="C21" s="5">
        <v>1</v>
      </c>
      <c r="D21" s="5">
        <v>1</v>
      </c>
      <c r="E21" s="5">
        <v>0</v>
      </c>
      <c r="F21" s="5">
        <v>0</v>
      </c>
      <c r="G21" s="5" t="s">
        <v>20</v>
      </c>
      <c r="H21" s="5">
        <v>12</v>
      </c>
      <c r="I21" s="3" t="s">
        <v>19</v>
      </c>
      <c r="J21" s="83">
        <f t="shared" ca="1" si="4"/>
        <v>0</v>
      </c>
      <c r="K21" s="84">
        <f t="shared" ca="1" si="4"/>
        <v>16.100000000000001</v>
      </c>
      <c r="L21" s="84">
        <f t="shared" ca="1" si="4"/>
        <v>20.3</v>
      </c>
      <c r="M21" s="84">
        <f t="shared" ca="1" si="4"/>
        <v>16.100000000000001</v>
      </c>
      <c r="N21" s="83">
        <f t="shared" ca="1" si="4"/>
        <v>18.8</v>
      </c>
      <c r="O21" s="84">
        <f t="shared" ca="1" si="4"/>
        <v>16.100000000000001</v>
      </c>
      <c r="P21" s="84">
        <f t="shared" ca="1" si="4"/>
        <v>18.8</v>
      </c>
      <c r="Q21" s="85">
        <f t="shared" ca="1" si="4"/>
        <v>16.100000000000001</v>
      </c>
      <c r="R21" s="84">
        <f t="shared" ca="1" si="4"/>
        <v>18.5</v>
      </c>
      <c r="S21" s="84">
        <f t="shared" ca="1" si="4"/>
        <v>16.100000000000001</v>
      </c>
      <c r="T21" s="84">
        <f t="shared" ca="1" si="4"/>
        <v>18.5</v>
      </c>
      <c r="U21" s="84">
        <f t="shared" ca="1" si="4"/>
        <v>16.100000000000001</v>
      </c>
      <c r="V21" s="83">
        <f t="shared" ca="1" si="4"/>
        <v>18.5</v>
      </c>
      <c r="W21" s="84">
        <f t="shared" ca="1" si="4"/>
        <v>16.100000000000001</v>
      </c>
      <c r="X21" s="84">
        <f t="shared" ca="1" si="4"/>
        <v>18.5</v>
      </c>
      <c r="Y21" s="85">
        <f t="shared" ca="1" si="4"/>
        <v>16.100000000000001</v>
      </c>
      <c r="AC21" s="5">
        <v>1</v>
      </c>
      <c r="AD21" s="5">
        <v>1</v>
      </c>
      <c r="AE21" s="5">
        <v>0</v>
      </c>
      <c r="AF21" s="5">
        <v>0</v>
      </c>
      <c r="AG21" s="5" t="s">
        <v>20</v>
      </c>
      <c r="AH21" s="5">
        <v>12</v>
      </c>
      <c r="AI21" s="3" t="s">
        <v>19</v>
      </c>
      <c r="AJ21" s="83">
        <f t="shared" ca="1" si="5"/>
        <v>0</v>
      </c>
      <c r="AK21" s="84">
        <f t="shared" ca="1" si="5"/>
        <v>19.3</v>
      </c>
      <c r="AL21" s="84">
        <f t="shared" ca="1" si="5"/>
        <v>23</v>
      </c>
      <c r="AM21" s="84">
        <f t="shared" ca="1" si="5"/>
        <v>23</v>
      </c>
      <c r="AN21" s="83">
        <f t="shared" ca="1" si="5"/>
        <v>23.6</v>
      </c>
      <c r="AO21" s="84">
        <f t="shared" ca="1" si="5"/>
        <v>23.6</v>
      </c>
      <c r="AP21" s="84">
        <f t="shared" ca="1" si="5"/>
        <v>23.6</v>
      </c>
      <c r="AQ21" s="85">
        <f t="shared" ca="1" si="5"/>
        <v>23.6</v>
      </c>
      <c r="AR21" s="84">
        <f t="shared" ca="1" si="5"/>
        <v>23.6</v>
      </c>
      <c r="AS21" s="84">
        <f t="shared" ca="1" si="5"/>
        <v>23.6</v>
      </c>
      <c r="AT21" s="84">
        <f t="shared" ca="1" si="5"/>
        <v>23.6</v>
      </c>
      <c r="AU21" s="84">
        <f t="shared" ca="1" si="5"/>
        <v>23.6</v>
      </c>
      <c r="AV21" s="83">
        <f t="shared" ca="1" si="5"/>
        <v>23.6</v>
      </c>
      <c r="AW21" s="84">
        <f t="shared" ca="1" si="5"/>
        <v>23.6</v>
      </c>
      <c r="AX21" s="84">
        <f t="shared" ca="1" si="5"/>
        <v>23.6</v>
      </c>
      <c r="AY21" s="85">
        <f t="shared" ca="1" si="5"/>
        <v>23.6</v>
      </c>
      <c r="BB21" s="5">
        <v>1</v>
      </c>
      <c r="BC21" s="5">
        <v>1</v>
      </c>
      <c r="BD21" s="5">
        <v>0</v>
      </c>
      <c r="BE21" s="5">
        <v>0</v>
      </c>
      <c r="BF21" s="5" t="s">
        <v>20</v>
      </c>
      <c r="BG21" s="5">
        <v>12</v>
      </c>
      <c r="BH21" s="3" t="s">
        <v>19</v>
      </c>
      <c r="BI21" s="83">
        <f t="shared" ca="1" si="2"/>
        <v>0</v>
      </c>
      <c r="BJ21" s="84">
        <f t="shared" ca="1" si="2"/>
        <v>3.1999999999999993</v>
      </c>
      <c r="BK21" s="84">
        <f t="shared" ca="1" si="3"/>
        <v>2.6999999999999993</v>
      </c>
      <c r="BL21" s="84">
        <f t="shared" ca="1" si="3"/>
        <v>6.8999999999999986</v>
      </c>
      <c r="BM21" s="83">
        <f t="shared" ca="1" si="3"/>
        <v>4.8000000000000007</v>
      </c>
      <c r="BN21" s="84">
        <f t="shared" ca="1" si="3"/>
        <v>7.5</v>
      </c>
      <c r="BO21" s="84">
        <f t="shared" ca="1" si="3"/>
        <v>4.8000000000000007</v>
      </c>
      <c r="BP21" s="85">
        <f t="shared" ca="1" si="3"/>
        <v>7.5</v>
      </c>
      <c r="BQ21" s="84">
        <f t="shared" ca="1" si="3"/>
        <v>5.1000000000000014</v>
      </c>
      <c r="BR21" s="84">
        <f t="shared" ca="1" si="3"/>
        <v>7.5</v>
      </c>
      <c r="BS21" s="84">
        <f t="shared" ca="1" si="3"/>
        <v>5.1000000000000014</v>
      </c>
      <c r="BT21" s="84">
        <f t="shared" ca="1" si="3"/>
        <v>7.5</v>
      </c>
      <c r="BU21" s="83">
        <f t="shared" ca="1" si="3"/>
        <v>5.1000000000000014</v>
      </c>
      <c r="BV21" s="84">
        <f t="shared" ca="1" si="3"/>
        <v>7.5</v>
      </c>
      <c r="BW21" s="84">
        <f t="shared" ca="1" si="3"/>
        <v>5.1000000000000014</v>
      </c>
      <c r="BX21" s="85">
        <f t="shared" ca="1" si="3"/>
        <v>7.5</v>
      </c>
    </row>
    <row r="22" spans="1:83">
      <c r="C22" s="5">
        <v>1</v>
      </c>
      <c r="D22" s="5">
        <v>1</v>
      </c>
      <c r="E22" s="5">
        <v>0</v>
      </c>
      <c r="F22" s="5">
        <v>1</v>
      </c>
      <c r="G22" s="5" t="s">
        <v>22</v>
      </c>
      <c r="H22" s="5">
        <v>13</v>
      </c>
      <c r="I22" s="3" t="s">
        <v>21</v>
      </c>
      <c r="J22" s="87">
        <f t="shared" ca="1" si="4"/>
        <v>0</v>
      </c>
      <c r="K22" s="32">
        <f t="shared" ca="1" si="4"/>
        <v>15.6</v>
      </c>
      <c r="L22" s="32">
        <f t="shared" ca="1" si="4"/>
        <v>20.3</v>
      </c>
      <c r="M22" s="32">
        <f t="shared" ca="1" si="4"/>
        <v>15.6</v>
      </c>
      <c r="N22" s="87">
        <f t="shared" ca="1" si="4"/>
        <v>18.8</v>
      </c>
      <c r="O22" s="32">
        <f t="shared" ca="1" si="4"/>
        <v>15.6</v>
      </c>
      <c r="P22" s="32">
        <f t="shared" ca="1" si="4"/>
        <v>18.8</v>
      </c>
      <c r="Q22" s="36">
        <f t="shared" ca="1" si="4"/>
        <v>15.6</v>
      </c>
      <c r="R22" s="32">
        <f t="shared" ca="1" si="4"/>
        <v>18.5</v>
      </c>
      <c r="S22" s="32">
        <f t="shared" ca="1" si="4"/>
        <v>15.6</v>
      </c>
      <c r="T22" s="32">
        <f t="shared" ca="1" si="4"/>
        <v>18.5</v>
      </c>
      <c r="U22" s="32">
        <f t="shared" ca="1" si="4"/>
        <v>15.6</v>
      </c>
      <c r="V22" s="87">
        <f t="shared" ca="1" si="4"/>
        <v>18.5</v>
      </c>
      <c r="W22" s="32">
        <f t="shared" ca="1" si="4"/>
        <v>15.6</v>
      </c>
      <c r="X22" s="32">
        <f t="shared" ca="1" si="4"/>
        <v>18.5</v>
      </c>
      <c r="Y22" s="36">
        <f t="shared" ca="1" si="4"/>
        <v>15.6</v>
      </c>
      <c r="AC22" s="5">
        <v>1</v>
      </c>
      <c r="AD22" s="5">
        <v>1</v>
      </c>
      <c r="AE22" s="5">
        <v>0</v>
      </c>
      <c r="AF22" s="5">
        <v>1</v>
      </c>
      <c r="AG22" s="5" t="s">
        <v>22</v>
      </c>
      <c r="AH22" s="5">
        <v>13</v>
      </c>
      <c r="AI22" s="3" t="s">
        <v>21</v>
      </c>
      <c r="AJ22" s="87">
        <f t="shared" ca="1" si="5"/>
        <v>0</v>
      </c>
      <c r="AK22" s="32">
        <f t="shared" ca="1" si="5"/>
        <v>19.3</v>
      </c>
      <c r="AL22" s="32">
        <f t="shared" ca="1" si="5"/>
        <v>28.4</v>
      </c>
      <c r="AM22" s="32">
        <f t="shared" ca="1" si="5"/>
        <v>28.4</v>
      </c>
      <c r="AN22" s="87">
        <f t="shared" ca="1" si="5"/>
        <v>23.6</v>
      </c>
      <c r="AO22" s="32">
        <f t="shared" ca="1" si="5"/>
        <v>23.6</v>
      </c>
      <c r="AP22" s="32">
        <f t="shared" ca="1" si="5"/>
        <v>28.4</v>
      </c>
      <c r="AQ22" s="36">
        <f t="shared" ca="1" si="5"/>
        <v>28.4</v>
      </c>
      <c r="AR22" s="32">
        <f t="shared" ca="1" si="5"/>
        <v>23.6</v>
      </c>
      <c r="AS22" s="32">
        <f t="shared" ca="1" si="5"/>
        <v>23.6</v>
      </c>
      <c r="AT22" s="32">
        <f t="shared" ca="1" si="5"/>
        <v>28.4</v>
      </c>
      <c r="AU22" s="32">
        <f t="shared" ca="1" si="5"/>
        <v>28.4</v>
      </c>
      <c r="AV22" s="87">
        <f t="shared" ca="1" si="5"/>
        <v>23.6</v>
      </c>
      <c r="AW22" s="32">
        <f t="shared" ca="1" si="5"/>
        <v>23.6</v>
      </c>
      <c r="AX22" s="32">
        <f t="shared" ca="1" si="5"/>
        <v>28.4</v>
      </c>
      <c r="AY22" s="36">
        <f t="shared" ca="1" si="5"/>
        <v>28.4</v>
      </c>
      <c r="BB22" s="5">
        <v>1</v>
      </c>
      <c r="BC22" s="5">
        <v>1</v>
      </c>
      <c r="BD22" s="5">
        <v>0</v>
      </c>
      <c r="BE22" s="5">
        <v>1</v>
      </c>
      <c r="BF22" s="5" t="s">
        <v>22</v>
      </c>
      <c r="BG22" s="5">
        <v>13</v>
      </c>
      <c r="BH22" s="3" t="s">
        <v>21</v>
      </c>
      <c r="BI22" s="87">
        <f t="shared" ca="1" si="2"/>
        <v>0</v>
      </c>
      <c r="BJ22" s="32">
        <f t="shared" ca="1" si="2"/>
        <v>3.7000000000000011</v>
      </c>
      <c r="BK22" s="32">
        <f t="shared" ca="1" si="3"/>
        <v>8.0999999999999979</v>
      </c>
      <c r="BL22" s="32">
        <f t="shared" ca="1" si="3"/>
        <v>12.799999999999999</v>
      </c>
      <c r="BM22" s="87">
        <f t="shared" ca="1" si="3"/>
        <v>4.8000000000000007</v>
      </c>
      <c r="BN22" s="32">
        <f t="shared" ca="1" si="3"/>
        <v>8.0000000000000018</v>
      </c>
      <c r="BO22" s="32">
        <f t="shared" ca="1" si="3"/>
        <v>9.5999999999999979</v>
      </c>
      <c r="BP22" s="36">
        <f t="shared" ca="1" si="3"/>
        <v>12.799999999999999</v>
      </c>
      <c r="BQ22" s="32">
        <f t="shared" ca="1" si="3"/>
        <v>5.1000000000000014</v>
      </c>
      <c r="BR22" s="32">
        <f t="shared" ca="1" si="3"/>
        <v>8.0000000000000018</v>
      </c>
      <c r="BS22" s="32">
        <f t="shared" ca="1" si="3"/>
        <v>9.8999999999999986</v>
      </c>
      <c r="BT22" s="32">
        <f t="shared" ca="1" si="3"/>
        <v>12.799999999999999</v>
      </c>
      <c r="BU22" s="87">
        <f t="shared" ca="1" si="3"/>
        <v>5.1000000000000014</v>
      </c>
      <c r="BV22" s="32">
        <f t="shared" ca="1" si="3"/>
        <v>8.0000000000000018</v>
      </c>
      <c r="BW22" s="32">
        <f t="shared" ca="1" si="3"/>
        <v>9.8999999999999986</v>
      </c>
      <c r="BX22" s="36">
        <f t="shared" ca="1" si="3"/>
        <v>12.799999999999999</v>
      </c>
    </row>
    <row r="23" spans="1:83">
      <c r="C23" s="5">
        <v>1</v>
      </c>
      <c r="D23" s="5">
        <v>1</v>
      </c>
      <c r="E23" s="5">
        <v>1</v>
      </c>
      <c r="F23" s="5">
        <v>0</v>
      </c>
      <c r="G23" s="5" t="s">
        <v>24</v>
      </c>
      <c r="H23" s="5">
        <v>14</v>
      </c>
      <c r="I23" s="3" t="s">
        <v>23</v>
      </c>
      <c r="J23" s="87">
        <f t="shared" ca="1" si="4"/>
        <v>0</v>
      </c>
      <c r="K23" s="32">
        <f t="shared" ca="1" si="4"/>
        <v>16.100000000000001</v>
      </c>
      <c r="L23" s="32">
        <f t="shared" ca="1" si="4"/>
        <v>15.6</v>
      </c>
      <c r="M23" s="32">
        <f t="shared" ca="1" si="4"/>
        <v>15.6</v>
      </c>
      <c r="N23" s="87">
        <f t="shared" ca="1" si="4"/>
        <v>16.100000000000001</v>
      </c>
      <c r="O23" s="32">
        <f t="shared" ca="1" si="4"/>
        <v>16.100000000000001</v>
      </c>
      <c r="P23" s="32">
        <f t="shared" ca="1" si="4"/>
        <v>15.6</v>
      </c>
      <c r="Q23" s="36">
        <f t="shared" ca="1" si="4"/>
        <v>15.6</v>
      </c>
      <c r="R23" s="32">
        <f t="shared" ca="1" si="4"/>
        <v>18.5</v>
      </c>
      <c r="S23" s="32">
        <f t="shared" ca="1" si="4"/>
        <v>16.100000000000001</v>
      </c>
      <c r="T23" s="32">
        <f t="shared" ca="1" si="4"/>
        <v>15.6</v>
      </c>
      <c r="U23" s="32">
        <f t="shared" ca="1" si="4"/>
        <v>15.6</v>
      </c>
      <c r="V23" s="87">
        <f t="shared" ca="1" si="4"/>
        <v>16.100000000000001</v>
      </c>
      <c r="W23" s="32">
        <f t="shared" ca="1" si="4"/>
        <v>16.100000000000001</v>
      </c>
      <c r="X23" s="32">
        <f t="shared" ca="1" si="4"/>
        <v>15.6</v>
      </c>
      <c r="Y23" s="36">
        <f t="shared" ca="1" si="4"/>
        <v>15.6</v>
      </c>
      <c r="AC23" s="5">
        <v>1</v>
      </c>
      <c r="AD23" s="5">
        <v>1</v>
      </c>
      <c r="AE23" s="5">
        <v>1</v>
      </c>
      <c r="AF23" s="5">
        <v>0</v>
      </c>
      <c r="AG23" s="5" t="s">
        <v>24</v>
      </c>
      <c r="AH23" s="5">
        <v>14</v>
      </c>
      <c r="AI23" s="3" t="s">
        <v>23</v>
      </c>
      <c r="AJ23" s="87">
        <f t="shared" ca="1" si="5"/>
        <v>0</v>
      </c>
      <c r="AK23" s="32">
        <f t="shared" ca="1" si="5"/>
        <v>25.5</v>
      </c>
      <c r="AL23" s="32">
        <f t="shared" ca="1" si="5"/>
        <v>23</v>
      </c>
      <c r="AM23" s="32">
        <f t="shared" ca="1" si="5"/>
        <v>25.5</v>
      </c>
      <c r="AN23" s="87">
        <f t="shared" ca="1" si="5"/>
        <v>23.6</v>
      </c>
      <c r="AO23" s="32">
        <f t="shared" ca="1" si="5"/>
        <v>25.5</v>
      </c>
      <c r="AP23" s="32">
        <f t="shared" ca="1" si="5"/>
        <v>23.6</v>
      </c>
      <c r="AQ23" s="36">
        <f t="shared" ca="1" si="5"/>
        <v>25.5</v>
      </c>
      <c r="AR23" s="32">
        <f t="shared" ca="1" si="5"/>
        <v>23.6</v>
      </c>
      <c r="AS23" s="32">
        <f t="shared" ca="1" si="5"/>
        <v>25.5</v>
      </c>
      <c r="AT23" s="32">
        <f t="shared" ca="1" si="5"/>
        <v>23.6</v>
      </c>
      <c r="AU23" s="32">
        <f t="shared" ca="1" si="5"/>
        <v>25.5</v>
      </c>
      <c r="AV23" s="87">
        <f t="shared" ca="1" si="5"/>
        <v>23.6</v>
      </c>
      <c r="AW23" s="32">
        <f t="shared" ca="1" si="5"/>
        <v>25.5</v>
      </c>
      <c r="AX23" s="32">
        <f t="shared" ca="1" si="5"/>
        <v>23.6</v>
      </c>
      <c r="AY23" s="36">
        <f t="shared" ca="1" si="5"/>
        <v>25.5</v>
      </c>
      <c r="BB23" s="5">
        <v>1</v>
      </c>
      <c r="BC23" s="5">
        <v>1</v>
      </c>
      <c r="BD23" s="5">
        <v>1</v>
      </c>
      <c r="BE23" s="5">
        <v>0</v>
      </c>
      <c r="BF23" s="5" t="s">
        <v>24</v>
      </c>
      <c r="BG23" s="5">
        <v>14</v>
      </c>
      <c r="BH23" s="3" t="s">
        <v>23</v>
      </c>
      <c r="BI23" s="87">
        <f t="shared" ca="1" si="2"/>
        <v>0</v>
      </c>
      <c r="BJ23" s="32">
        <f t="shared" ca="1" si="2"/>
        <v>9.3999999999999986</v>
      </c>
      <c r="BK23" s="32">
        <f t="shared" ca="1" si="3"/>
        <v>7.4</v>
      </c>
      <c r="BL23" s="32">
        <f t="shared" ca="1" si="3"/>
        <v>9.9</v>
      </c>
      <c r="BM23" s="87">
        <f t="shared" ca="1" si="3"/>
        <v>7.5</v>
      </c>
      <c r="BN23" s="32">
        <f t="shared" ca="1" si="3"/>
        <v>9.3999999999999986</v>
      </c>
      <c r="BO23" s="32">
        <f t="shared" ca="1" si="3"/>
        <v>8.0000000000000018</v>
      </c>
      <c r="BP23" s="36">
        <f t="shared" ca="1" si="3"/>
        <v>9.9</v>
      </c>
      <c r="BQ23" s="32">
        <f t="shared" ca="1" si="3"/>
        <v>5.1000000000000014</v>
      </c>
      <c r="BR23" s="32">
        <f t="shared" ca="1" si="3"/>
        <v>9.3999999999999986</v>
      </c>
      <c r="BS23" s="32">
        <f t="shared" ca="1" si="3"/>
        <v>8.0000000000000018</v>
      </c>
      <c r="BT23" s="32">
        <f t="shared" ca="1" si="3"/>
        <v>9.9</v>
      </c>
      <c r="BU23" s="87">
        <f t="shared" ca="1" si="3"/>
        <v>7.5</v>
      </c>
      <c r="BV23" s="32">
        <f t="shared" ca="1" si="3"/>
        <v>9.3999999999999986</v>
      </c>
      <c r="BW23" s="32">
        <f t="shared" ca="1" si="3"/>
        <v>8.0000000000000018</v>
      </c>
      <c r="BX23" s="36">
        <f t="shared" ca="1" si="3"/>
        <v>9.9</v>
      </c>
    </row>
    <row r="24" spans="1:83">
      <c r="C24" s="5">
        <v>1</v>
      </c>
      <c r="D24" s="5">
        <v>1</v>
      </c>
      <c r="E24" s="5">
        <v>1</v>
      </c>
      <c r="F24" s="5">
        <v>1</v>
      </c>
      <c r="G24" s="5" t="s">
        <v>26</v>
      </c>
      <c r="H24" s="5">
        <v>15</v>
      </c>
      <c r="I24" s="1" t="s">
        <v>25</v>
      </c>
      <c r="J24" s="86">
        <f t="shared" ca="1" si="4"/>
        <v>0</v>
      </c>
      <c r="K24" s="35">
        <f t="shared" ca="1" si="4"/>
        <v>15.6</v>
      </c>
      <c r="L24" s="35">
        <f t="shared" ca="1" si="4"/>
        <v>15.6</v>
      </c>
      <c r="M24" s="35">
        <f t="shared" ca="1" si="4"/>
        <v>15.6</v>
      </c>
      <c r="N24" s="86">
        <f t="shared" ca="1" si="4"/>
        <v>16.100000000000001</v>
      </c>
      <c r="O24" s="35">
        <f t="shared" ca="1" si="4"/>
        <v>15.6</v>
      </c>
      <c r="P24" s="35">
        <f t="shared" ca="1" si="4"/>
        <v>15.6</v>
      </c>
      <c r="Q24" s="37">
        <f t="shared" ca="1" si="4"/>
        <v>15.6</v>
      </c>
      <c r="R24" s="35">
        <f t="shared" ca="1" si="4"/>
        <v>18.5</v>
      </c>
      <c r="S24" s="35">
        <f t="shared" ca="1" si="4"/>
        <v>15.6</v>
      </c>
      <c r="T24" s="35">
        <f t="shared" ca="1" si="4"/>
        <v>15.6</v>
      </c>
      <c r="U24" s="35">
        <f t="shared" ca="1" si="4"/>
        <v>15.6</v>
      </c>
      <c r="V24" s="86">
        <f t="shared" ca="1" si="4"/>
        <v>16.100000000000001</v>
      </c>
      <c r="W24" s="35">
        <f t="shared" ca="1" si="4"/>
        <v>15.6</v>
      </c>
      <c r="X24" s="35">
        <f t="shared" ca="1" si="4"/>
        <v>15.6</v>
      </c>
      <c r="Y24" s="37">
        <f t="shared" ca="1" si="4"/>
        <v>15.6</v>
      </c>
      <c r="AC24" s="5">
        <v>1</v>
      </c>
      <c r="AD24" s="5">
        <v>1</v>
      </c>
      <c r="AE24" s="5">
        <v>1</v>
      </c>
      <c r="AF24" s="5">
        <v>1</v>
      </c>
      <c r="AG24" s="5" t="s">
        <v>26</v>
      </c>
      <c r="AH24" s="5">
        <v>15</v>
      </c>
      <c r="AI24" s="1" t="s">
        <v>25</v>
      </c>
      <c r="AJ24" s="86">
        <f t="shared" ca="1" si="5"/>
        <v>0</v>
      </c>
      <c r="AK24" s="35">
        <f t="shared" ca="1" si="5"/>
        <v>25.5</v>
      </c>
      <c r="AL24" s="35">
        <f t="shared" ca="1" si="5"/>
        <v>28.4</v>
      </c>
      <c r="AM24" s="35">
        <f t="shared" ca="1" si="5"/>
        <v>28.4</v>
      </c>
      <c r="AN24" s="86">
        <f t="shared" ca="1" si="5"/>
        <v>23.6</v>
      </c>
      <c r="AO24" s="35">
        <f t="shared" ca="1" si="5"/>
        <v>25.5</v>
      </c>
      <c r="AP24" s="35">
        <f t="shared" ca="1" si="5"/>
        <v>28.4</v>
      </c>
      <c r="AQ24" s="37">
        <f t="shared" ca="1" si="5"/>
        <v>28.4</v>
      </c>
      <c r="AR24" s="35">
        <f t="shared" ca="1" si="5"/>
        <v>23.6</v>
      </c>
      <c r="AS24" s="35">
        <f t="shared" ca="1" si="5"/>
        <v>25.5</v>
      </c>
      <c r="AT24" s="35">
        <f t="shared" ca="1" si="5"/>
        <v>28.4</v>
      </c>
      <c r="AU24" s="35">
        <f t="shared" ca="1" si="5"/>
        <v>28.4</v>
      </c>
      <c r="AV24" s="86">
        <f t="shared" ca="1" si="5"/>
        <v>23.6</v>
      </c>
      <c r="AW24" s="35">
        <f t="shared" ca="1" si="5"/>
        <v>25.5</v>
      </c>
      <c r="AX24" s="35">
        <f t="shared" ca="1" si="5"/>
        <v>28.4</v>
      </c>
      <c r="AY24" s="37">
        <f t="shared" ca="1" si="5"/>
        <v>28.4</v>
      </c>
      <c r="BB24" s="5">
        <v>1</v>
      </c>
      <c r="BC24" s="5">
        <v>1</v>
      </c>
      <c r="BD24" s="5">
        <v>1</v>
      </c>
      <c r="BE24" s="5">
        <v>1</v>
      </c>
      <c r="BF24" s="5" t="s">
        <v>26</v>
      </c>
      <c r="BG24" s="5">
        <v>15</v>
      </c>
      <c r="BH24" s="1" t="s">
        <v>25</v>
      </c>
      <c r="BI24" s="86">
        <f t="shared" ca="1" si="2"/>
        <v>0</v>
      </c>
      <c r="BJ24" s="35">
        <f t="shared" ca="1" si="2"/>
        <v>9.9</v>
      </c>
      <c r="BK24" s="35">
        <f t="shared" ca="1" si="3"/>
        <v>12.799999999999999</v>
      </c>
      <c r="BL24" s="35">
        <f t="shared" ca="1" si="3"/>
        <v>12.799999999999999</v>
      </c>
      <c r="BM24" s="86">
        <f t="shared" ca="1" si="3"/>
        <v>7.5</v>
      </c>
      <c r="BN24" s="35">
        <f t="shared" ca="1" si="3"/>
        <v>9.9</v>
      </c>
      <c r="BO24" s="35">
        <f t="shared" ca="1" si="3"/>
        <v>12.799999999999999</v>
      </c>
      <c r="BP24" s="37">
        <f t="shared" ca="1" si="3"/>
        <v>12.799999999999999</v>
      </c>
      <c r="BQ24" s="35">
        <f t="shared" ca="1" si="3"/>
        <v>5.1000000000000014</v>
      </c>
      <c r="BR24" s="35">
        <f t="shared" ca="1" si="3"/>
        <v>9.9</v>
      </c>
      <c r="BS24" s="35">
        <f t="shared" ca="1" si="3"/>
        <v>12.799999999999999</v>
      </c>
      <c r="BT24" s="35">
        <f t="shared" ca="1" si="3"/>
        <v>12.799999999999999</v>
      </c>
      <c r="BU24" s="86">
        <f t="shared" ca="1" si="3"/>
        <v>7.5</v>
      </c>
      <c r="BV24" s="35">
        <f t="shared" ca="1" si="3"/>
        <v>9.9</v>
      </c>
      <c r="BW24" s="35">
        <f t="shared" ca="1" si="3"/>
        <v>12.799999999999999</v>
      </c>
      <c r="BX24" s="37">
        <f t="shared" ca="1" si="3"/>
        <v>12.799999999999999</v>
      </c>
    </row>
    <row r="25" spans="1:83" ht="15.75" thickBot="1"/>
    <row r="26" spans="1:83" ht="15.75" thickBot="1">
      <c r="B26" s="79" t="s">
        <v>81</v>
      </c>
      <c r="C26" s="80">
        <v>1</v>
      </c>
    </row>
    <row r="27" spans="1:83">
      <c r="B27" s="79"/>
      <c r="C27" s="79">
        <v>-1</v>
      </c>
      <c r="P27" s="83" t="str">
        <f>MID(CodDegElegir,P29+1,1)</f>
        <v>-</v>
      </c>
      <c r="Q27" s="84"/>
      <c r="R27" s="84"/>
      <c r="S27" s="85"/>
      <c r="T27" s="83" t="str">
        <f>MID(CodDegElegir,T29+1,1)</f>
        <v>G</v>
      </c>
      <c r="U27" s="84"/>
      <c r="V27" s="84"/>
      <c r="W27" s="85"/>
      <c r="X27" s="83" t="str">
        <f>MID(CodDegElegir,X29+1,1)</f>
        <v>C</v>
      </c>
      <c r="Y27" s="84"/>
      <c r="Z27" s="84"/>
      <c r="AA27" s="85"/>
      <c r="AB27" s="83" t="str">
        <f>MID(CodDegElegir,AB29+1,1)</f>
        <v>S</v>
      </c>
      <c r="AC27" s="84"/>
      <c r="AD27" s="84"/>
      <c r="AE27" s="85"/>
      <c r="AF27" s="83" t="str">
        <f>MID(CodDegElegir,AF29+1,1)</f>
        <v>T</v>
      </c>
      <c r="AG27" s="84"/>
      <c r="AH27" s="84"/>
      <c r="AI27" s="85"/>
      <c r="AJ27" s="83" t="str">
        <f>MID(CodDegElegir,AJ29+1,1)</f>
        <v>K</v>
      </c>
      <c r="AK27" s="84"/>
      <c r="AL27" s="84"/>
      <c r="AM27" s="85"/>
      <c r="AN27" s="83" t="str">
        <f>MID(CodDegElegir,AN29+1,1)</f>
        <v>Y</v>
      </c>
      <c r="AO27" s="84"/>
      <c r="AP27" s="84"/>
      <c r="AQ27" s="85"/>
      <c r="AR27" s="83" t="str">
        <f>MID(CodDegElegir,AR29+1,1)</f>
        <v>B</v>
      </c>
      <c r="AS27" s="84"/>
      <c r="AT27" s="84"/>
      <c r="AU27" s="85"/>
      <c r="AV27" s="83" t="str">
        <f>MID(CodDegElegir,AV29+1,1)</f>
        <v>A</v>
      </c>
      <c r="AW27" s="84"/>
      <c r="AX27" s="84"/>
      <c r="AY27" s="85"/>
      <c r="AZ27" s="83" t="str">
        <f>MID(CodDegElegir,AZ29+1,1)</f>
        <v>R</v>
      </c>
      <c r="BA27" s="84"/>
      <c r="BB27" s="84"/>
      <c r="BC27" s="85"/>
      <c r="BD27" s="83" t="str">
        <f>MID(CodDegElegir,BD29+1,1)</f>
        <v>M</v>
      </c>
      <c r="BE27" s="84"/>
      <c r="BF27" s="84"/>
      <c r="BG27" s="85"/>
      <c r="BH27" s="83" t="str">
        <f>MID(CodDegElegir,BH29+1,1)</f>
        <v>V</v>
      </c>
      <c r="BI27" s="84"/>
      <c r="BJ27" s="84"/>
      <c r="BK27" s="85"/>
      <c r="BL27" s="83" t="str">
        <f>MID(CodDegElegir,BL29+1,1)</f>
        <v>W</v>
      </c>
      <c r="BM27" s="84"/>
      <c r="BN27" s="84"/>
      <c r="BO27" s="85"/>
      <c r="BP27" s="83" t="str">
        <f>MID(CodDegElegir,BP29+1,1)</f>
        <v>D</v>
      </c>
      <c r="BQ27" s="84"/>
      <c r="BR27" s="84"/>
      <c r="BS27" s="85"/>
      <c r="BT27" s="83" t="str">
        <f>MID(CodDegElegir,BT29+1,1)</f>
        <v>H</v>
      </c>
      <c r="BU27" s="84"/>
      <c r="BV27" s="84"/>
      <c r="BW27" s="85"/>
      <c r="BX27" s="83" t="str">
        <f>MID(CodDegElegir,BX29+1,1)</f>
        <v>N</v>
      </c>
      <c r="BY27" s="84"/>
      <c r="BZ27" s="84"/>
      <c r="CA27" s="85"/>
      <c r="CB27" s="83" t="str">
        <f>MID(CodDegElegir,CB29+1,1)</f>
        <v/>
      </c>
      <c r="CC27" s="84"/>
      <c r="CD27" s="84"/>
      <c r="CE27" s="85"/>
    </row>
    <row r="28" spans="1:83">
      <c r="C28" s="5">
        <v>8</v>
      </c>
      <c r="D28" s="5">
        <v>4</v>
      </c>
      <c r="E28" s="5">
        <v>2</v>
      </c>
      <c r="F28" s="5">
        <v>1</v>
      </c>
      <c r="P28" s="86" t="str">
        <f>MID(CodDegElegir,P30+1,1)</f>
        <v>-</v>
      </c>
      <c r="Q28" s="35" t="str">
        <f>MID(CodDegElegir,Q30+1,1)</f>
        <v>-</v>
      </c>
      <c r="R28" s="35" t="str">
        <f>MID(CodDegElegir,R30+1,1)</f>
        <v>-</v>
      </c>
      <c r="S28" s="37" t="str">
        <f>MID(CodDegElegir,S30+1,1)</f>
        <v>-</v>
      </c>
      <c r="T28" s="86" t="str">
        <f>MID(CodDegElegir,T30+1,1)</f>
        <v>-</v>
      </c>
      <c r="U28" s="35" t="str">
        <f>MID(CodDegElegir,U30+1,1)</f>
        <v>-</v>
      </c>
      <c r="V28" s="35" t="str">
        <f>MID(CodDegElegir,V30+1,1)</f>
        <v>-</v>
      </c>
      <c r="W28" s="37" t="str">
        <f>MID(CodDegElegir,W30+1,1)</f>
        <v>G</v>
      </c>
      <c r="X28" s="86" t="str">
        <f>MID(CodDegElegir,X30+1,1)</f>
        <v>-</v>
      </c>
      <c r="Y28" s="35" t="str">
        <f>MID(CodDegElegir,Y30+1,1)</f>
        <v>-</v>
      </c>
      <c r="Z28" s="35" t="str">
        <f>MID(CodDegElegir,Z30+1,1)</f>
        <v>C</v>
      </c>
      <c r="AA28" s="37" t="str">
        <f>MID(CodDegElegir,AA30+1,1)</f>
        <v>-</v>
      </c>
      <c r="AB28" s="86" t="str">
        <f>MID(CodDegElegir,AB30+1,1)</f>
        <v>-</v>
      </c>
      <c r="AC28" s="35" t="str">
        <f>MID(CodDegElegir,AC30+1,1)</f>
        <v>-</v>
      </c>
      <c r="AD28" s="35" t="str">
        <f>MID(CodDegElegir,AD30+1,1)</f>
        <v>C</v>
      </c>
      <c r="AE28" s="37" t="str">
        <f>MID(CodDegElegir,AE30+1,1)</f>
        <v>G</v>
      </c>
      <c r="AF28" s="86" t="str">
        <f>MID(CodDegElegir,AF30+1,1)</f>
        <v>-</v>
      </c>
      <c r="AG28" s="35" t="str">
        <f>MID(CodDegElegir,AG30+1,1)</f>
        <v>T</v>
      </c>
      <c r="AH28" s="35" t="str">
        <f>MID(CodDegElegir,AH30+1,1)</f>
        <v>-</v>
      </c>
      <c r="AI28" s="37" t="str">
        <f>MID(CodDegElegir,AI30+1,1)</f>
        <v>-</v>
      </c>
      <c r="AJ28" s="86" t="str">
        <f>MID(CodDegElegir,AJ30+1,1)</f>
        <v>-</v>
      </c>
      <c r="AK28" s="35" t="str">
        <f>MID(CodDegElegir,AK30+1,1)</f>
        <v>T</v>
      </c>
      <c r="AL28" s="35" t="str">
        <f>MID(CodDegElegir,AL30+1,1)</f>
        <v>-</v>
      </c>
      <c r="AM28" s="37" t="str">
        <f>MID(CodDegElegir,AM30+1,1)</f>
        <v>G</v>
      </c>
      <c r="AN28" s="86" t="str">
        <f>MID(CodDegElegir,AN30+1,1)</f>
        <v>-</v>
      </c>
      <c r="AO28" s="35" t="str">
        <f>MID(CodDegElegir,AO30+1,1)</f>
        <v>T</v>
      </c>
      <c r="AP28" s="35" t="str">
        <f>MID(CodDegElegir,AP30+1,1)</f>
        <v>C</v>
      </c>
      <c r="AQ28" s="37" t="str">
        <f>MID(CodDegElegir,AQ30+1,1)</f>
        <v>-</v>
      </c>
      <c r="AR28" s="86" t="str">
        <f>MID(CodDegElegir,AR30+1,1)</f>
        <v>-</v>
      </c>
      <c r="AS28" s="35" t="str">
        <f>MID(CodDegElegir,AS30+1,1)</f>
        <v>T</v>
      </c>
      <c r="AT28" s="35" t="str">
        <f>MID(CodDegElegir,AT30+1,1)</f>
        <v>C</v>
      </c>
      <c r="AU28" s="37" t="str">
        <f>MID(CodDegElegir,AU30+1,1)</f>
        <v>G</v>
      </c>
      <c r="AV28" s="86" t="str">
        <f>MID(CodDegElegir,AV30+1,1)</f>
        <v>A</v>
      </c>
      <c r="AW28" s="35" t="str">
        <f>MID(CodDegElegir,AW30+1,1)</f>
        <v>-</v>
      </c>
      <c r="AX28" s="35" t="str">
        <f>MID(CodDegElegir,AX30+1,1)</f>
        <v>-</v>
      </c>
      <c r="AY28" s="37" t="str">
        <f>MID(CodDegElegir,AY30+1,1)</f>
        <v>-</v>
      </c>
      <c r="AZ28" s="86" t="str">
        <f>MID(CodDegElegir,AZ30+1,1)</f>
        <v>A</v>
      </c>
      <c r="BA28" s="35" t="str">
        <f>MID(CodDegElegir,BA30+1,1)</f>
        <v>-</v>
      </c>
      <c r="BB28" s="35" t="str">
        <f>MID(CodDegElegir,BB30+1,1)</f>
        <v>-</v>
      </c>
      <c r="BC28" s="37" t="str">
        <f>MID(CodDegElegir,BC30+1,1)</f>
        <v>G</v>
      </c>
      <c r="BD28" s="86" t="str">
        <f>MID(CodDegElegir,BD30+1,1)</f>
        <v>A</v>
      </c>
      <c r="BE28" s="35" t="str">
        <f>MID(CodDegElegir,BE30+1,1)</f>
        <v>-</v>
      </c>
      <c r="BF28" s="35" t="str">
        <f>MID(CodDegElegir,BF30+1,1)</f>
        <v>C</v>
      </c>
      <c r="BG28" s="37" t="str">
        <f>MID(CodDegElegir,BG30+1,1)</f>
        <v>-</v>
      </c>
      <c r="BH28" s="86" t="str">
        <f>MID(CodDegElegir,BH30+1,1)</f>
        <v>A</v>
      </c>
      <c r="BI28" s="35" t="str">
        <f>MID(CodDegElegir,BI30+1,1)</f>
        <v>-</v>
      </c>
      <c r="BJ28" s="35" t="str">
        <f>MID(CodDegElegir,BJ30+1,1)</f>
        <v>C</v>
      </c>
      <c r="BK28" s="37" t="str">
        <f>MID(CodDegElegir,BK30+1,1)</f>
        <v>G</v>
      </c>
      <c r="BL28" s="86" t="str">
        <f>MID(CodDegElegir,BL30+1,1)</f>
        <v>A</v>
      </c>
      <c r="BM28" s="35" t="str">
        <f>MID(CodDegElegir,BM30+1,1)</f>
        <v>T</v>
      </c>
      <c r="BN28" s="35" t="str">
        <f>MID(CodDegElegir,BN30+1,1)</f>
        <v>-</v>
      </c>
      <c r="BO28" s="37" t="str">
        <f>MID(CodDegElegir,BO30+1,1)</f>
        <v>-</v>
      </c>
      <c r="BP28" s="86" t="str">
        <f>MID(CodDegElegir,BP30+1,1)</f>
        <v>A</v>
      </c>
      <c r="BQ28" s="35" t="str">
        <f>MID(CodDegElegir,BQ30+1,1)</f>
        <v>T</v>
      </c>
      <c r="BR28" s="35" t="str">
        <f>MID(CodDegElegir,BR30+1,1)</f>
        <v>-</v>
      </c>
      <c r="BS28" s="37" t="str">
        <f>MID(CodDegElegir,BS30+1,1)</f>
        <v>G</v>
      </c>
      <c r="BT28" s="86" t="str">
        <f>MID(CodDegElegir,BT30+1,1)</f>
        <v>A</v>
      </c>
      <c r="BU28" s="35" t="str">
        <f>MID(CodDegElegir,BU30+1,1)</f>
        <v>T</v>
      </c>
      <c r="BV28" s="35" t="str">
        <f>MID(CodDegElegir,BV30+1,1)</f>
        <v>C</v>
      </c>
      <c r="BW28" s="37" t="str">
        <f>MID(CodDegElegir,BW30+1,1)</f>
        <v>-</v>
      </c>
      <c r="BX28" s="86" t="str">
        <f>MID(CodDegElegir,BX30+1,1)</f>
        <v>A</v>
      </c>
      <c r="BY28" s="35" t="str">
        <f>MID(CodDegElegir,BY30+1,1)</f>
        <v>T</v>
      </c>
      <c r="BZ28" s="35" t="str">
        <f>MID(CodDegElegir,BZ30+1,1)</f>
        <v>C</v>
      </c>
      <c r="CA28" s="37" t="str">
        <f>MID(CodDegElegir,CA30+1,1)</f>
        <v>G</v>
      </c>
      <c r="CB28" s="86" t="str">
        <f>MID(CodDegElegir,CB30+1,1)</f>
        <v>-</v>
      </c>
      <c r="CC28" s="35" t="str">
        <f>MID(CodDegElegir,CC30+1,1)</f>
        <v>-</v>
      </c>
      <c r="CD28" s="35" t="str">
        <f>MID(CodDegElegir,CD30+1,1)</f>
        <v>-</v>
      </c>
      <c r="CE28" s="37" t="str">
        <f>MID(CodDegElegir,CE30+1,1)</f>
        <v>-</v>
      </c>
    </row>
    <row r="29" spans="1:83" ht="15.75" thickBot="1">
      <c r="C29" s="5" t="s">
        <v>2</v>
      </c>
      <c r="D29" s="5" t="s">
        <v>1</v>
      </c>
      <c r="E29" s="5" t="s">
        <v>4</v>
      </c>
      <c r="F29" s="5" t="s">
        <v>3</v>
      </c>
      <c r="P29">
        <v>0</v>
      </c>
      <c r="T29">
        <v>1</v>
      </c>
      <c r="X29">
        <v>2</v>
      </c>
      <c r="AB29">
        <v>3</v>
      </c>
      <c r="AF29">
        <v>4</v>
      </c>
      <c r="AJ29">
        <v>5</v>
      </c>
      <c r="AN29">
        <v>6</v>
      </c>
      <c r="AR29">
        <v>7</v>
      </c>
      <c r="AV29">
        <v>8</v>
      </c>
      <c r="AZ29">
        <v>9</v>
      </c>
      <c r="BD29">
        <v>10</v>
      </c>
      <c r="BH29">
        <v>11</v>
      </c>
      <c r="BL29">
        <v>12</v>
      </c>
      <c r="BP29">
        <v>13</v>
      </c>
      <c r="BT29">
        <v>14</v>
      </c>
      <c r="BX29">
        <v>15</v>
      </c>
      <c r="CB29">
        <v>16</v>
      </c>
    </row>
    <row r="30" spans="1:83" ht="15.75" thickBot="1">
      <c r="A30" s="6">
        <v>8</v>
      </c>
      <c r="B30" s="7" t="s">
        <v>2</v>
      </c>
      <c r="C30" s="64">
        <f>-$C$26*NNparam!$D$5</f>
        <v>23.6</v>
      </c>
      <c r="D30" s="65">
        <f>-$C$26*NNparam!$D$6</f>
        <v>18.8</v>
      </c>
      <c r="E30" s="66">
        <f>$D$33</f>
        <v>23</v>
      </c>
      <c r="F30" s="67">
        <f>$D$32</f>
        <v>16.100000000000001</v>
      </c>
      <c r="P30" s="76">
        <f>BinAnd(P29,A)</f>
        <v>0</v>
      </c>
      <c r="Q30" s="77">
        <f>BinAnd(P29,T)</f>
        <v>0</v>
      </c>
      <c r="R30" s="77">
        <f>BinAnd(P29,Ce)</f>
        <v>0</v>
      </c>
      <c r="S30" s="78">
        <f>BinAnd(P29,G)</f>
        <v>0</v>
      </c>
      <c r="T30" s="76">
        <f>BinAnd(T29,A)</f>
        <v>0</v>
      </c>
      <c r="U30" s="77">
        <f>BinAnd(T29,T)</f>
        <v>0</v>
      </c>
      <c r="V30" s="77">
        <f>BinAnd(T29,Ce)</f>
        <v>0</v>
      </c>
      <c r="W30" s="78">
        <f>BinAnd(T29,G)</f>
        <v>1</v>
      </c>
      <c r="X30" s="76">
        <f>BinAnd(X29,A)</f>
        <v>0</v>
      </c>
      <c r="Y30" s="77">
        <f>BinAnd(X29,T)</f>
        <v>0</v>
      </c>
      <c r="Z30" s="77">
        <f>BinAnd(X29,Ce)</f>
        <v>2</v>
      </c>
      <c r="AA30" s="78">
        <f>BinAnd(X29,G)</f>
        <v>0</v>
      </c>
      <c r="AB30" s="76">
        <f>BinAnd(AB29,A)</f>
        <v>0</v>
      </c>
      <c r="AC30" s="77">
        <f>BinAnd(AB29,T)</f>
        <v>0</v>
      </c>
      <c r="AD30" s="77">
        <f>BinAnd(AB29,Ce)</f>
        <v>2</v>
      </c>
      <c r="AE30" s="78">
        <f>BinAnd(AB29,G)</f>
        <v>1</v>
      </c>
      <c r="AF30" s="76">
        <f>BinAnd(AF29,A)</f>
        <v>0</v>
      </c>
      <c r="AG30" s="77">
        <f>BinAnd(AF29,T)</f>
        <v>4</v>
      </c>
      <c r="AH30" s="77">
        <f>BinAnd(AF29,Ce)</f>
        <v>0</v>
      </c>
      <c r="AI30" s="78">
        <f>BinAnd(AF29,G)</f>
        <v>0</v>
      </c>
      <c r="AJ30" s="76">
        <f>BinAnd(AJ29,A)</f>
        <v>0</v>
      </c>
      <c r="AK30" s="77">
        <f>BinAnd(AJ29,T)</f>
        <v>4</v>
      </c>
      <c r="AL30" s="77">
        <f>BinAnd(AJ29,Ce)</f>
        <v>0</v>
      </c>
      <c r="AM30" s="78">
        <f>BinAnd(AJ29,G)</f>
        <v>1</v>
      </c>
      <c r="AN30" s="76">
        <f>BinAnd(AN29,A)</f>
        <v>0</v>
      </c>
      <c r="AO30" s="77">
        <f>BinAnd(AN29,T)</f>
        <v>4</v>
      </c>
      <c r="AP30" s="77">
        <f>BinAnd(AN29,Ce)</f>
        <v>2</v>
      </c>
      <c r="AQ30" s="78">
        <f>BinAnd(AN29,G)</f>
        <v>0</v>
      </c>
      <c r="AR30" s="76">
        <f>BinAnd(AR29,A)</f>
        <v>0</v>
      </c>
      <c r="AS30" s="77">
        <f>BinAnd(AR29,T)</f>
        <v>4</v>
      </c>
      <c r="AT30" s="77">
        <f>BinAnd(AR29,Ce)</f>
        <v>2</v>
      </c>
      <c r="AU30" s="78">
        <f>BinAnd(AR29,G)</f>
        <v>1</v>
      </c>
      <c r="AV30" s="76">
        <f>BinAnd(AV29,A)</f>
        <v>8</v>
      </c>
      <c r="AW30" s="77">
        <f>BinAnd(AV29,T)</f>
        <v>0</v>
      </c>
      <c r="AX30" s="77">
        <f>BinAnd(AV29,Ce)</f>
        <v>0</v>
      </c>
      <c r="AY30" s="78">
        <f>BinAnd(AV29,G)</f>
        <v>0</v>
      </c>
      <c r="AZ30" s="76">
        <f>BinAnd(AZ29,A)</f>
        <v>8</v>
      </c>
      <c r="BA30" s="77">
        <f>BinAnd(AZ29,T)</f>
        <v>0</v>
      </c>
      <c r="BB30" s="77">
        <f>BinAnd(AZ29,Ce)</f>
        <v>0</v>
      </c>
      <c r="BC30" s="78">
        <f>BinAnd(AZ29,G)</f>
        <v>1</v>
      </c>
      <c r="BD30" s="76">
        <f>BinAnd(BD29,A)</f>
        <v>8</v>
      </c>
      <c r="BE30" s="77">
        <f>BinAnd(BD29,T)</f>
        <v>0</v>
      </c>
      <c r="BF30" s="77">
        <f>BinAnd(BD29,Ce)</f>
        <v>2</v>
      </c>
      <c r="BG30" s="78">
        <f>BinAnd(BD29,G)</f>
        <v>0</v>
      </c>
      <c r="BH30" s="76">
        <f>BinAnd(BH29,A)</f>
        <v>8</v>
      </c>
      <c r="BI30" s="77">
        <f>BinAnd(BH29,T)</f>
        <v>0</v>
      </c>
      <c r="BJ30" s="77">
        <f>BinAnd(BH29,Ce)</f>
        <v>2</v>
      </c>
      <c r="BK30" s="78">
        <f>BinAnd(BH29,G)</f>
        <v>1</v>
      </c>
      <c r="BL30" s="76">
        <f>BinAnd(BL29,A)</f>
        <v>8</v>
      </c>
      <c r="BM30" s="77">
        <f>BinAnd(BL29,T)</f>
        <v>4</v>
      </c>
      <c r="BN30" s="77">
        <f>BinAnd(BL29,Ce)</f>
        <v>0</v>
      </c>
      <c r="BO30" s="78">
        <f>BinAnd(BL29,G)</f>
        <v>0</v>
      </c>
      <c r="BP30" s="76">
        <f>BinAnd(BP29,A)</f>
        <v>8</v>
      </c>
      <c r="BQ30" s="77">
        <f>BinAnd(BP29,T)</f>
        <v>4</v>
      </c>
      <c r="BR30" s="77">
        <f>BinAnd(BP29,Ce)</f>
        <v>0</v>
      </c>
      <c r="BS30" s="78">
        <f>BinAnd(BP29,G)</f>
        <v>1</v>
      </c>
      <c r="BT30" s="76">
        <f>BinAnd(BT29,A)</f>
        <v>8</v>
      </c>
      <c r="BU30" s="77">
        <f>BinAnd(BT29,T)</f>
        <v>4</v>
      </c>
      <c r="BV30" s="77">
        <f>BinAnd(BT29,Ce)</f>
        <v>2</v>
      </c>
      <c r="BW30" s="78">
        <f>BinAnd(BT29,G)</f>
        <v>0</v>
      </c>
      <c r="BX30" s="76">
        <f>BinAnd(BX29,A)</f>
        <v>8</v>
      </c>
      <c r="BY30" s="77">
        <f>BinAnd(BX29,T)</f>
        <v>4</v>
      </c>
      <c r="BZ30" s="77">
        <f>BinAnd(BX29,Ce)</f>
        <v>2</v>
      </c>
      <c r="CA30" s="78">
        <f>BinAnd(BX29,G)</f>
        <v>1</v>
      </c>
      <c r="CB30" s="76">
        <f>BinAnd(CB29,A)</f>
        <v>0</v>
      </c>
      <c r="CC30" s="77">
        <f>BinAnd(CB29,T)</f>
        <v>0</v>
      </c>
      <c r="CD30" s="77">
        <f>BinAnd(CB29,Ce)</f>
        <v>0</v>
      </c>
      <c r="CE30" s="78">
        <f>BinAnd(CB29,G)</f>
        <v>0</v>
      </c>
    </row>
    <row r="31" spans="1:83">
      <c r="A31" s="9">
        <v>4</v>
      </c>
      <c r="B31" s="10" t="s">
        <v>1</v>
      </c>
      <c r="C31" s="68">
        <f>-$C$26*NNparam!$D$7</f>
        <v>18.5</v>
      </c>
      <c r="D31" s="69">
        <f>$C$30</f>
        <v>23.6</v>
      </c>
      <c r="E31" s="69">
        <f>$C$33</f>
        <v>20.3</v>
      </c>
      <c r="F31" s="70">
        <f>$C$32</f>
        <v>19.3</v>
      </c>
      <c r="L31" s="83" t="str">
        <f>MID(CodDegElegir,N31+1,1)</f>
        <v>-</v>
      </c>
      <c r="M31" s="85" t="str">
        <f>MID(CodDegElegir,O31+1,1)</f>
        <v>-</v>
      </c>
      <c r="N31">
        <v>0</v>
      </c>
      <c r="O31" s="81">
        <f>BinAnd(N31,A)</f>
        <v>0</v>
      </c>
      <c r="P31" s="29" t="str">
        <f>IF(AND(P$30,$O31),$C$30,"")</f>
        <v/>
      </c>
      <c r="Q31" s="30" t="str">
        <f>IF(AND(Q$30,$O31),$D$30,"")</f>
        <v/>
      </c>
      <c r="R31" s="30" t="str">
        <f>IF(AND(R$30,$O31),$E$30,"")</f>
        <v/>
      </c>
      <c r="S31" s="53" t="str">
        <f>IF(AND(S$30,$O31),$F$30,"")</f>
        <v/>
      </c>
      <c r="T31" s="29" t="str">
        <f>IF(AND(T$30,$O31),$C$30,"")</f>
        <v/>
      </c>
      <c r="U31" s="30" t="str">
        <f>IF(AND(U$30,$O31),$D$30,"")</f>
        <v/>
      </c>
      <c r="V31" s="30" t="str">
        <f>IF(AND(V$30,$O31),$E$30,"")</f>
        <v/>
      </c>
      <c r="W31" s="53" t="str">
        <f>IF(AND(W$30,$O31),$F$30,"")</f>
        <v/>
      </c>
      <c r="X31" s="29" t="str">
        <f>IF(AND(X$30,$O31),$C$30,"")</f>
        <v/>
      </c>
      <c r="Y31" s="30" t="str">
        <f>IF(AND(Y$30,$O31),$D$30,"")</f>
        <v/>
      </c>
      <c r="Z31" s="30" t="str">
        <f>IF(AND(Z$30,$O31),$E$30,"")</f>
        <v/>
      </c>
      <c r="AA31" s="53" t="str">
        <f>IF(AND(AA$30,$O31),$F$30,"")</f>
        <v/>
      </c>
      <c r="AB31" s="29" t="str">
        <f>IF(AND(AB$30,$O31),$C$30,"")</f>
        <v/>
      </c>
      <c r="AC31" s="30" t="str">
        <f>IF(AND(AC$30,$O31),$D$30,"")</f>
        <v/>
      </c>
      <c r="AD31" s="30" t="str">
        <f>IF(AND(AD$30,$O31),$E$30,"")</f>
        <v/>
      </c>
      <c r="AE31" s="53" t="str">
        <f>IF(AND(AE$30,$O31),$F$30,"")</f>
        <v/>
      </c>
      <c r="AF31" s="29" t="str">
        <f>IF(AND(AF$30,$O31),$C$30,"")</f>
        <v/>
      </c>
      <c r="AG31" s="30" t="str">
        <f>IF(AND(AG$30,$O31),$D$30,"")</f>
        <v/>
      </c>
      <c r="AH31" s="30" t="str">
        <f>IF(AND(AH$30,$O31),$E$30,"")</f>
        <v/>
      </c>
      <c r="AI31" s="53" t="str">
        <f>IF(AND(AI$30,$O31),$F$30,"")</f>
        <v/>
      </c>
      <c r="AJ31" s="29" t="str">
        <f>IF(AND(AJ$30,$O31),$C$30,"")</f>
        <v/>
      </c>
      <c r="AK31" s="30" t="str">
        <f>IF(AND(AK$30,$O31),$D$30,"")</f>
        <v/>
      </c>
      <c r="AL31" s="30" t="str">
        <f>IF(AND(AL$30,$O31),$E$30,"")</f>
        <v/>
      </c>
      <c r="AM31" s="53" t="str">
        <f>IF(AND(AM$30,$O31),$F$30,"")</f>
        <v/>
      </c>
      <c r="AN31" s="29" t="str">
        <f>IF(AND(AN$30,$O31),$C$30,"")</f>
        <v/>
      </c>
      <c r="AO31" s="30" t="str">
        <f>IF(AND(AO$30,$O31),$D$30,"")</f>
        <v/>
      </c>
      <c r="AP31" s="30" t="str">
        <f>IF(AND(AP$30,$O31),$E$30,"")</f>
        <v/>
      </c>
      <c r="AQ31" s="53" t="str">
        <f>IF(AND(AQ$30,$O31),$F$30,"")</f>
        <v/>
      </c>
      <c r="AR31" s="29" t="str">
        <f>IF(AND(AR$30,$O31),$C$30,"")</f>
        <v/>
      </c>
      <c r="AS31" s="30" t="str">
        <f>IF(AND(AS$30,$O31),$D$30,"")</f>
        <v/>
      </c>
      <c r="AT31" s="30" t="str">
        <f>IF(AND(AT$30,$O31),$E$30,"")</f>
        <v/>
      </c>
      <c r="AU31" s="53" t="str">
        <f>IF(AND(AU$30,$O31),$F$30,"")</f>
        <v/>
      </c>
      <c r="AV31" s="29" t="str">
        <f>IF(AND(AV$30,$O31),$C$30,"")</f>
        <v/>
      </c>
      <c r="AW31" s="30" t="str">
        <f>IF(AND(AW$30,$O31),$D$30,"")</f>
        <v/>
      </c>
      <c r="AX31" s="30" t="str">
        <f>IF(AND(AX$30,$O31),$E$30,"")</f>
        <v/>
      </c>
      <c r="AY31" s="53" t="str">
        <f>IF(AND(AY$30,$O31),$F$30,"")</f>
        <v/>
      </c>
      <c r="AZ31" s="29" t="str">
        <f>IF(AND(AZ$30,$O31),$C$30,"")</f>
        <v/>
      </c>
      <c r="BA31" s="30" t="str">
        <f>IF(AND(BA$30,$O31),$D$30,"")</f>
        <v/>
      </c>
      <c r="BB31" s="30" t="str">
        <f>IF(AND(BB$30,$O31),$E$30,"")</f>
        <v/>
      </c>
      <c r="BC31" s="53" t="str">
        <f>IF(AND(BC$30,$O31),$F$30,"")</f>
        <v/>
      </c>
      <c r="BD31" s="29" t="str">
        <f>IF(AND(BD$30,$O31),$C$30,"")</f>
        <v/>
      </c>
      <c r="BE31" s="30" t="str">
        <f>IF(AND(BE$30,$O31),$D$30,"")</f>
        <v/>
      </c>
      <c r="BF31" s="30" t="str">
        <f>IF(AND(BF$30,$O31),$E$30,"")</f>
        <v/>
      </c>
      <c r="BG31" s="53" t="str">
        <f>IF(AND(BG$30,$O31),$F$30,"")</f>
        <v/>
      </c>
      <c r="BH31" s="29" t="str">
        <f>IF(AND(BH$30,$O31),$C$30,"")</f>
        <v/>
      </c>
      <c r="BI31" s="30" t="str">
        <f>IF(AND(BI$30,$O31),$D$30,"")</f>
        <v/>
      </c>
      <c r="BJ31" s="30" t="str">
        <f>IF(AND(BJ$30,$O31),$E$30,"")</f>
        <v/>
      </c>
      <c r="BK31" s="53" t="str">
        <f>IF(AND(BK$30,$O31),$F$30,"")</f>
        <v/>
      </c>
      <c r="BL31" s="29" t="str">
        <f>IF(AND(BL$30,$O31),$C$30,"")</f>
        <v/>
      </c>
      <c r="BM31" s="30" t="str">
        <f>IF(AND(BM$30,$O31),$D$30,"")</f>
        <v/>
      </c>
      <c r="BN31" s="30" t="str">
        <f>IF(AND(BN$30,$O31),$E$30,"")</f>
        <v/>
      </c>
      <c r="BO31" s="53" t="str">
        <f>IF(AND(BO$30,$O31),$F$30,"")</f>
        <v/>
      </c>
      <c r="BP31" s="29" t="str">
        <f>IF(AND(BP$30,$O31),$C$30,"")</f>
        <v/>
      </c>
      <c r="BQ31" s="30" t="str">
        <f>IF(AND(BQ$30,$O31),$D$30,"")</f>
        <v/>
      </c>
      <c r="BR31" s="30" t="str">
        <f>IF(AND(BR$30,$O31),$E$30,"")</f>
        <v/>
      </c>
      <c r="BS31" s="53" t="str">
        <f>IF(AND(BS$30,$O31),$F$30,"")</f>
        <v/>
      </c>
      <c r="BT31" s="29" t="str">
        <f>IF(AND(BT$30,$O31),$C$30,"")</f>
        <v/>
      </c>
      <c r="BU31" s="30" t="str">
        <f>IF(AND(BU$30,$O31),$D$30,"")</f>
        <v/>
      </c>
      <c r="BV31" s="30" t="str">
        <f>IF(AND(BV$30,$O31),$E$30,"")</f>
        <v/>
      </c>
      <c r="BW31" s="53" t="str">
        <f>IF(AND(BW$30,$O31),$F$30,"")</f>
        <v/>
      </c>
      <c r="BX31" s="29" t="str">
        <f>IF(AND(BX$30,$O31),$C$30,"")</f>
        <v/>
      </c>
      <c r="BY31" s="30" t="str">
        <f>IF(AND(BY$30,$O31),$D$30,"")</f>
        <v/>
      </c>
      <c r="BZ31" s="30" t="str">
        <f>IF(AND(BZ$30,$O31),$E$30,"")</f>
        <v/>
      </c>
      <c r="CA31" s="53" t="str">
        <f>IF(AND(CA$30,$O31),$F$30,"")</f>
        <v/>
      </c>
      <c r="CB31" s="29" t="str">
        <f>IF(AND(CB$30,$O31),$C$30,"")</f>
        <v/>
      </c>
      <c r="CC31" s="30" t="str">
        <f>IF(AND(CC$30,$O31),$D$30,"")</f>
        <v/>
      </c>
      <c r="CD31" s="30" t="str">
        <f>IF(AND(CD$30,$O31),$E$30,"")</f>
        <v/>
      </c>
      <c r="CE31" s="53" t="str">
        <f>IF(AND(CE$30,$O31),$F$30,"")</f>
        <v/>
      </c>
    </row>
    <row r="32" spans="1:83">
      <c r="A32" s="9">
        <v>2</v>
      </c>
      <c r="B32" s="10" t="s">
        <v>4</v>
      </c>
      <c r="C32" s="68">
        <f>-$C$26*NNparam!$D$8</f>
        <v>19.3</v>
      </c>
      <c r="D32" s="71">
        <f>-$C$26*NNparam!$D$10</f>
        <v>16.100000000000001</v>
      </c>
      <c r="E32" s="69">
        <f>$F$33</f>
        <v>15.6</v>
      </c>
      <c r="F32" s="72">
        <f>-$C$26*NNparam!$D$12</f>
        <v>25.5</v>
      </c>
      <c r="L32" s="87"/>
      <c r="M32" s="36" t="str">
        <f t="shared" ref="M32:M63" si="6">MID(CodDegElegir,O32+1,1)</f>
        <v>-</v>
      </c>
      <c r="O32" s="82">
        <f>BinAnd(N31,T)</f>
        <v>0</v>
      </c>
      <c r="P32" s="31" t="str">
        <f>IF(AND(P$30,$O32),$C$31,"")</f>
        <v/>
      </c>
      <c r="Q32" s="32" t="str">
        <f>IF(AND(Q$30,$O32),$D$31,"")</f>
        <v/>
      </c>
      <c r="R32" s="32" t="str">
        <f>IF(AND(R$30,$O32),$E$31,"")</f>
        <v/>
      </c>
      <c r="S32" s="54" t="str">
        <f>IF(AND(S$30,$O32),$F$31,"")</f>
        <v/>
      </c>
      <c r="T32" s="31" t="str">
        <f>IF(AND(T$30,$O32),$C$31,"")</f>
        <v/>
      </c>
      <c r="U32" s="32" t="str">
        <f>IF(AND(U$30,$O32),$D$31,"")</f>
        <v/>
      </c>
      <c r="V32" s="32" t="str">
        <f>IF(AND(V$30,$O32),$E$31,"")</f>
        <v/>
      </c>
      <c r="W32" s="54" t="str">
        <f>IF(AND(W$30,$O32),$F$31,"")</f>
        <v/>
      </c>
      <c r="X32" s="31" t="str">
        <f>IF(AND(X$30,$O32),$C$31,"")</f>
        <v/>
      </c>
      <c r="Y32" s="32" t="str">
        <f>IF(AND(Y$30,$O32),$D$31,"")</f>
        <v/>
      </c>
      <c r="Z32" s="32" t="str">
        <f>IF(AND(Z$30,$O32),$E$31,"")</f>
        <v/>
      </c>
      <c r="AA32" s="54" t="str">
        <f>IF(AND(AA$30,$O32),$F$31,"")</f>
        <v/>
      </c>
      <c r="AB32" s="31" t="str">
        <f>IF(AND(AB$30,$O32),$C$31,"")</f>
        <v/>
      </c>
      <c r="AC32" s="32" t="str">
        <f>IF(AND(AC$30,$O32),$D$31,"")</f>
        <v/>
      </c>
      <c r="AD32" s="32" t="str">
        <f>IF(AND(AD$30,$O32),$E$31,"")</f>
        <v/>
      </c>
      <c r="AE32" s="54" t="str">
        <f>IF(AND(AE$30,$O32),$F$31,"")</f>
        <v/>
      </c>
      <c r="AF32" s="31" t="str">
        <f>IF(AND(AF$30,$O32),$C$31,"")</f>
        <v/>
      </c>
      <c r="AG32" s="32" t="str">
        <f>IF(AND(AG$30,$O32),$D$31,"")</f>
        <v/>
      </c>
      <c r="AH32" s="32" t="str">
        <f>IF(AND(AH$30,$O32),$E$31,"")</f>
        <v/>
      </c>
      <c r="AI32" s="54" t="str">
        <f>IF(AND(AI$30,$O32),$F$31,"")</f>
        <v/>
      </c>
      <c r="AJ32" s="31" t="str">
        <f>IF(AND(AJ$30,$O32),$C$31,"")</f>
        <v/>
      </c>
      <c r="AK32" s="32" t="str">
        <f>IF(AND(AK$30,$O32),$D$31,"")</f>
        <v/>
      </c>
      <c r="AL32" s="32" t="str">
        <f>IF(AND(AL$30,$O32),$E$31,"")</f>
        <v/>
      </c>
      <c r="AM32" s="54" t="str">
        <f>IF(AND(AM$30,$O32),$F$31,"")</f>
        <v/>
      </c>
      <c r="AN32" s="31" t="str">
        <f>IF(AND(AN$30,$O32),$C$31,"")</f>
        <v/>
      </c>
      <c r="AO32" s="32" t="str">
        <f>IF(AND(AO$30,$O32),$D$31,"")</f>
        <v/>
      </c>
      <c r="AP32" s="32" t="str">
        <f>IF(AND(AP$30,$O32),$E$31,"")</f>
        <v/>
      </c>
      <c r="AQ32" s="54" t="str">
        <f>IF(AND(AQ$30,$O32),$F$31,"")</f>
        <v/>
      </c>
      <c r="AR32" s="31" t="str">
        <f>IF(AND(AR$30,$O32),$C$31,"")</f>
        <v/>
      </c>
      <c r="AS32" s="32" t="str">
        <f>IF(AND(AS$30,$O32),$D$31,"")</f>
        <v/>
      </c>
      <c r="AT32" s="32" t="str">
        <f>IF(AND(AT$30,$O32),$E$31,"")</f>
        <v/>
      </c>
      <c r="AU32" s="54" t="str">
        <f>IF(AND(AU$30,$O32),$F$31,"")</f>
        <v/>
      </c>
      <c r="AV32" s="31" t="str">
        <f>IF(AND(AV$30,$O32),$C$31,"")</f>
        <v/>
      </c>
      <c r="AW32" s="32" t="str">
        <f>IF(AND(AW$30,$O32),$D$31,"")</f>
        <v/>
      </c>
      <c r="AX32" s="32" t="str">
        <f>IF(AND(AX$30,$O32),$E$31,"")</f>
        <v/>
      </c>
      <c r="AY32" s="54" t="str">
        <f>IF(AND(AY$30,$O32),$F$31,"")</f>
        <v/>
      </c>
      <c r="AZ32" s="31" t="str">
        <f>IF(AND(AZ$30,$O32),$C$31,"")</f>
        <v/>
      </c>
      <c r="BA32" s="32" t="str">
        <f>IF(AND(BA$30,$O32),$D$31,"")</f>
        <v/>
      </c>
      <c r="BB32" s="32" t="str">
        <f>IF(AND(BB$30,$O32),$E$31,"")</f>
        <v/>
      </c>
      <c r="BC32" s="54" t="str">
        <f>IF(AND(BC$30,$O32),$F$31,"")</f>
        <v/>
      </c>
      <c r="BD32" s="31" t="str">
        <f>IF(AND(BD$30,$O32),$C$31,"")</f>
        <v/>
      </c>
      <c r="BE32" s="32" t="str">
        <f>IF(AND(BE$30,$O32),$D$31,"")</f>
        <v/>
      </c>
      <c r="BF32" s="32" t="str">
        <f>IF(AND(BF$30,$O32),$E$31,"")</f>
        <v/>
      </c>
      <c r="BG32" s="54" t="str">
        <f>IF(AND(BG$30,$O32),$F$31,"")</f>
        <v/>
      </c>
      <c r="BH32" s="31" t="str">
        <f>IF(AND(BH$30,$O32),$C$31,"")</f>
        <v/>
      </c>
      <c r="BI32" s="32" t="str">
        <f>IF(AND(BI$30,$O32),$D$31,"")</f>
        <v/>
      </c>
      <c r="BJ32" s="32" t="str">
        <f>IF(AND(BJ$30,$O32),$E$31,"")</f>
        <v/>
      </c>
      <c r="BK32" s="54" t="str">
        <f>IF(AND(BK$30,$O32),$F$31,"")</f>
        <v/>
      </c>
      <c r="BL32" s="31" t="str">
        <f>IF(AND(BL$30,$O32),$C$31,"")</f>
        <v/>
      </c>
      <c r="BM32" s="32" t="str">
        <f>IF(AND(BM$30,$O32),$D$31,"")</f>
        <v/>
      </c>
      <c r="BN32" s="32" t="str">
        <f>IF(AND(BN$30,$O32),$E$31,"")</f>
        <v/>
      </c>
      <c r="BO32" s="54" t="str">
        <f>IF(AND(BO$30,$O32),$F$31,"")</f>
        <v/>
      </c>
      <c r="BP32" s="31" t="str">
        <f>IF(AND(BP$30,$O32),$C$31,"")</f>
        <v/>
      </c>
      <c r="BQ32" s="32" t="str">
        <f>IF(AND(BQ$30,$O32),$D$31,"")</f>
        <v/>
      </c>
      <c r="BR32" s="32" t="str">
        <f>IF(AND(BR$30,$O32),$E$31,"")</f>
        <v/>
      </c>
      <c r="BS32" s="54" t="str">
        <f>IF(AND(BS$30,$O32),$F$31,"")</f>
        <v/>
      </c>
      <c r="BT32" s="31" t="str">
        <f>IF(AND(BT$30,$O32),$C$31,"")</f>
        <v/>
      </c>
      <c r="BU32" s="32" t="str">
        <f>IF(AND(BU$30,$O32),$D$31,"")</f>
        <v/>
      </c>
      <c r="BV32" s="32" t="str">
        <f>IF(AND(BV$30,$O32),$E$31,"")</f>
        <v/>
      </c>
      <c r="BW32" s="54" t="str">
        <f>IF(AND(BW$30,$O32),$F$31,"")</f>
        <v/>
      </c>
      <c r="BX32" s="31" t="str">
        <f>IF(AND(BX$30,$O32),$C$31,"")</f>
        <v/>
      </c>
      <c r="BY32" s="32" t="str">
        <f>IF(AND(BY$30,$O32),$D$31,"")</f>
        <v/>
      </c>
      <c r="BZ32" s="32" t="str">
        <f>IF(AND(BZ$30,$O32),$E$31,"")</f>
        <v/>
      </c>
      <c r="CA32" s="54" t="str">
        <f>IF(AND(CA$30,$O32),$F$31,"")</f>
        <v/>
      </c>
      <c r="CB32" s="31" t="str">
        <f>IF(AND(CB$30,$O32),$C$31,"")</f>
        <v/>
      </c>
      <c r="CC32" s="32" t="str">
        <f>IF(AND(CC$30,$O32),$D$31,"")</f>
        <v/>
      </c>
      <c r="CD32" s="32" t="str">
        <f>IF(AND(CD$30,$O32),$E$31,"")</f>
        <v/>
      </c>
      <c r="CE32" s="54" t="str">
        <f>IF(AND(CE$30,$O32),$F$31,"")</f>
        <v/>
      </c>
    </row>
    <row r="33" spans="1:83" ht="15.75" thickBot="1">
      <c r="A33" s="12">
        <v>1</v>
      </c>
      <c r="B33" s="13" t="s">
        <v>3</v>
      </c>
      <c r="C33" s="73">
        <f>-$C$26*NNparam!$D$11</f>
        <v>20.3</v>
      </c>
      <c r="D33" s="74">
        <f>-$C$26*NNparam!$D$9</f>
        <v>23</v>
      </c>
      <c r="E33" s="74">
        <f>-$C$26*NNparam!$D$13</f>
        <v>28.4</v>
      </c>
      <c r="F33" s="75">
        <f>-$C$26*NNparam!$D$14</f>
        <v>15.6</v>
      </c>
      <c r="L33" s="87"/>
      <c r="M33" s="36" t="str">
        <f t="shared" si="6"/>
        <v>-</v>
      </c>
      <c r="O33" s="82">
        <f>BinAnd(N31,Ce)</f>
        <v>0</v>
      </c>
      <c r="P33" s="31" t="str">
        <f>IF(AND(P$30,$O33),$C$32,"")</f>
        <v/>
      </c>
      <c r="Q33" s="32" t="str">
        <f>IF(AND(Q$30,$O33),$D$32,"")</f>
        <v/>
      </c>
      <c r="R33" s="32" t="str">
        <f>IF(AND(R$30,$O33),$E$32,"")</f>
        <v/>
      </c>
      <c r="S33" s="54" t="str">
        <f>IF(AND(S$30,$O33),$F$32,"")</f>
        <v/>
      </c>
      <c r="T33" s="31" t="str">
        <f>IF(AND(T$30,$O33),$C$32,"")</f>
        <v/>
      </c>
      <c r="U33" s="32" t="str">
        <f>IF(AND(U$30,$O33),$D$32,"")</f>
        <v/>
      </c>
      <c r="V33" s="32" t="str">
        <f>IF(AND(V$30,$O33),$E$32,"")</f>
        <v/>
      </c>
      <c r="W33" s="54" t="str">
        <f>IF(AND(W$30,$O33),$F$32,"")</f>
        <v/>
      </c>
      <c r="X33" s="31" t="str">
        <f>IF(AND(X$30,$O33),$C$32,"")</f>
        <v/>
      </c>
      <c r="Y33" s="32" t="str">
        <f>IF(AND(Y$30,$O33),$D$32,"")</f>
        <v/>
      </c>
      <c r="Z33" s="32" t="str">
        <f>IF(AND(Z$30,$O33),$E$32,"")</f>
        <v/>
      </c>
      <c r="AA33" s="54" t="str">
        <f>IF(AND(AA$30,$O33),$F$32,"")</f>
        <v/>
      </c>
      <c r="AB33" s="31" t="str">
        <f>IF(AND(AB$30,$O33),$C$32,"")</f>
        <v/>
      </c>
      <c r="AC33" s="32" t="str">
        <f>IF(AND(AC$30,$O33),$D$32,"")</f>
        <v/>
      </c>
      <c r="AD33" s="32" t="str">
        <f>IF(AND(AD$30,$O33),$E$32,"")</f>
        <v/>
      </c>
      <c r="AE33" s="54" t="str">
        <f>IF(AND(AE$30,$O33),$F$32,"")</f>
        <v/>
      </c>
      <c r="AF33" s="31" t="str">
        <f>IF(AND(AF$30,$O33),$C$32,"")</f>
        <v/>
      </c>
      <c r="AG33" s="32" t="str">
        <f>IF(AND(AG$30,$O33),$D$32,"")</f>
        <v/>
      </c>
      <c r="AH33" s="32" t="str">
        <f>IF(AND(AH$30,$O33),$E$32,"")</f>
        <v/>
      </c>
      <c r="AI33" s="54" t="str">
        <f>IF(AND(AI$30,$O33),$F$32,"")</f>
        <v/>
      </c>
      <c r="AJ33" s="31" t="str">
        <f>IF(AND(AJ$30,$O33),$C$32,"")</f>
        <v/>
      </c>
      <c r="AK33" s="32" t="str">
        <f>IF(AND(AK$30,$O33),$D$32,"")</f>
        <v/>
      </c>
      <c r="AL33" s="32" t="str">
        <f>IF(AND(AL$30,$O33),$E$32,"")</f>
        <v/>
      </c>
      <c r="AM33" s="54" t="str">
        <f>IF(AND(AM$30,$O33),$F$32,"")</f>
        <v/>
      </c>
      <c r="AN33" s="31" t="str">
        <f>IF(AND(AN$30,$O33),$C$32,"")</f>
        <v/>
      </c>
      <c r="AO33" s="32" t="str">
        <f>IF(AND(AO$30,$O33),$D$32,"")</f>
        <v/>
      </c>
      <c r="AP33" s="32" t="str">
        <f>IF(AND(AP$30,$O33),$E$32,"")</f>
        <v/>
      </c>
      <c r="AQ33" s="54" t="str">
        <f>IF(AND(AQ$30,$O33),$F$32,"")</f>
        <v/>
      </c>
      <c r="AR33" s="31" t="str">
        <f>IF(AND(AR$30,$O33),$C$32,"")</f>
        <v/>
      </c>
      <c r="AS33" s="32" t="str">
        <f>IF(AND(AS$30,$O33),$D$32,"")</f>
        <v/>
      </c>
      <c r="AT33" s="32" t="str">
        <f>IF(AND(AT$30,$O33),$E$32,"")</f>
        <v/>
      </c>
      <c r="AU33" s="54" t="str">
        <f>IF(AND(AU$30,$O33),$F$32,"")</f>
        <v/>
      </c>
      <c r="AV33" s="31" t="str">
        <f>IF(AND(AV$30,$O33),$C$32,"")</f>
        <v/>
      </c>
      <c r="AW33" s="32" t="str">
        <f>IF(AND(AW$30,$O33),$D$32,"")</f>
        <v/>
      </c>
      <c r="AX33" s="32" t="str">
        <f>IF(AND(AX$30,$O33),$E$32,"")</f>
        <v/>
      </c>
      <c r="AY33" s="54" t="str">
        <f>IF(AND(AY$30,$O33),$F$32,"")</f>
        <v/>
      </c>
      <c r="AZ33" s="31" t="str">
        <f>IF(AND(AZ$30,$O33),$C$32,"")</f>
        <v/>
      </c>
      <c r="BA33" s="32" t="str">
        <f>IF(AND(BA$30,$O33),$D$32,"")</f>
        <v/>
      </c>
      <c r="BB33" s="32" t="str">
        <f>IF(AND(BB$30,$O33),$E$32,"")</f>
        <v/>
      </c>
      <c r="BC33" s="54" t="str">
        <f>IF(AND(BC$30,$O33),$F$32,"")</f>
        <v/>
      </c>
      <c r="BD33" s="31" t="str">
        <f>IF(AND(BD$30,$O33),$C$32,"")</f>
        <v/>
      </c>
      <c r="BE33" s="32" t="str">
        <f>IF(AND(BE$30,$O33),$D$32,"")</f>
        <v/>
      </c>
      <c r="BF33" s="32" t="str">
        <f>IF(AND(BF$30,$O33),$E$32,"")</f>
        <v/>
      </c>
      <c r="BG33" s="54" t="str">
        <f>IF(AND(BG$30,$O33),$F$32,"")</f>
        <v/>
      </c>
      <c r="BH33" s="31" t="str">
        <f>IF(AND(BH$30,$O33),$C$32,"")</f>
        <v/>
      </c>
      <c r="BI33" s="32" t="str">
        <f>IF(AND(BI$30,$O33),$D$32,"")</f>
        <v/>
      </c>
      <c r="BJ33" s="32" t="str">
        <f>IF(AND(BJ$30,$O33),$E$32,"")</f>
        <v/>
      </c>
      <c r="BK33" s="54" t="str">
        <f>IF(AND(BK$30,$O33),$F$32,"")</f>
        <v/>
      </c>
      <c r="BL33" s="31" t="str">
        <f>IF(AND(BL$30,$O33),$C$32,"")</f>
        <v/>
      </c>
      <c r="BM33" s="32" t="str">
        <f>IF(AND(BM$30,$O33),$D$32,"")</f>
        <v/>
      </c>
      <c r="BN33" s="32" t="str">
        <f>IF(AND(BN$30,$O33),$E$32,"")</f>
        <v/>
      </c>
      <c r="BO33" s="54" t="str">
        <f>IF(AND(BO$30,$O33),$F$32,"")</f>
        <v/>
      </c>
      <c r="BP33" s="31" t="str">
        <f>IF(AND(BP$30,$O33),$C$32,"")</f>
        <v/>
      </c>
      <c r="BQ33" s="32" t="str">
        <f>IF(AND(BQ$30,$O33),$D$32,"")</f>
        <v/>
      </c>
      <c r="BR33" s="32" t="str">
        <f>IF(AND(BR$30,$O33),$E$32,"")</f>
        <v/>
      </c>
      <c r="BS33" s="54" t="str">
        <f>IF(AND(BS$30,$O33),$F$32,"")</f>
        <v/>
      </c>
      <c r="BT33" s="31" t="str">
        <f>IF(AND(BT$30,$O33),$C$32,"")</f>
        <v/>
      </c>
      <c r="BU33" s="32" t="str">
        <f>IF(AND(BU$30,$O33),$D$32,"")</f>
        <v/>
      </c>
      <c r="BV33" s="32" t="str">
        <f>IF(AND(BV$30,$O33),$E$32,"")</f>
        <v/>
      </c>
      <c r="BW33" s="54" t="str">
        <f>IF(AND(BW$30,$O33),$F$32,"")</f>
        <v/>
      </c>
      <c r="BX33" s="31" t="str">
        <f>IF(AND(BX$30,$O33),$C$32,"")</f>
        <v/>
      </c>
      <c r="BY33" s="32" t="str">
        <f>IF(AND(BY$30,$O33),$D$32,"")</f>
        <v/>
      </c>
      <c r="BZ33" s="32" t="str">
        <f>IF(AND(BZ$30,$O33),$E$32,"")</f>
        <v/>
      </c>
      <c r="CA33" s="54" t="str">
        <f>IF(AND(CA$30,$O33),$F$32,"")</f>
        <v/>
      </c>
      <c r="CB33" s="31" t="str">
        <f>IF(AND(CB$30,$O33),$C$32,"")</f>
        <v/>
      </c>
      <c r="CC33" s="32" t="str">
        <f>IF(AND(CC$30,$O33),$D$32,"")</f>
        <v/>
      </c>
      <c r="CD33" s="32" t="str">
        <f>IF(AND(CD$30,$O33),$E$32,"")</f>
        <v/>
      </c>
      <c r="CE33" s="54" t="str">
        <f>IF(AND(CE$30,$O33),$F$32,"")</f>
        <v/>
      </c>
    </row>
    <row r="34" spans="1:83" ht="15.75" thickBot="1">
      <c r="L34" s="86"/>
      <c r="M34" s="37" t="str">
        <f t="shared" si="6"/>
        <v>-</v>
      </c>
      <c r="O34" s="43">
        <f>BinAnd(N31,G)</f>
        <v>0</v>
      </c>
      <c r="P34" s="55" t="str">
        <f>IF(AND(P$30,$O34),$C$33,"")</f>
        <v/>
      </c>
      <c r="Q34" s="56" t="str">
        <f>IF(AND(Q$30,$O34),$D$33,"")</f>
        <v/>
      </c>
      <c r="R34" s="56" t="str">
        <f>IF(AND(R$30,$O34),$E$33,"")</f>
        <v/>
      </c>
      <c r="S34" s="57" t="str">
        <f>IF(AND(S$30,$O34),$F$33,"")</f>
        <v/>
      </c>
      <c r="T34" s="55" t="str">
        <f>IF(AND(T$30,$O34),$C$33,"")</f>
        <v/>
      </c>
      <c r="U34" s="56" t="str">
        <f>IF(AND(U$30,$O34),$D$33,"")</f>
        <v/>
      </c>
      <c r="V34" s="56" t="str">
        <f>IF(AND(V$30,$O34),$E$33,"")</f>
        <v/>
      </c>
      <c r="W34" s="57" t="str">
        <f>IF(AND(W$30,$O34),$F$33,"")</f>
        <v/>
      </c>
      <c r="X34" s="55" t="str">
        <f>IF(AND(X$30,$O34),$C$33,"")</f>
        <v/>
      </c>
      <c r="Y34" s="56" t="str">
        <f>IF(AND(Y$30,$O34),$D$33,"")</f>
        <v/>
      </c>
      <c r="Z34" s="56" t="str">
        <f>IF(AND(Z$30,$O34),$E$33,"")</f>
        <v/>
      </c>
      <c r="AA34" s="57" t="str">
        <f>IF(AND(AA$30,$O34),$F$33,"")</f>
        <v/>
      </c>
      <c r="AB34" s="55" t="str">
        <f>IF(AND(AB$30,$O34),$C$33,"")</f>
        <v/>
      </c>
      <c r="AC34" s="56" t="str">
        <f>IF(AND(AC$30,$O34),$D$33,"")</f>
        <v/>
      </c>
      <c r="AD34" s="56" t="str">
        <f>IF(AND(AD$30,$O34),$E$33,"")</f>
        <v/>
      </c>
      <c r="AE34" s="57" t="str">
        <f>IF(AND(AE$30,$O34),$F$33,"")</f>
        <v/>
      </c>
      <c r="AF34" s="55" t="str">
        <f>IF(AND(AF$30,$O34),$C$33,"")</f>
        <v/>
      </c>
      <c r="AG34" s="56" t="str">
        <f>IF(AND(AG$30,$O34),$D$33,"")</f>
        <v/>
      </c>
      <c r="AH34" s="56" t="str">
        <f>IF(AND(AH$30,$O34),$E$33,"")</f>
        <v/>
      </c>
      <c r="AI34" s="57" t="str">
        <f>IF(AND(AI$30,$O34),$F$33,"")</f>
        <v/>
      </c>
      <c r="AJ34" s="55" t="str">
        <f>IF(AND(AJ$30,$O34),$C$33,"")</f>
        <v/>
      </c>
      <c r="AK34" s="56" t="str">
        <f>IF(AND(AK$30,$O34),$D$33,"")</f>
        <v/>
      </c>
      <c r="AL34" s="56" t="str">
        <f>IF(AND(AL$30,$O34),$E$33,"")</f>
        <v/>
      </c>
      <c r="AM34" s="57" t="str">
        <f>IF(AND(AM$30,$O34),$F$33,"")</f>
        <v/>
      </c>
      <c r="AN34" s="55" t="str">
        <f>IF(AND(AN$30,$O34),$C$33,"")</f>
        <v/>
      </c>
      <c r="AO34" s="56" t="str">
        <f>IF(AND(AO$30,$O34),$D$33,"")</f>
        <v/>
      </c>
      <c r="AP34" s="56" t="str">
        <f>IF(AND(AP$30,$O34),$E$33,"")</f>
        <v/>
      </c>
      <c r="AQ34" s="57" t="str">
        <f>IF(AND(AQ$30,$O34),$F$33,"")</f>
        <v/>
      </c>
      <c r="AR34" s="55" t="str">
        <f>IF(AND(AR$30,$O34),$C$33,"")</f>
        <v/>
      </c>
      <c r="AS34" s="56" t="str">
        <f>IF(AND(AS$30,$O34),$D$33,"")</f>
        <v/>
      </c>
      <c r="AT34" s="56" t="str">
        <f>IF(AND(AT$30,$O34),$E$33,"")</f>
        <v/>
      </c>
      <c r="AU34" s="57" t="str">
        <f>IF(AND(AU$30,$O34),$F$33,"")</f>
        <v/>
      </c>
      <c r="AV34" s="55" t="str">
        <f>IF(AND(AV$30,$O34),$C$33,"")</f>
        <v/>
      </c>
      <c r="AW34" s="56" t="str">
        <f>IF(AND(AW$30,$O34),$D$33,"")</f>
        <v/>
      </c>
      <c r="AX34" s="56" t="str">
        <f>IF(AND(AX$30,$O34),$E$33,"")</f>
        <v/>
      </c>
      <c r="AY34" s="57" t="str">
        <f>IF(AND(AY$30,$O34),$F$33,"")</f>
        <v/>
      </c>
      <c r="AZ34" s="55" t="str">
        <f>IF(AND(AZ$30,$O34),$C$33,"")</f>
        <v/>
      </c>
      <c r="BA34" s="56" t="str">
        <f>IF(AND(BA$30,$O34),$D$33,"")</f>
        <v/>
      </c>
      <c r="BB34" s="56" t="str">
        <f>IF(AND(BB$30,$O34),$E$33,"")</f>
        <v/>
      </c>
      <c r="BC34" s="57" t="str">
        <f>IF(AND(BC$30,$O34),$F$33,"")</f>
        <v/>
      </c>
      <c r="BD34" s="55" t="str">
        <f>IF(AND(BD$30,$O34),$C$33,"")</f>
        <v/>
      </c>
      <c r="BE34" s="56" t="str">
        <f>IF(AND(BE$30,$O34),$D$33,"")</f>
        <v/>
      </c>
      <c r="BF34" s="56" t="str">
        <f>IF(AND(BF$30,$O34),$E$33,"")</f>
        <v/>
      </c>
      <c r="BG34" s="57" t="str">
        <f>IF(AND(BG$30,$O34),$F$33,"")</f>
        <v/>
      </c>
      <c r="BH34" s="55" t="str">
        <f>IF(AND(BH$30,$O34),$C$33,"")</f>
        <v/>
      </c>
      <c r="BI34" s="56" t="str">
        <f>IF(AND(BI$30,$O34),$D$33,"")</f>
        <v/>
      </c>
      <c r="BJ34" s="56" t="str">
        <f>IF(AND(BJ$30,$O34),$E$33,"")</f>
        <v/>
      </c>
      <c r="BK34" s="57" t="str">
        <f>IF(AND(BK$30,$O34),$F$33,"")</f>
        <v/>
      </c>
      <c r="BL34" s="55" t="str">
        <f>IF(AND(BL$30,$O34),$C$33,"")</f>
        <v/>
      </c>
      <c r="BM34" s="56" t="str">
        <f>IF(AND(BM$30,$O34),$D$33,"")</f>
        <v/>
      </c>
      <c r="BN34" s="56" t="str">
        <f>IF(AND(BN$30,$O34),$E$33,"")</f>
        <v/>
      </c>
      <c r="BO34" s="57" t="str">
        <f>IF(AND(BO$30,$O34),$F$33,"")</f>
        <v/>
      </c>
      <c r="BP34" s="55" t="str">
        <f>IF(AND(BP$30,$O34),$C$33,"")</f>
        <v/>
      </c>
      <c r="BQ34" s="56" t="str">
        <f>IF(AND(BQ$30,$O34),$D$33,"")</f>
        <v/>
      </c>
      <c r="BR34" s="56" t="str">
        <f>IF(AND(BR$30,$O34),$E$33,"")</f>
        <v/>
      </c>
      <c r="BS34" s="57" t="str">
        <f>IF(AND(BS$30,$O34),$F$33,"")</f>
        <v/>
      </c>
      <c r="BT34" s="55" t="str">
        <f>IF(AND(BT$30,$O34),$C$33,"")</f>
        <v/>
      </c>
      <c r="BU34" s="56" t="str">
        <f>IF(AND(BU$30,$O34),$D$33,"")</f>
        <v/>
      </c>
      <c r="BV34" s="56" t="str">
        <f>IF(AND(BV$30,$O34),$E$33,"")</f>
        <v/>
      </c>
      <c r="BW34" s="57" t="str">
        <f>IF(AND(BW$30,$O34),$F$33,"")</f>
        <v/>
      </c>
      <c r="BX34" s="55" t="str">
        <f>IF(AND(BX$30,$O34),$C$33,"")</f>
        <v/>
      </c>
      <c r="BY34" s="56" t="str">
        <f>IF(AND(BY$30,$O34),$D$33,"")</f>
        <v/>
      </c>
      <c r="BZ34" s="56" t="str">
        <f>IF(AND(BZ$30,$O34),$E$33,"")</f>
        <v/>
      </c>
      <c r="CA34" s="57" t="str">
        <f>IF(AND(CA$30,$O34),$F$33,"")</f>
        <v/>
      </c>
      <c r="CB34" s="55" t="str">
        <f>IF(AND(CB$30,$O34),$C$33,"")</f>
        <v/>
      </c>
      <c r="CC34" s="56" t="str">
        <f>IF(AND(CC$30,$O34),$D$33,"")</f>
        <v/>
      </c>
      <c r="CD34" s="56" t="str">
        <f>IF(AND(CD$30,$O34),$E$33,"")</f>
        <v/>
      </c>
      <c r="CE34" s="57" t="str">
        <f>IF(AND(CE$30,$O34),$F$33,"")</f>
        <v/>
      </c>
    </row>
    <row r="35" spans="1:83">
      <c r="L35" s="83" t="str">
        <f>MID(CodDegElegir,N35+1,1)</f>
        <v>G</v>
      </c>
      <c r="M35" s="85" t="str">
        <f t="shared" si="6"/>
        <v>-</v>
      </c>
      <c r="N35">
        <v>1</v>
      </c>
      <c r="O35" s="81">
        <f>BinAnd(N35,A)</f>
        <v>0</v>
      </c>
      <c r="P35" s="29" t="str">
        <f>IF(AND(P$30,$O35),$C$30,"")</f>
        <v/>
      </c>
      <c r="Q35" s="30" t="str">
        <f>IF(AND(Q$30,$O35),$D$30,"")</f>
        <v/>
      </c>
      <c r="R35" s="30" t="str">
        <f>IF(AND(R$30,$O35),$E$30,"")</f>
        <v/>
      </c>
      <c r="S35" s="53" t="str">
        <f>IF(AND(S$30,$O35),$F$30,"")</f>
        <v/>
      </c>
      <c r="T35" s="29" t="str">
        <f>IF(AND(T$30,$O35),$C$30,"")</f>
        <v/>
      </c>
      <c r="U35" s="30" t="str">
        <f>IF(AND(U$30,$O35),$D$30,"")</f>
        <v/>
      </c>
      <c r="V35" s="30" t="str">
        <f>IF(AND(V$30,$O35),$E$30,"")</f>
        <v/>
      </c>
      <c r="W35" s="53" t="str">
        <f>IF(AND(W$30,$O35),$F$30,"")</f>
        <v/>
      </c>
      <c r="X35" s="29" t="str">
        <f>IF(AND(X$30,$O35),$C$30,"")</f>
        <v/>
      </c>
      <c r="Y35" s="30" t="str">
        <f>IF(AND(Y$30,$O35),$D$30,"")</f>
        <v/>
      </c>
      <c r="Z35" s="30" t="str">
        <f>IF(AND(Z$30,$O35),$E$30,"")</f>
        <v/>
      </c>
      <c r="AA35" s="53" t="str">
        <f>IF(AND(AA$30,$O35),$F$30,"")</f>
        <v/>
      </c>
      <c r="AB35" s="29" t="str">
        <f>IF(AND(AB$30,$O35),$C$30,"")</f>
        <v/>
      </c>
      <c r="AC35" s="30" t="str">
        <f>IF(AND(AC$30,$O35),$D$30,"")</f>
        <v/>
      </c>
      <c r="AD35" s="30" t="str">
        <f>IF(AND(AD$30,$O35),$E$30,"")</f>
        <v/>
      </c>
      <c r="AE35" s="53" t="str">
        <f>IF(AND(AE$30,$O35),$F$30,"")</f>
        <v/>
      </c>
      <c r="AF35" s="29" t="str">
        <f>IF(AND(AF$30,$O35),$C$30,"")</f>
        <v/>
      </c>
      <c r="AG35" s="30" t="str">
        <f>IF(AND(AG$30,$O35),$D$30,"")</f>
        <v/>
      </c>
      <c r="AH35" s="30" t="str">
        <f>IF(AND(AH$30,$O35),$E$30,"")</f>
        <v/>
      </c>
      <c r="AI35" s="53" t="str">
        <f>IF(AND(AI$30,$O35),$F$30,"")</f>
        <v/>
      </c>
      <c r="AJ35" s="29" t="str">
        <f>IF(AND(AJ$30,$O35),$C$30,"")</f>
        <v/>
      </c>
      <c r="AK35" s="30" t="str">
        <f>IF(AND(AK$30,$O35),$D$30,"")</f>
        <v/>
      </c>
      <c r="AL35" s="30" t="str">
        <f>IF(AND(AL$30,$O35),$E$30,"")</f>
        <v/>
      </c>
      <c r="AM35" s="53" t="str">
        <f>IF(AND(AM$30,$O35),$F$30,"")</f>
        <v/>
      </c>
      <c r="AN35" s="29" t="str">
        <f>IF(AND(AN$30,$O35),$C$30,"")</f>
        <v/>
      </c>
      <c r="AO35" s="30" t="str">
        <f>IF(AND(AO$30,$O35),$D$30,"")</f>
        <v/>
      </c>
      <c r="AP35" s="30" t="str">
        <f>IF(AND(AP$30,$O35),$E$30,"")</f>
        <v/>
      </c>
      <c r="AQ35" s="53" t="str">
        <f>IF(AND(AQ$30,$O35),$F$30,"")</f>
        <v/>
      </c>
      <c r="AR35" s="29" t="str">
        <f>IF(AND(AR$30,$O35),$C$30,"")</f>
        <v/>
      </c>
      <c r="AS35" s="30" t="str">
        <f>IF(AND(AS$30,$O35),$D$30,"")</f>
        <v/>
      </c>
      <c r="AT35" s="30" t="str">
        <f>IF(AND(AT$30,$O35),$E$30,"")</f>
        <v/>
      </c>
      <c r="AU35" s="53" t="str">
        <f>IF(AND(AU$30,$O35),$F$30,"")</f>
        <v/>
      </c>
      <c r="AV35" s="29" t="str">
        <f>IF(AND(AV$30,$O35),$C$30,"")</f>
        <v/>
      </c>
      <c r="AW35" s="30" t="str">
        <f>IF(AND(AW$30,$O35),$D$30,"")</f>
        <v/>
      </c>
      <c r="AX35" s="30" t="str">
        <f>IF(AND(AX$30,$O35),$E$30,"")</f>
        <v/>
      </c>
      <c r="AY35" s="53" t="str">
        <f>IF(AND(AY$30,$O35),$F$30,"")</f>
        <v/>
      </c>
      <c r="AZ35" s="29" t="str">
        <f>IF(AND(AZ$30,$O35),$C$30,"")</f>
        <v/>
      </c>
      <c r="BA35" s="30" t="str">
        <f>IF(AND(BA$30,$O35),$D$30,"")</f>
        <v/>
      </c>
      <c r="BB35" s="30" t="str">
        <f>IF(AND(BB$30,$O35),$E$30,"")</f>
        <v/>
      </c>
      <c r="BC35" s="53" t="str">
        <f>IF(AND(BC$30,$O35),$F$30,"")</f>
        <v/>
      </c>
      <c r="BD35" s="29" t="str">
        <f>IF(AND(BD$30,$O35),$C$30,"")</f>
        <v/>
      </c>
      <c r="BE35" s="30" t="str">
        <f>IF(AND(BE$30,$O35),$D$30,"")</f>
        <v/>
      </c>
      <c r="BF35" s="30" t="str">
        <f>IF(AND(BF$30,$O35),$E$30,"")</f>
        <v/>
      </c>
      <c r="BG35" s="53" t="str">
        <f>IF(AND(BG$30,$O35),$F$30,"")</f>
        <v/>
      </c>
      <c r="BH35" s="29" t="str">
        <f>IF(AND(BH$30,$O35),$C$30,"")</f>
        <v/>
      </c>
      <c r="BI35" s="30" t="str">
        <f>IF(AND(BI$30,$O35),$D$30,"")</f>
        <v/>
      </c>
      <c r="BJ35" s="30" t="str">
        <f>IF(AND(BJ$30,$O35),$E$30,"")</f>
        <v/>
      </c>
      <c r="BK35" s="53" t="str">
        <f>IF(AND(BK$30,$O35),$F$30,"")</f>
        <v/>
      </c>
      <c r="BL35" s="29" t="str">
        <f>IF(AND(BL$30,$O35),$C$30,"")</f>
        <v/>
      </c>
      <c r="BM35" s="30" t="str">
        <f>IF(AND(BM$30,$O35),$D$30,"")</f>
        <v/>
      </c>
      <c r="BN35" s="30" t="str">
        <f>IF(AND(BN$30,$O35),$E$30,"")</f>
        <v/>
      </c>
      <c r="BO35" s="53" t="str">
        <f>IF(AND(BO$30,$O35),$F$30,"")</f>
        <v/>
      </c>
      <c r="BP35" s="29" t="str">
        <f>IF(AND(BP$30,$O35),$C$30,"")</f>
        <v/>
      </c>
      <c r="BQ35" s="30" t="str">
        <f>IF(AND(BQ$30,$O35),$D$30,"")</f>
        <v/>
      </c>
      <c r="BR35" s="30" t="str">
        <f>IF(AND(BR$30,$O35),$E$30,"")</f>
        <v/>
      </c>
      <c r="BS35" s="53" t="str">
        <f>IF(AND(BS$30,$O35),$F$30,"")</f>
        <v/>
      </c>
      <c r="BT35" s="29" t="str">
        <f>IF(AND(BT$30,$O35),$C$30,"")</f>
        <v/>
      </c>
      <c r="BU35" s="30" t="str">
        <f>IF(AND(BU$30,$O35),$D$30,"")</f>
        <v/>
      </c>
      <c r="BV35" s="30" t="str">
        <f>IF(AND(BV$30,$O35),$E$30,"")</f>
        <v/>
      </c>
      <c r="BW35" s="53" t="str">
        <f>IF(AND(BW$30,$O35),$F$30,"")</f>
        <v/>
      </c>
      <c r="BX35" s="29" t="str">
        <f>IF(AND(BX$30,$O35),$C$30,"")</f>
        <v/>
      </c>
      <c r="BY35" s="30" t="str">
        <f>IF(AND(BY$30,$O35),$D$30,"")</f>
        <v/>
      </c>
      <c r="BZ35" s="30" t="str">
        <f>IF(AND(BZ$30,$O35),$E$30,"")</f>
        <v/>
      </c>
      <c r="CA35" s="53" t="str">
        <f>IF(AND(CA$30,$O35),$F$30,"")</f>
        <v/>
      </c>
      <c r="CB35" s="29" t="str">
        <f>IF(AND(CB$30,$O35),$C$30,"")</f>
        <v/>
      </c>
      <c r="CC35" s="30" t="str">
        <f>IF(AND(CC$30,$O35),$D$30,"")</f>
        <v/>
      </c>
      <c r="CD35" s="30" t="str">
        <f>IF(AND(CD$30,$O35),$E$30,"")</f>
        <v/>
      </c>
      <c r="CE35" s="53" t="str">
        <f>IF(AND(CE$30,$O35),$F$30,"")</f>
        <v/>
      </c>
    </row>
    <row r="36" spans="1:83">
      <c r="L36" s="87"/>
      <c r="M36" s="36" t="str">
        <f t="shared" si="6"/>
        <v>-</v>
      </c>
      <c r="O36" s="82">
        <f>BinAnd(N35,T)</f>
        <v>0</v>
      </c>
      <c r="P36" s="31" t="str">
        <f>IF(AND(P$30,$O36),$C$31,"")</f>
        <v/>
      </c>
      <c r="Q36" s="32" t="str">
        <f>IF(AND(Q$30,$O36),$D$31,"")</f>
        <v/>
      </c>
      <c r="R36" s="32" t="str">
        <f>IF(AND(R$30,$O36),$E$31,"")</f>
        <v/>
      </c>
      <c r="S36" s="54" t="str">
        <f>IF(AND(S$30,$O36),$F$31,"")</f>
        <v/>
      </c>
      <c r="T36" s="31" t="str">
        <f>IF(AND(T$30,$O36),$C$31,"")</f>
        <v/>
      </c>
      <c r="U36" s="32" t="str">
        <f>IF(AND(U$30,$O36),$D$31,"")</f>
        <v/>
      </c>
      <c r="V36" s="32" t="str">
        <f>IF(AND(V$30,$O36),$E$31,"")</f>
        <v/>
      </c>
      <c r="W36" s="54" t="str">
        <f>IF(AND(W$30,$O36),$F$31,"")</f>
        <v/>
      </c>
      <c r="X36" s="31" t="str">
        <f>IF(AND(X$30,$O36),$C$31,"")</f>
        <v/>
      </c>
      <c r="Y36" s="32" t="str">
        <f>IF(AND(Y$30,$O36),$D$31,"")</f>
        <v/>
      </c>
      <c r="Z36" s="32" t="str">
        <f>IF(AND(Z$30,$O36),$E$31,"")</f>
        <v/>
      </c>
      <c r="AA36" s="54" t="str">
        <f>IF(AND(AA$30,$O36),$F$31,"")</f>
        <v/>
      </c>
      <c r="AB36" s="31" t="str">
        <f>IF(AND(AB$30,$O36),$C$31,"")</f>
        <v/>
      </c>
      <c r="AC36" s="32" t="str">
        <f>IF(AND(AC$30,$O36),$D$31,"")</f>
        <v/>
      </c>
      <c r="AD36" s="32" t="str">
        <f>IF(AND(AD$30,$O36),$E$31,"")</f>
        <v/>
      </c>
      <c r="AE36" s="54" t="str">
        <f>IF(AND(AE$30,$O36),$F$31,"")</f>
        <v/>
      </c>
      <c r="AF36" s="31" t="str">
        <f>IF(AND(AF$30,$O36),$C$31,"")</f>
        <v/>
      </c>
      <c r="AG36" s="32" t="str">
        <f>IF(AND(AG$30,$O36),$D$31,"")</f>
        <v/>
      </c>
      <c r="AH36" s="32" t="str">
        <f>IF(AND(AH$30,$O36),$E$31,"")</f>
        <v/>
      </c>
      <c r="AI36" s="54" t="str">
        <f>IF(AND(AI$30,$O36),$F$31,"")</f>
        <v/>
      </c>
      <c r="AJ36" s="31" t="str">
        <f>IF(AND(AJ$30,$O36),$C$31,"")</f>
        <v/>
      </c>
      <c r="AK36" s="32" t="str">
        <f>IF(AND(AK$30,$O36),$D$31,"")</f>
        <v/>
      </c>
      <c r="AL36" s="32" t="str">
        <f>IF(AND(AL$30,$O36),$E$31,"")</f>
        <v/>
      </c>
      <c r="AM36" s="54" t="str">
        <f>IF(AND(AM$30,$O36),$F$31,"")</f>
        <v/>
      </c>
      <c r="AN36" s="31" t="str">
        <f>IF(AND(AN$30,$O36),$C$31,"")</f>
        <v/>
      </c>
      <c r="AO36" s="32" t="str">
        <f>IF(AND(AO$30,$O36),$D$31,"")</f>
        <v/>
      </c>
      <c r="AP36" s="32" t="str">
        <f>IF(AND(AP$30,$O36),$E$31,"")</f>
        <v/>
      </c>
      <c r="AQ36" s="54" t="str">
        <f>IF(AND(AQ$30,$O36),$F$31,"")</f>
        <v/>
      </c>
      <c r="AR36" s="31" t="str">
        <f>IF(AND(AR$30,$O36),$C$31,"")</f>
        <v/>
      </c>
      <c r="AS36" s="32" t="str">
        <f>IF(AND(AS$30,$O36),$D$31,"")</f>
        <v/>
      </c>
      <c r="AT36" s="32" t="str">
        <f>IF(AND(AT$30,$O36),$E$31,"")</f>
        <v/>
      </c>
      <c r="AU36" s="54" t="str">
        <f>IF(AND(AU$30,$O36),$F$31,"")</f>
        <v/>
      </c>
      <c r="AV36" s="31" t="str">
        <f>IF(AND(AV$30,$O36),$C$31,"")</f>
        <v/>
      </c>
      <c r="AW36" s="32" t="str">
        <f>IF(AND(AW$30,$O36),$D$31,"")</f>
        <v/>
      </c>
      <c r="AX36" s="32" t="str">
        <f>IF(AND(AX$30,$O36),$E$31,"")</f>
        <v/>
      </c>
      <c r="AY36" s="54" t="str">
        <f>IF(AND(AY$30,$O36),$F$31,"")</f>
        <v/>
      </c>
      <c r="AZ36" s="31" t="str">
        <f>IF(AND(AZ$30,$O36),$C$31,"")</f>
        <v/>
      </c>
      <c r="BA36" s="32" t="str">
        <f>IF(AND(BA$30,$O36),$D$31,"")</f>
        <v/>
      </c>
      <c r="BB36" s="32" t="str">
        <f>IF(AND(BB$30,$O36),$E$31,"")</f>
        <v/>
      </c>
      <c r="BC36" s="54" t="str">
        <f>IF(AND(BC$30,$O36),$F$31,"")</f>
        <v/>
      </c>
      <c r="BD36" s="31" t="str">
        <f>IF(AND(BD$30,$O36),$C$31,"")</f>
        <v/>
      </c>
      <c r="BE36" s="32" t="str">
        <f>IF(AND(BE$30,$O36),$D$31,"")</f>
        <v/>
      </c>
      <c r="BF36" s="32" t="str">
        <f>IF(AND(BF$30,$O36),$E$31,"")</f>
        <v/>
      </c>
      <c r="BG36" s="54" t="str">
        <f>IF(AND(BG$30,$O36),$F$31,"")</f>
        <v/>
      </c>
      <c r="BH36" s="31" t="str">
        <f>IF(AND(BH$30,$O36),$C$31,"")</f>
        <v/>
      </c>
      <c r="BI36" s="32" t="str">
        <f>IF(AND(BI$30,$O36),$D$31,"")</f>
        <v/>
      </c>
      <c r="BJ36" s="32" t="str">
        <f>IF(AND(BJ$30,$O36),$E$31,"")</f>
        <v/>
      </c>
      <c r="BK36" s="54" t="str">
        <f>IF(AND(BK$30,$O36),$F$31,"")</f>
        <v/>
      </c>
      <c r="BL36" s="31" t="str">
        <f>IF(AND(BL$30,$O36),$C$31,"")</f>
        <v/>
      </c>
      <c r="BM36" s="32" t="str">
        <f>IF(AND(BM$30,$O36),$D$31,"")</f>
        <v/>
      </c>
      <c r="BN36" s="32" t="str">
        <f>IF(AND(BN$30,$O36),$E$31,"")</f>
        <v/>
      </c>
      <c r="BO36" s="54" t="str">
        <f>IF(AND(BO$30,$O36),$F$31,"")</f>
        <v/>
      </c>
      <c r="BP36" s="31" t="str">
        <f>IF(AND(BP$30,$O36),$C$31,"")</f>
        <v/>
      </c>
      <c r="BQ36" s="32" t="str">
        <f>IF(AND(BQ$30,$O36),$D$31,"")</f>
        <v/>
      </c>
      <c r="BR36" s="32" t="str">
        <f>IF(AND(BR$30,$O36),$E$31,"")</f>
        <v/>
      </c>
      <c r="BS36" s="54" t="str">
        <f>IF(AND(BS$30,$O36),$F$31,"")</f>
        <v/>
      </c>
      <c r="BT36" s="31" t="str">
        <f>IF(AND(BT$30,$O36),$C$31,"")</f>
        <v/>
      </c>
      <c r="BU36" s="32" t="str">
        <f>IF(AND(BU$30,$O36),$D$31,"")</f>
        <v/>
      </c>
      <c r="BV36" s="32" t="str">
        <f>IF(AND(BV$30,$O36),$E$31,"")</f>
        <v/>
      </c>
      <c r="BW36" s="54" t="str">
        <f>IF(AND(BW$30,$O36),$F$31,"")</f>
        <v/>
      </c>
      <c r="BX36" s="31" t="str">
        <f>IF(AND(BX$30,$O36),$C$31,"")</f>
        <v/>
      </c>
      <c r="BY36" s="32" t="str">
        <f>IF(AND(BY$30,$O36),$D$31,"")</f>
        <v/>
      </c>
      <c r="BZ36" s="32" t="str">
        <f>IF(AND(BZ$30,$O36),$E$31,"")</f>
        <v/>
      </c>
      <c r="CA36" s="54" t="str">
        <f>IF(AND(CA$30,$O36),$F$31,"")</f>
        <v/>
      </c>
      <c r="CB36" s="31" t="str">
        <f>IF(AND(CB$30,$O36),$C$31,"")</f>
        <v/>
      </c>
      <c r="CC36" s="32" t="str">
        <f>IF(AND(CC$30,$O36),$D$31,"")</f>
        <v/>
      </c>
      <c r="CD36" s="32" t="str">
        <f>IF(AND(CD$30,$O36),$E$31,"")</f>
        <v/>
      </c>
      <c r="CE36" s="54" t="str">
        <f>IF(AND(CE$30,$O36),$F$31,"")</f>
        <v/>
      </c>
    </row>
    <row r="37" spans="1:83">
      <c r="L37" s="87"/>
      <c r="M37" s="36" t="str">
        <f t="shared" si="6"/>
        <v>-</v>
      </c>
      <c r="O37" s="82">
        <f>BinAnd(N35,Ce)</f>
        <v>0</v>
      </c>
      <c r="P37" s="31" t="str">
        <f>IF(AND(P$30,$O37),$C$32,"")</f>
        <v/>
      </c>
      <c r="Q37" s="32" t="str">
        <f>IF(AND(Q$30,$O37),$D$32,"")</f>
        <v/>
      </c>
      <c r="R37" s="32" t="str">
        <f>IF(AND(R$30,$O37),$E$32,"")</f>
        <v/>
      </c>
      <c r="S37" s="54" t="str">
        <f>IF(AND(S$30,$O37),$F$32,"")</f>
        <v/>
      </c>
      <c r="T37" s="31" t="str">
        <f>IF(AND(T$30,$O37),$C$32,"")</f>
        <v/>
      </c>
      <c r="U37" s="32" t="str">
        <f>IF(AND(U$30,$O37),$D$32,"")</f>
        <v/>
      </c>
      <c r="V37" s="32" t="str">
        <f>IF(AND(V$30,$O37),$E$32,"")</f>
        <v/>
      </c>
      <c r="W37" s="54" t="str">
        <f>IF(AND(W$30,$O37),$F$32,"")</f>
        <v/>
      </c>
      <c r="X37" s="31" t="str">
        <f>IF(AND(X$30,$O37),$C$32,"")</f>
        <v/>
      </c>
      <c r="Y37" s="32" t="str">
        <f>IF(AND(Y$30,$O37),$D$32,"")</f>
        <v/>
      </c>
      <c r="Z37" s="32" t="str">
        <f>IF(AND(Z$30,$O37),$E$32,"")</f>
        <v/>
      </c>
      <c r="AA37" s="54" t="str">
        <f>IF(AND(AA$30,$O37),$F$32,"")</f>
        <v/>
      </c>
      <c r="AB37" s="31" t="str">
        <f>IF(AND(AB$30,$O37),$C$32,"")</f>
        <v/>
      </c>
      <c r="AC37" s="32" t="str">
        <f>IF(AND(AC$30,$O37),$D$32,"")</f>
        <v/>
      </c>
      <c r="AD37" s="32" t="str">
        <f>IF(AND(AD$30,$O37),$E$32,"")</f>
        <v/>
      </c>
      <c r="AE37" s="54" t="str">
        <f>IF(AND(AE$30,$O37),$F$32,"")</f>
        <v/>
      </c>
      <c r="AF37" s="31" t="str">
        <f>IF(AND(AF$30,$O37),$C$32,"")</f>
        <v/>
      </c>
      <c r="AG37" s="32" t="str">
        <f>IF(AND(AG$30,$O37),$D$32,"")</f>
        <v/>
      </c>
      <c r="AH37" s="32" t="str">
        <f>IF(AND(AH$30,$O37),$E$32,"")</f>
        <v/>
      </c>
      <c r="AI37" s="54" t="str">
        <f>IF(AND(AI$30,$O37),$F$32,"")</f>
        <v/>
      </c>
      <c r="AJ37" s="31" t="str">
        <f>IF(AND(AJ$30,$O37),$C$32,"")</f>
        <v/>
      </c>
      <c r="AK37" s="32" t="str">
        <f>IF(AND(AK$30,$O37),$D$32,"")</f>
        <v/>
      </c>
      <c r="AL37" s="32" t="str">
        <f>IF(AND(AL$30,$O37),$E$32,"")</f>
        <v/>
      </c>
      <c r="AM37" s="54" t="str">
        <f>IF(AND(AM$30,$O37),$F$32,"")</f>
        <v/>
      </c>
      <c r="AN37" s="31" t="str">
        <f>IF(AND(AN$30,$O37),$C$32,"")</f>
        <v/>
      </c>
      <c r="AO37" s="32" t="str">
        <f>IF(AND(AO$30,$O37),$D$32,"")</f>
        <v/>
      </c>
      <c r="AP37" s="32" t="str">
        <f>IF(AND(AP$30,$O37),$E$32,"")</f>
        <v/>
      </c>
      <c r="AQ37" s="54" t="str">
        <f>IF(AND(AQ$30,$O37),$F$32,"")</f>
        <v/>
      </c>
      <c r="AR37" s="31" t="str">
        <f>IF(AND(AR$30,$O37),$C$32,"")</f>
        <v/>
      </c>
      <c r="AS37" s="32" t="str">
        <f>IF(AND(AS$30,$O37),$D$32,"")</f>
        <v/>
      </c>
      <c r="AT37" s="32" t="str">
        <f>IF(AND(AT$30,$O37),$E$32,"")</f>
        <v/>
      </c>
      <c r="AU37" s="54" t="str">
        <f>IF(AND(AU$30,$O37),$F$32,"")</f>
        <v/>
      </c>
      <c r="AV37" s="31" t="str">
        <f>IF(AND(AV$30,$O37),$C$32,"")</f>
        <v/>
      </c>
      <c r="AW37" s="32" t="str">
        <f>IF(AND(AW$30,$O37),$D$32,"")</f>
        <v/>
      </c>
      <c r="AX37" s="32" t="str">
        <f>IF(AND(AX$30,$O37),$E$32,"")</f>
        <v/>
      </c>
      <c r="AY37" s="54" t="str">
        <f>IF(AND(AY$30,$O37),$F$32,"")</f>
        <v/>
      </c>
      <c r="AZ37" s="31" t="str">
        <f>IF(AND(AZ$30,$O37),$C$32,"")</f>
        <v/>
      </c>
      <c r="BA37" s="32" t="str">
        <f>IF(AND(BA$30,$O37),$D$32,"")</f>
        <v/>
      </c>
      <c r="BB37" s="32" t="str">
        <f>IF(AND(BB$30,$O37),$E$32,"")</f>
        <v/>
      </c>
      <c r="BC37" s="54" t="str">
        <f>IF(AND(BC$30,$O37),$F$32,"")</f>
        <v/>
      </c>
      <c r="BD37" s="31" t="str">
        <f>IF(AND(BD$30,$O37),$C$32,"")</f>
        <v/>
      </c>
      <c r="BE37" s="32" t="str">
        <f>IF(AND(BE$30,$O37),$D$32,"")</f>
        <v/>
      </c>
      <c r="BF37" s="32" t="str">
        <f>IF(AND(BF$30,$O37),$E$32,"")</f>
        <v/>
      </c>
      <c r="BG37" s="54" t="str">
        <f>IF(AND(BG$30,$O37),$F$32,"")</f>
        <v/>
      </c>
      <c r="BH37" s="31" t="str">
        <f>IF(AND(BH$30,$O37),$C$32,"")</f>
        <v/>
      </c>
      <c r="BI37" s="32" t="str">
        <f>IF(AND(BI$30,$O37),$D$32,"")</f>
        <v/>
      </c>
      <c r="BJ37" s="32" t="str">
        <f>IF(AND(BJ$30,$O37),$E$32,"")</f>
        <v/>
      </c>
      <c r="BK37" s="54" t="str">
        <f>IF(AND(BK$30,$O37),$F$32,"")</f>
        <v/>
      </c>
      <c r="BL37" s="31" t="str">
        <f>IF(AND(BL$30,$O37),$C$32,"")</f>
        <v/>
      </c>
      <c r="BM37" s="32" t="str">
        <f>IF(AND(BM$30,$O37),$D$32,"")</f>
        <v/>
      </c>
      <c r="BN37" s="32" t="str">
        <f>IF(AND(BN$30,$O37),$E$32,"")</f>
        <v/>
      </c>
      <c r="BO37" s="54" t="str">
        <f>IF(AND(BO$30,$O37),$F$32,"")</f>
        <v/>
      </c>
      <c r="BP37" s="31" t="str">
        <f>IF(AND(BP$30,$O37),$C$32,"")</f>
        <v/>
      </c>
      <c r="BQ37" s="32" t="str">
        <f>IF(AND(BQ$30,$O37),$D$32,"")</f>
        <v/>
      </c>
      <c r="BR37" s="32" t="str">
        <f>IF(AND(BR$30,$O37),$E$32,"")</f>
        <v/>
      </c>
      <c r="BS37" s="54" t="str">
        <f>IF(AND(BS$30,$O37),$F$32,"")</f>
        <v/>
      </c>
      <c r="BT37" s="31" t="str">
        <f>IF(AND(BT$30,$O37),$C$32,"")</f>
        <v/>
      </c>
      <c r="BU37" s="32" t="str">
        <f>IF(AND(BU$30,$O37),$D$32,"")</f>
        <v/>
      </c>
      <c r="BV37" s="32" t="str">
        <f>IF(AND(BV$30,$O37),$E$32,"")</f>
        <v/>
      </c>
      <c r="BW37" s="54" t="str">
        <f>IF(AND(BW$30,$O37),$F$32,"")</f>
        <v/>
      </c>
      <c r="BX37" s="31" t="str">
        <f>IF(AND(BX$30,$O37),$C$32,"")</f>
        <v/>
      </c>
      <c r="BY37" s="32" t="str">
        <f>IF(AND(BY$30,$O37),$D$32,"")</f>
        <v/>
      </c>
      <c r="BZ37" s="32" t="str">
        <f>IF(AND(BZ$30,$O37),$E$32,"")</f>
        <v/>
      </c>
      <c r="CA37" s="54" t="str">
        <f>IF(AND(CA$30,$O37),$F$32,"")</f>
        <v/>
      </c>
      <c r="CB37" s="31" t="str">
        <f>IF(AND(CB$30,$O37),$C$32,"")</f>
        <v/>
      </c>
      <c r="CC37" s="32" t="str">
        <f>IF(AND(CC$30,$O37),$D$32,"")</f>
        <v/>
      </c>
      <c r="CD37" s="32" t="str">
        <f>IF(AND(CD$30,$O37),$E$32,"")</f>
        <v/>
      </c>
      <c r="CE37" s="54" t="str">
        <f>IF(AND(CE$30,$O37),$F$32,"")</f>
        <v/>
      </c>
    </row>
    <row r="38" spans="1:83" ht="15.75" thickBot="1">
      <c r="L38" s="86"/>
      <c r="M38" s="37" t="str">
        <f t="shared" si="6"/>
        <v>G</v>
      </c>
      <c r="O38" s="43">
        <f>BinAnd(N35,G)</f>
        <v>1</v>
      </c>
      <c r="P38" s="55" t="str">
        <f>IF(AND(P$30,$O38),$C$33,"")</f>
        <v/>
      </c>
      <c r="Q38" s="56" t="str">
        <f>IF(AND(Q$30,$O38),$D$33,"")</f>
        <v/>
      </c>
      <c r="R38" s="56" t="str">
        <f>IF(AND(R$30,$O38),$E$33,"")</f>
        <v/>
      </c>
      <c r="S38" s="57" t="str">
        <f>IF(AND(S$30,$O38),$F$33,"")</f>
        <v/>
      </c>
      <c r="T38" s="55" t="str">
        <f>IF(AND(T$30,$O38),$C$33,"")</f>
        <v/>
      </c>
      <c r="U38" s="56" t="str">
        <f>IF(AND(U$30,$O38),$D$33,"")</f>
        <v/>
      </c>
      <c r="V38" s="56" t="str">
        <f>IF(AND(V$30,$O38),$E$33,"")</f>
        <v/>
      </c>
      <c r="W38" s="57">
        <f>IF(AND(W$30,$O38),$F$33,"")</f>
        <v>15.6</v>
      </c>
      <c r="X38" s="55" t="str">
        <f>IF(AND(X$30,$O38),$C$33,"")</f>
        <v/>
      </c>
      <c r="Y38" s="56" t="str">
        <f>IF(AND(Y$30,$O38),$D$33,"")</f>
        <v/>
      </c>
      <c r="Z38" s="56">
        <f>IF(AND(Z$30,$O38),$E$33,"")</f>
        <v>28.4</v>
      </c>
      <c r="AA38" s="57" t="str">
        <f>IF(AND(AA$30,$O38),$F$33,"")</f>
        <v/>
      </c>
      <c r="AB38" s="55" t="str">
        <f>IF(AND(AB$30,$O38),$C$33,"")</f>
        <v/>
      </c>
      <c r="AC38" s="56" t="str">
        <f>IF(AND(AC$30,$O38),$D$33,"")</f>
        <v/>
      </c>
      <c r="AD38" s="56">
        <f>IF(AND(AD$30,$O38),$E$33,"")</f>
        <v>28.4</v>
      </c>
      <c r="AE38" s="57">
        <f>IF(AND(AE$30,$O38),$F$33,"")</f>
        <v>15.6</v>
      </c>
      <c r="AF38" s="55" t="str">
        <f>IF(AND(AF$30,$O38),$C$33,"")</f>
        <v/>
      </c>
      <c r="AG38" s="56">
        <f>IF(AND(AG$30,$O38),$D$33,"")</f>
        <v>23</v>
      </c>
      <c r="AH38" s="56" t="str">
        <f>IF(AND(AH$30,$O38),$E$33,"")</f>
        <v/>
      </c>
      <c r="AI38" s="57" t="str">
        <f>IF(AND(AI$30,$O38),$F$33,"")</f>
        <v/>
      </c>
      <c r="AJ38" s="55" t="str">
        <f>IF(AND(AJ$30,$O38),$C$33,"")</f>
        <v/>
      </c>
      <c r="AK38" s="56">
        <f>IF(AND(AK$30,$O38),$D$33,"")</f>
        <v>23</v>
      </c>
      <c r="AL38" s="56" t="str">
        <f>IF(AND(AL$30,$O38),$E$33,"")</f>
        <v/>
      </c>
      <c r="AM38" s="57">
        <f>IF(AND(AM$30,$O38),$F$33,"")</f>
        <v>15.6</v>
      </c>
      <c r="AN38" s="55" t="str">
        <f>IF(AND(AN$30,$O38),$C$33,"")</f>
        <v/>
      </c>
      <c r="AO38" s="56">
        <f>IF(AND(AO$30,$O38),$D$33,"")</f>
        <v>23</v>
      </c>
      <c r="AP38" s="56">
        <f>IF(AND(AP$30,$O38),$E$33,"")</f>
        <v>28.4</v>
      </c>
      <c r="AQ38" s="57" t="str">
        <f>IF(AND(AQ$30,$O38),$F$33,"")</f>
        <v/>
      </c>
      <c r="AR38" s="55" t="str">
        <f>IF(AND(AR$30,$O38),$C$33,"")</f>
        <v/>
      </c>
      <c r="AS38" s="56">
        <f>IF(AND(AS$30,$O38),$D$33,"")</f>
        <v>23</v>
      </c>
      <c r="AT38" s="56">
        <f>IF(AND(AT$30,$O38),$E$33,"")</f>
        <v>28.4</v>
      </c>
      <c r="AU38" s="57">
        <f>IF(AND(AU$30,$O38),$F$33,"")</f>
        <v>15.6</v>
      </c>
      <c r="AV38" s="55">
        <f>IF(AND(AV$30,$O38),$C$33,"")</f>
        <v>20.3</v>
      </c>
      <c r="AW38" s="56" t="str">
        <f>IF(AND(AW$30,$O38),$D$33,"")</f>
        <v/>
      </c>
      <c r="AX38" s="56" t="str">
        <f>IF(AND(AX$30,$O38),$E$33,"")</f>
        <v/>
      </c>
      <c r="AY38" s="57" t="str">
        <f>IF(AND(AY$30,$O38),$F$33,"")</f>
        <v/>
      </c>
      <c r="AZ38" s="55">
        <f>IF(AND(AZ$30,$O38),$C$33,"")</f>
        <v>20.3</v>
      </c>
      <c r="BA38" s="56" t="str">
        <f>IF(AND(BA$30,$O38),$D$33,"")</f>
        <v/>
      </c>
      <c r="BB38" s="56" t="str">
        <f>IF(AND(BB$30,$O38),$E$33,"")</f>
        <v/>
      </c>
      <c r="BC38" s="57">
        <f>IF(AND(BC$30,$O38),$F$33,"")</f>
        <v>15.6</v>
      </c>
      <c r="BD38" s="55">
        <f>IF(AND(BD$30,$O38),$C$33,"")</f>
        <v>20.3</v>
      </c>
      <c r="BE38" s="56" t="str">
        <f>IF(AND(BE$30,$O38),$D$33,"")</f>
        <v/>
      </c>
      <c r="BF38" s="56">
        <f>IF(AND(BF$30,$O38),$E$33,"")</f>
        <v>28.4</v>
      </c>
      <c r="BG38" s="57" t="str">
        <f>IF(AND(BG$30,$O38),$F$33,"")</f>
        <v/>
      </c>
      <c r="BH38" s="55">
        <f>IF(AND(BH$30,$O38),$C$33,"")</f>
        <v>20.3</v>
      </c>
      <c r="BI38" s="56" t="str">
        <f>IF(AND(BI$30,$O38),$D$33,"")</f>
        <v/>
      </c>
      <c r="BJ38" s="56">
        <f>IF(AND(BJ$30,$O38),$E$33,"")</f>
        <v>28.4</v>
      </c>
      <c r="BK38" s="57">
        <f>IF(AND(BK$30,$O38),$F$33,"")</f>
        <v>15.6</v>
      </c>
      <c r="BL38" s="55">
        <f>IF(AND(BL$30,$O38),$C$33,"")</f>
        <v>20.3</v>
      </c>
      <c r="BM38" s="56">
        <f>IF(AND(BM$30,$O38),$D$33,"")</f>
        <v>23</v>
      </c>
      <c r="BN38" s="56" t="str">
        <f>IF(AND(BN$30,$O38),$E$33,"")</f>
        <v/>
      </c>
      <c r="BO38" s="57" t="str">
        <f>IF(AND(BO$30,$O38),$F$33,"")</f>
        <v/>
      </c>
      <c r="BP38" s="55">
        <f>IF(AND(BP$30,$O38),$C$33,"")</f>
        <v>20.3</v>
      </c>
      <c r="BQ38" s="56">
        <f>IF(AND(BQ$30,$O38),$D$33,"")</f>
        <v>23</v>
      </c>
      <c r="BR38" s="56" t="str">
        <f>IF(AND(BR$30,$O38),$E$33,"")</f>
        <v/>
      </c>
      <c r="BS38" s="57">
        <f>IF(AND(BS$30,$O38),$F$33,"")</f>
        <v>15.6</v>
      </c>
      <c r="BT38" s="55">
        <f>IF(AND(BT$30,$O38),$C$33,"")</f>
        <v>20.3</v>
      </c>
      <c r="BU38" s="56">
        <f>IF(AND(BU$30,$O38),$D$33,"")</f>
        <v>23</v>
      </c>
      <c r="BV38" s="56">
        <f>IF(AND(BV$30,$O38),$E$33,"")</f>
        <v>28.4</v>
      </c>
      <c r="BW38" s="57" t="str">
        <f>IF(AND(BW$30,$O38),$F$33,"")</f>
        <v/>
      </c>
      <c r="BX38" s="55">
        <f>IF(AND(BX$30,$O38),$C$33,"")</f>
        <v>20.3</v>
      </c>
      <c r="BY38" s="56">
        <f>IF(AND(BY$30,$O38),$D$33,"")</f>
        <v>23</v>
      </c>
      <c r="BZ38" s="56">
        <f>IF(AND(BZ$30,$O38),$E$33,"")</f>
        <v>28.4</v>
      </c>
      <c r="CA38" s="57">
        <f>IF(AND(CA$30,$O38),$F$33,"")</f>
        <v>15.6</v>
      </c>
      <c r="CB38" s="55" t="str">
        <f>IF(AND(CB$30,$O38),$C$33,"")</f>
        <v/>
      </c>
      <c r="CC38" s="56" t="str">
        <f>IF(AND(CC$30,$O38),$D$33,"")</f>
        <v/>
      </c>
      <c r="CD38" s="56" t="str">
        <f>IF(AND(CD$30,$O38),$E$33,"")</f>
        <v/>
      </c>
      <c r="CE38" s="57" t="str">
        <f>IF(AND(CE$30,$O38),$F$33,"")</f>
        <v/>
      </c>
    </row>
    <row r="39" spans="1:83">
      <c r="L39" s="83" t="str">
        <f>MID(CodDegElegir,N39+1,1)</f>
        <v>C</v>
      </c>
      <c r="M39" s="85" t="str">
        <f t="shared" si="6"/>
        <v>-</v>
      </c>
      <c r="N39">
        <v>2</v>
      </c>
      <c r="O39" s="81">
        <f>BinAnd(N39,A)</f>
        <v>0</v>
      </c>
      <c r="P39" s="29" t="str">
        <f>IF(AND(P$30,$O39),$C$30,"")</f>
        <v/>
      </c>
      <c r="Q39" s="30" t="str">
        <f>IF(AND(Q$30,$O39),$D$30,"")</f>
        <v/>
      </c>
      <c r="R39" s="30" t="str">
        <f>IF(AND(R$30,$O39),$E$30,"")</f>
        <v/>
      </c>
      <c r="S39" s="53" t="str">
        <f>IF(AND(S$30,$O39),$F$30,"")</f>
        <v/>
      </c>
      <c r="T39" s="29" t="str">
        <f>IF(AND(T$30,$O39),$C$30,"")</f>
        <v/>
      </c>
      <c r="U39" s="30" t="str">
        <f>IF(AND(U$30,$O39),$D$30,"")</f>
        <v/>
      </c>
      <c r="V39" s="30" t="str">
        <f>IF(AND(V$30,$O39),$E$30,"")</f>
        <v/>
      </c>
      <c r="W39" s="53" t="str">
        <f>IF(AND(W$30,$O39),$F$30,"")</f>
        <v/>
      </c>
      <c r="X39" s="29" t="str">
        <f>IF(AND(X$30,$O39),$C$30,"")</f>
        <v/>
      </c>
      <c r="Y39" s="30" t="str">
        <f>IF(AND(Y$30,$O39),$D$30,"")</f>
        <v/>
      </c>
      <c r="Z39" s="30" t="str">
        <f>IF(AND(Z$30,$O39),$E$30,"")</f>
        <v/>
      </c>
      <c r="AA39" s="53" t="str">
        <f>IF(AND(AA$30,$O39),$F$30,"")</f>
        <v/>
      </c>
      <c r="AB39" s="29" t="str">
        <f>IF(AND(AB$30,$O39),$C$30,"")</f>
        <v/>
      </c>
      <c r="AC39" s="30" t="str">
        <f>IF(AND(AC$30,$O39),$D$30,"")</f>
        <v/>
      </c>
      <c r="AD39" s="30" t="str">
        <f>IF(AND(AD$30,$O39),$E$30,"")</f>
        <v/>
      </c>
      <c r="AE39" s="53" t="str">
        <f>IF(AND(AE$30,$O39),$F$30,"")</f>
        <v/>
      </c>
      <c r="AF39" s="29" t="str">
        <f>IF(AND(AF$30,$O39),$C$30,"")</f>
        <v/>
      </c>
      <c r="AG39" s="30" t="str">
        <f>IF(AND(AG$30,$O39),$D$30,"")</f>
        <v/>
      </c>
      <c r="AH39" s="30" t="str">
        <f>IF(AND(AH$30,$O39),$E$30,"")</f>
        <v/>
      </c>
      <c r="AI39" s="53" t="str">
        <f>IF(AND(AI$30,$O39),$F$30,"")</f>
        <v/>
      </c>
      <c r="AJ39" s="29" t="str">
        <f>IF(AND(AJ$30,$O39),$C$30,"")</f>
        <v/>
      </c>
      <c r="AK39" s="30" t="str">
        <f>IF(AND(AK$30,$O39),$D$30,"")</f>
        <v/>
      </c>
      <c r="AL39" s="30" t="str">
        <f>IF(AND(AL$30,$O39),$E$30,"")</f>
        <v/>
      </c>
      <c r="AM39" s="53" t="str">
        <f>IF(AND(AM$30,$O39),$F$30,"")</f>
        <v/>
      </c>
      <c r="AN39" s="29" t="str">
        <f>IF(AND(AN$30,$O39),$C$30,"")</f>
        <v/>
      </c>
      <c r="AO39" s="30" t="str">
        <f>IF(AND(AO$30,$O39),$D$30,"")</f>
        <v/>
      </c>
      <c r="AP39" s="30" t="str">
        <f>IF(AND(AP$30,$O39),$E$30,"")</f>
        <v/>
      </c>
      <c r="AQ39" s="53" t="str">
        <f>IF(AND(AQ$30,$O39),$F$30,"")</f>
        <v/>
      </c>
      <c r="AR39" s="29" t="str">
        <f>IF(AND(AR$30,$O39),$C$30,"")</f>
        <v/>
      </c>
      <c r="AS39" s="30" t="str">
        <f>IF(AND(AS$30,$O39),$D$30,"")</f>
        <v/>
      </c>
      <c r="AT39" s="30" t="str">
        <f>IF(AND(AT$30,$O39),$E$30,"")</f>
        <v/>
      </c>
      <c r="AU39" s="53" t="str">
        <f>IF(AND(AU$30,$O39),$F$30,"")</f>
        <v/>
      </c>
      <c r="AV39" s="29" t="str">
        <f>IF(AND(AV$30,$O39),$C$30,"")</f>
        <v/>
      </c>
      <c r="AW39" s="30" t="str">
        <f>IF(AND(AW$30,$O39),$D$30,"")</f>
        <v/>
      </c>
      <c r="AX39" s="30" t="str">
        <f>IF(AND(AX$30,$O39),$E$30,"")</f>
        <v/>
      </c>
      <c r="AY39" s="53" t="str">
        <f>IF(AND(AY$30,$O39),$F$30,"")</f>
        <v/>
      </c>
      <c r="AZ39" s="29" t="str">
        <f>IF(AND(AZ$30,$O39),$C$30,"")</f>
        <v/>
      </c>
      <c r="BA39" s="30" t="str">
        <f>IF(AND(BA$30,$O39),$D$30,"")</f>
        <v/>
      </c>
      <c r="BB39" s="30" t="str">
        <f>IF(AND(BB$30,$O39),$E$30,"")</f>
        <v/>
      </c>
      <c r="BC39" s="53" t="str">
        <f>IF(AND(BC$30,$O39),$F$30,"")</f>
        <v/>
      </c>
      <c r="BD39" s="29" t="str">
        <f>IF(AND(BD$30,$O39),$C$30,"")</f>
        <v/>
      </c>
      <c r="BE39" s="30" t="str">
        <f>IF(AND(BE$30,$O39),$D$30,"")</f>
        <v/>
      </c>
      <c r="BF39" s="30" t="str">
        <f>IF(AND(BF$30,$O39),$E$30,"")</f>
        <v/>
      </c>
      <c r="BG39" s="53" t="str">
        <f>IF(AND(BG$30,$O39),$F$30,"")</f>
        <v/>
      </c>
      <c r="BH39" s="29" t="str">
        <f>IF(AND(BH$30,$O39),$C$30,"")</f>
        <v/>
      </c>
      <c r="BI39" s="30" t="str">
        <f>IF(AND(BI$30,$O39),$D$30,"")</f>
        <v/>
      </c>
      <c r="BJ39" s="30" t="str">
        <f>IF(AND(BJ$30,$O39),$E$30,"")</f>
        <v/>
      </c>
      <c r="BK39" s="53" t="str">
        <f>IF(AND(BK$30,$O39),$F$30,"")</f>
        <v/>
      </c>
      <c r="BL39" s="29" t="str">
        <f>IF(AND(BL$30,$O39),$C$30,"")</f>
        <v/>
      </c>
      <c r="BM39" s="30" t="str">
        <f>IF(AND(BM$30,$O39),$D$30,"")</f>
        <v/>
      </c>
      <c r="BN39" s="30" t="str">
        <f>IF(AND(BN$30,$O39),$E$30,"")</f>
        <v/>
      </c>
      <c r="BO39" s="53" t="str">
        <f>IF(AND(BO$30,$O39),$F$30,"")</f>
        <v/>
      </c>
      <c r="BP39" s="29" t="str">
        <f>IF(AND(BP$30,$O39),$C$30,"")</f>
        <v/>
      </c>
      <c r="BQ39" s="30" t="str">
        <f>IF(AND(BQ$30,$O39),$D$30,"")</f>
        <v/>
      </c>
      <c r="BR39" s="30" t="str">
        <f>IF(AND(BR$30,$O39),$E$30,"")</f>
        <v/>
      </c>
      <c r="BS39" s="53" t="str">
        <f>IF(AND(BS$30,$O39),$F$30,"")</f>
        <v/>
      </c>
      <c r="BT39" s="29" t="str">
        <f>IF(AND(BT$30,$O39),$C$30,"")</f>
        <v/>
      </c>
      <c r="BU39" s="30" t="str">
        <f>IF(AND(BU$30,$O39),$D$30,"")</f>
        <v/>
      </c>
      <c r="BV39" s="30" t="str">
        <f>IF(AND(BV$30,$O39),$E$30,"")</f>
        <v/>
      </c>
      <c r="BW39" s="53" t="str">
        <f>IF(AND(BW$30,$O39),$F$30,"")</f>
        <v/>
      </c>
      <c r="BX39" s="29" t="str">
        <f>IF(AND(BX$30,$O39),$C$30,"")</f>
        <v/>
      </c>
      <c r="BY39" s="30" t="str">
        <f>IF(AND(BY$30,$O39),$D$30,"")</f>
        <v/>
      </c>
      <c r="BZ39" s="30" t="str">
        <f>IF(AND(BZ$30,$O39),$E$30,"")</f>
        <v/>
      </c>
      <c r="CA39" s="53" t="str">
        <f>IF(AND(CA$30,$O39),$F$30,"")</f>
        <v/>
      </c>
      <c r="CB39" s="29" t="str">
        <f>IF(AND(CB$30,$O39),$C$30,"")</f>
        <v/>
      </c>
      <c r="CC39" s="30" t="str">
        <f>IF(AND(CC$30,$O39),$D$30,"")</f>
        <v/>
      </c>
      <c r="CD39" s="30" t="str">
        <f>IF(AND(CD$30,$O39),$E$30,"")</f>
        <v/>
      </c>
      <c r="CE39" s="53" t="str">
        <f>IF(AND(CE$30,$O39),$F$30,"")</f>
        <v/>
      </c>
    </row>
    <row r="40" spans="1:83">
      <c r="L40" s="87"/>
      <c r="M40" s="36" t="str">
        <f t="shared" si="6"/>
        <v>-</v>
      </c>
      <c r="O40" s="82">
        <f>BinAnd(N39,T)</f>
        <v>0</v>
      </c>
      <c r="P40" s="31" t="str">
        <f>IF(AND(P$30,$O40),$C$31,"")</f>
        <v/>
      </c>
      <c r="Q40" s="32" t="str">
        <f>IF(AND(Q$30,$O40),$D$31,"")</f>
        <v/>
      </c>
      <c r="R40" s="32" t="str">
        <f>IF(AND(R$30,$O40),$E$31,"")</f>
        <v/>
      </c>
      <c r="S40" s="54" t="str">
        <f>IF(AND(S$30,$O40),$F$31,"")</f>
        <v/>
      </c>
      <c r="T40" s="31" t="str">
        <f>IF(AND(T$30,$O40),$C$31,"")</f>
        <v/>
      </c>
      <c r="U40" s="32" t="str">
        <f>IF(AND(U$30,$O40),$D$31,"")</f>
        <v/>
      </c>
      <c r="V40" s="32" t="str">
        <f>IF(AND(V$30,$O40),$E$31,"")</f>
        <v/>
      </c>
      <c r="W40" s="54" t="str">
        <f>IF(AND(W$30,$O40),$F$31,"")</f>
        <v/>
      </c>
      <c r="X40" s="31" t="str">
        <f>IF(AND(X$30,$O40),$C$31,"")</f>
        <v/>
      </c>
      <c r="Y40" s="32" t="str">
        <f>IF(AND(Y$30,$O40),$D$31,"")</f>
        <v/>
      </c>
      <c r="Z40" s="32" t="str">
        <f>IF(AND(Z$30,$O40),$E$31,"")</f>
        <v/>
      </c>
      <c r="AA40" s="54" t="str">
        <f>IF(AND(AA$30,$O40),$F$31,"")</f>
        <v/>
      </c>
      <c r="AB40" s="31" t="str">
        <f>IF(AND(AB$30,$O40),$C$31,"")</f>
        <v/>
      </c>
      <c r="AC40" s="32" t="str">
        <f>IF(AND(AC$30,$O40),$D$31,"")</f>
        <v/>
      </c>
      <c r="AD40" s="32" t="str">
        <f>IF(AND(AD$30,$O40),$E$31,"")</f>
        <v/>
      </c>
      <c r="AE40" s="54" t="str">
        <f>IF(AND(AE$30,$O40),$F$31,"")</f>
        <v/>
      </c>
      <c r="AF40" s="31" t="str">
        <f>IF(AND(AF$30,$O40),$C$31,"")</f>
        <v/>
      </c>
      <c r="AG40" s="32" t="str">
        <f>IF(AND(AG$30,$O40),$D$31,"")</f>
        <v/>
      </c>
      <c r="AH40" s="32" t="str">
        <f>IF(AND(AH$30,$O40),$E$31,"")</f>
        <v/>
      </c>
      <c r="AI40" s="54" t="str">
        <f>IF(AND(AI$30,$O40),$F$31,"")</f>
        <v/>
      </c>
      <c r="AJ40" s="31" t="str">
        <f>IF(AND(AJ$30,$O40),$C$31,"")</f>
        <v/>
      </c>
      <c r="AK40" s="32" t="str">
        <f>IF(AND(AK$30,$O40),$D$31,"")</f>
        <v/>
      </c>
      <c r="AL40" s="32" t="str">
        <f>IF(AND(AL$30,$O40),$E$31,"")</f>
        <v/>
      </c>
      <c r="AM40" s="54" t="str">
        <f>IF(AND(AM$30,$O40),$F$31,"")</f>
        <v/>
      </c>
      <c r="AN40" s="31" t="str">
        <f>IF(AND(AN$30,$O40),$C$31,"")</f>
        <v/>
      </c>
      <c r="AO40" s="32" t="str">
        <f>IF(AND(AO$30,$O40),$D$31,"")</f>
        <v/>
      </c>
      <c r="AP40" s="32" t="str">
        <f>IF(AND(AP$30,$O40),$E$31,"")</f>
        <v/>
      </c>
      <c r="AQ40" s="54" t="str">
        <f>IF(AND(AQ$30,$O40),$F$31,"")</f>
        <v/>
      </c>
      <c r="AR40" s="31" t="str">
        <f>IF(AND(AR$30,$O40),$C$31,"")</f>
        <v/>
      </c>
      <c r="AS40" s="32" t="str">
        <f>IF(AND(AS$30,$O40),$D$31,"")</f>
        <v/>
      </c>
      <c r="AT40" s="32" t="str">
        <f>IF(AND(AT$30,$O40),$E$31,"")</f>
        <v/>
      </c>
      <c r="AU40" s="54" t="str">
        <f>IF(AND(AU$30,$O40),$F$31,"")</f>
        <v/>
      </c>
      <c r="AV40" s="31" t="str">
        <f>IF(AND(AV$30,$O40),$C$31,"")</f>
        <v/>
      </c>
      <c r="AW40" s="32" t="str">
        <f>IF(AND(AW$30,$O40),$D$31,"")</f>
        <v/>
      </c>
      <c r="AX40" s="32" t="str">
        <f>IF(AND(AX$30,$O40),$E$31,"")</f>
        <v/>
      </c>
      <c r="AY40" s="54" t="str">
        <f>IF(AND(AY$30,$O40),$F$31,"")</f>
        <v/>
      </c>
      <c r="AZ40" s="31" t="str">
        <f>IF(AND(AZ$30,$O40),$C$31,"")</f>
        <v/>
      </c>
      <c r="BA40" s="32" t="str">
        <f>IF(AND(BA$30,$O40),$D$31,"")</f>
        <v/>
      </c>
      <c r="BB40" s="32" t="str">
        <f>IF(AND(BB$30,$O40),$E$31,"")</f>
        <v/>
      </c>
      <c r="BC40" s="54" t="str">
        <f>IF(AND(BC$30,$O40),$F$31,"")</f>
        <v/>
      </c>
      <c r="BD40" s="31" t="str">
        <f>IF(AND(BD$30,$O40),$C$31,"")</f>
        <v/>
      </c>
      <c r="BE40" s="32" t="str">
        <f>IF(AND(BE$30,$O40),$D$31,"")</f>
        <v/>
      </c>
      <c r="BF40" s="32" t="str">
        <f>IF(AND(BF$30,$O40),$E$31,"")</f>
        <v/>
      </c>
      <c r="BG40" s="54" t="str">
        <f>IF(AND(BG$30,$O40),$F$31,"")</f>
        <v/>
      </c>
      <c r="BH40" s="31" t="str">
        <f>IF(AND(BH$30,$O40),$C$31,"")</f>
        <v/>
      </c>
      <c r="BI40" s="32" t="str">
        <f>IF(AND(BI$30,$O40),$D$31,"")</f>
        <v/>
      </c>
      <c r="BJ40" s="32" t="str">
        <f>IF(AND(BJ$30,$O40),$E$31,"")</f>
        <v/>
      </c>
      <c r="BK40" s="54" t="str">
        <f>IF(AND(BK$30,$O40),$F$31,"")</f>
        <v/>
      </c>
      <c r="BL40" s="31" t="str">
        <f>IF(AND(BL$30,$O40),$C$31,"")</f>
        <v/>
      </c>
      <c r="BM40" s="32" t="str">
        <f>IF(AND(BM$30,$O40),$D$31,"")</f>
        <v/>
      </c>
      <c r="BN40" s="32" t="str">
        <f>IF(AND(BN$30,$O40),$E$31,"")</f>
        <v/>
      </c>
      <c r="BO40" s="54" t="str">
        <f>IF(AND(BO$30,$O40),$F$31,"")</f>
        <v/>
      </c>
      <c r="BP40" s="31" t="str">
        <f>IF(AND(BP$30,$O40),$C$31,"")</f>
        <v/>
      </c>
      <c r="BQ40" s="32" t="str">
        <f>IF(AND(BQ$30,$O40),$D$31,"")</f>
        <v/>
      </c>
      <c r="BR40" s="32" t="str">
        <f>IF(AND(BR$30,$O40),$E$31,"")</f>
        <v/>
      </c>
      <c r="BS40" s="54" t="str">
        <f>IF(AND(BS$30,$O40),$F$31,"")</f>
        <v/>
      </c>
      <c r="BT40" s="31" t="str">
        <f>IF(AND(BT$30,$O40),$C$31,"")</f>
        <v/>
      </c>
      <c r="BU40" s="32" t="str">
        <f>IF(AND(BU$30,$O40),$D$31,"")</f>
        <v/>
      </c>
      <c r="BV40" s="32" t="str">
        <f>IF(AND(BV$30,$O40),$E$31,"")</f>
        <v/>
      </c>
      <c r="BW40" s="54" t="str">
        <f>IF(AND(BW$30,$O40),$F$31,"")</f>
        <v/>
      </c>
      <c r="BX40" s="31" t="str">
        <f>IF(AND(BX$30,$O40),$C$31,"")</f>
        <v/>
      </c>
      <c r="BY40" s="32" t="str">
        <f>IF(AND(BY$30,$O40),$D$31,"")</f>
        <v/>
      </c>
      <c r="BZ40" s="32" t="str">
        <f>IF(AND(BZ$30,$O40),$E$31,"")</f>
        <v/>
      </c>
      <c r="CA40" s="54" t="str">
        <f>IF(AND(CA$30,$O40),$F$31,"")</f>
        <v/>
      </c>
      <c r="CB40" s="31" t="str">
        <f>IF(AND(CB$30,$O40),$C$31,"")</f>
        <v/>
      </c>
      <c r="CC40" s="32" t="str">
        <f>IF(AND(CC$30,$O40),$D$31,"")</f>
        <v/>
      </c>
      <c r="CD40" s="32" t="str">
        <f>IF(AND(CD$30,$O40),$E$31,"")</f>
        <v/>
      </c>
      <c r="CE40" s="54" t="str">
        <f>IF(AND(CE$30,$O40),$F$31,"")</f>
        <v/>
      </c>
    </row>
    <row r="41" spans="1:83">
      <c r="L41" s="87"/>
      <c r="M41" s="36" t="str">
        <f t="shared" si="6"/>
        <v>C</v>
      </c>
      <c r="O41" s="82">
        <f>BinAnd(N39,Ce)</f>
        <v>2</v>
      </c>
      <c r="P41" s="31" t="str">
        <f>IF(AND(P$30,$O41),$C$32,"")</f>
        <v/>
      </c>
      <c r="Q41" s="32" t="str">
        <f>IF(AND(Q$30,$O41),$D$32,"")</f>
        <v/>
      </c>
      <c r="R41" s="32" t="str">
        <f>IF(AND(R$30,$O41),$E$32,"")</f>
        <v/>
      </c>
      <c r="S41" s="54" t="str">
        <f>IF(AND(S$30,$O41),$F$32,"")</f>
        <v/>
      </c>
      <c r="T41" s="31" t="str">
        <f>IF(AND(T$30,$O41),$C$32,"")</f>
        <v/>
      </c>
      <c r="U41" s="32" t="str">
        <f>IF(AND(U$30,$O41),$D$32,"")</f>
        <v/>
      </c>
      <c r="V41" s="32" t="str">
        <f>IF(AND(V$30,$O41),$E$32,"")</f>
        <v/>
      </c>
      <c r="W41" s="54">
        <f>IF(AND(W$30,$O41),$F$32,"")</f>
        <v>25.5</v>
      </c>
      <c r="X41" s="31" t="str">
        <f>IF(AND(X$30,$O41),$C$32,"")</f>
        <v/>
      </c>
      <c r="Y41" s="32" t="str">
        <f>IF(AND(Y$30,$O41),$D$32,"")</f>
        <v/>
      </c>
      <c r="Z41" s="32">
        <f>IF(AND(Z$30,$O41),$E$32,"")</f>
        <v>15.6</v>
      </c>
      <c r="AA41" s="54" t="str">
        <f>IF(AND(AA$30,$O41),$F$32,"")</f>
        <v/>
      </c>
      <c r="AB41" s="31" t="str">
        <f>IF(AND(AB$30,$O41),$C$32,"")</f>
        <v/>
      </c>
      <c r="AC41" s="32" t="str">
        <f>IF(AND(AC$30,$O41),$D$32,"")</f>
        <v/>
      </c>
      <c r="AD41" s="32">
        <f>IF(AND(AD$30,$O41),$E$32,"")</f>
        <v>15.6</v>
      </c>
      <c r="AE41" s="54">
        <f>IF(AND(AE$30,$O41),$F$32,"")</f>
        <v>25.5</v>
      </c>
      <c r="AF41" s="31" t="str">
        <f>IF(AND(AF$30,$O41),$C$32,"")</f>
        <v/>
      </c>
      <c r="AG41" s="32">
        <f>IF(AND(AG$30,$O41),$D$32,"")</f>
        <v>16.100000000000001</v>
      </c>
      <c r="AH41" s="32" t="str">
        <f>IF(AND(AH$30,$O41),$E$32,"")</f>
        <v/>
      </c>
      <c r="AI41" s="54" t="str">
        <f>IF(AND(AI$30,$O41),$F$32,"")</f>
        <v/>
      </c>
      <c r="AJ41" s="31" t="str">
        <f>IF(AND(AJ$30,$O41),$C$32,"")</f>
        <v/>
      </c>
      <c r="AK41" s="32">
        <f>IF(AND(AK$30,$O41),$D$32,"")</f>
        <v>16.100000000000001</v>
      </c>
      <c r="AL41" s="32" t="str">
        <f>IF(AND(AL$30,$O41),$E$32,"")</f>
        <v/>
      </c>
      <c r="AM41" s="54">
        <f>IF(AND(AM$30,$O41),$F$32,"")</f>
        <v>25.5</v>
      </c>
      <c r="AN41" s="31" t="str">
        <f>IF(AND(AN$30,$O41),$C$32,"")</f>
        <v/>
      </c>
      <c r="AO41" s="32">
        <f>IF(AND(AO$30,$O41),$D$32,"")</f>
        <v>16.100000000000001</v>
      </c>
      <c r="AP41" s="32">
        <f>IF(AND(AP$30,$O41),$E$32,"")</f>
        <v>15.6</v>
      </c>
      <c r="AQ41" s="54" t="str">
        <f>IF(AND(AQ$30,$O41),$F$32,"")</f>
        <v/>
      </c>
      <c r="AR41" s="31" t="str">
        <f>IF(AND(AR$30,$O41),$C$32,"")</f>
        <v/>
      </c>
      <c r="AS41" s="32">
        <f>IF(AND(AS$30,$O41),$D$32,"")</f>
        <v>16.100000000000001</v>
      </c>
      <c r="AT41" s="32">
        <f>IF(AND(AT$30,$O41),$E$32,"")</f>
        <v>15.6</v>
      </c>
      <c r="AU41" s="54">
        <f>IF(AND(AU$30,$O41),$F$32,"")</f>
        <v>25.5</v>
      </c>
      <c r="AV41" s="31">
        <f>IF(AND(AV$30,$O41),$C$32,"")</f>
        <v>19.3</v>
      </c>
      <c r="AW41" s="32" t="str">
        <f>IF(AND(AW$30,$O41),$D$32,"")</f>
        <v/>
      </c>
      <c r="AX41" s="32" t="str">
        <f>IF(AND(AX$30,$O41),$E$32,"")</f>
        <v/>
      </c>
      <c r="AY41" s="54" t="str">
        <f>IF(AND(AY$30,$O41),$F$32,"")</f>
        <v/>
      </c>
      <c r="AZ41" s="31">
        <f>IF(AND(AZ$30,$O41),$C$32,"")</f>
        <v>19.3</v>
      </c>
      <c r="BA41" s="32" t="str">
        <f>IF(AND(BA$30,$O41),$D$32,"")</f>
        <v/>
      </c>
      <c r="BB41" s="32" t="str">
        <f>IF(AND(BB$30,$O41),$E$32,"")</f>
        <v/>
      </c>
      <c r="BC41" s="54">
        <f>IF(AND(BC$30,$O41),$F$32,"")</f>
        <v>25.5</v>
      </c>
      <c r="BD41" s="31">
        <f>IF(AND(BD$30,$O41),$C$32,"")</f>
        <v>19.3</v>
      </c>
      <c r="BE41" s="32" t="str">
        <f>IF(AND(BE$30,$O41),$D$32,"")</f>
        <v/>
      </c>
      <c r="BF41" s="32">
        <f>IF(AND(BF$30,$O41),$E$32,"")</f>
        <v>15.6</v>
      </c>
      <c r="BG41" s="54" t="str">
        <f>IF(AND(BG$30,$O41),$F$32,"")</f>
        <v/>
      </c>
      <c r="BH41" s="31">
        <f>IF(AND(BH$30,$O41),$C$32,"")</f>
        <v>19.3</v>
      </c>
      <c r="BI41" s="32" t="str">
        <f>IF(AND(BI$30,$O41),$D$32,"")</f>
        <v/>
      </c>
      <c r="BJ41" s="32">
        <f>IF(AND(BJ$30,$O41),$E$32,"")</f>
        <v>15.6</v>
      </c>
      <c r="BK41" s="54">
        <f>IF(AND(BK$30,$O41),$F$32,"")</f>
        <v>25.5</v>
      </c>
      <c r="BL41" s="31">
        <f>IF(AND(BL$30,$O41),$C$32,"")</f>
        <v>19.3</v>
      </c>
      <c r="BM41" s="32">
        <f>IF(AND(BM$30,$O41),$D$32,"")</f>
        <v>16.100000000000001</v>
      </c>
      <c r="BN41" s="32" t="str">
        <f>IF(AND(BN$30,$O41),$E$32,"")</f>
        <v/>
      </c>
      <c r="BO41" s="54" t="str">
        <f>IF(AND(BO$30,$O41),$F$32,"")</f>
        <v/>
      </c>
      <c r="BP41" s="31">
        <f>IF(AND(BP$30,$O41),$C$32,"")</f>
        <v>19.3</v>
      </c>
      <c r="BQ41" s="32">
        <f>IF(AND(BQ$30,$O41),$D$32,"")</f>
        <v>16.100000000000001</v>
      </c>
      <c r="BR41" s="32" t="str">
        <f>IF(AND(BR$30,$O41),$E$32,"")</f>
        <v/>
      </c>
      <c r="BS41" s="54">
        <f>IF(AND(BS$30,$O41),$F$32,"")</f>
        <v>25.5</v>
      </c>
      <c r="BT41" s="31">
        <f>IF(AND(BT$30,$O41),$C$32,"")</f>
        <v>19.3</v>
      </c>
      <c r="BU41" s="32">
        <f>IF(AND(BU$30,$O41),$D$32,"")</f>
        <v>16.100000000000001</v>
      </c>
      <c r="BV41" s="32">
        <f>IF(AND(BV$30,$O41),$E$32,"")</f>
        <v>15.6</v>
      </c>
      <c r="BW41" s="54" t="str">
        <f>IF(AND(BW$30,$O41),$F$32,"")</f>
        <v/>
      </c>
      <c r="BX41" s="31">
        <f>IF(AND(BX$30,$O41),$C$32,"")</f>
        <v>19.3</v>
      </c>
      <c r="BY41" s="32">
        <f>IF(AND(BY$30,$O41),$D$32,"")</f>
        <v>16.100000000000001</v>
      </c>
      <c r="BZ41" s="32">
        <f>IF(AND(BZ$30,$O41),$E$32,"")</f>
        <v>15.6</v>
      </c>
      <c r="CA41" s="54">
        <f>IF(AND(CA$30,$O41),$F$32,"")</f>
        <v>25.5</v>
      </c>
      <c r="CB41" s="31" t="str">
        <f>IF(AND(CB$30,$O41),$C$32,"")</f>
        <v/>
      </c>
      <c r="CC41" s="32" t="str">
        <f>IF(AND(CC$30,$O41),$D$32,"")</f>
        <v/>
      </c>
      <c r="CD41" s="32" t="str">
        <f>IF(AND(CD$30,$O41),$E$32,"")</f>
        <v/>
      </c>
      <c r="CE41" s="54" t="str">
        <f>IF(AND(CE$30,$O41),$F$32,"")</f>
        <v/>
      </c>
    </row>
    <row r="42" spans="1:83" ht="15.75" thickBot="1">
      <c r="L42" s="86"/>
      <c r="M42" s="37" t="str">
        <f t="shared" si="6"/>
        <v>-</v>
      </c>
      <c r="O42" s="43">
        <f>BinAnd(N39,G)</f>
        <v>0</v>
      </c>
      <c r="P42" s="55" t="str">
        <f>IF(AND(P$30,$O42),$C$33,"")</f>
        <v/>
      </c>
      <c r="Q42" s="56" t="str">
        <f>IF(AND(Q$30,$O42),$D$33,"")</f>
        <v/>
      </c>
      <c r="R42" s="56" t="str">
        <f>IF(AND(R$30,$O42),$E$33,"")</f>
        <v/>
      </c>
      <c r="S42" s="57" t="str">
        <f>IF(AND(S$30,$O42),$F$33,"")</f>
        <v/>
      </c>
      <c r="T42" s="55" t="str">
        <f>IF(AND(T$30,$O42),$C$33,"")</f>
        <v/>
      </c>
      <c r="U42" s="56" t="str">
        <f>IF(AND(U$30,$O42),$D$33,"")</f>
        <v/>
      </c>
      <c r="V42" s="56" t="str">
        <f>IF(AND(V$30,$O42),$E$33,"")</f>
        <v/>
      </c>
      <c r="W42" s="57" t="str">
        <f>IF(AND(W$30,$O42),$F$33,"")</f>
        <v/>
      </c>
      <c r="X42" s="55" t="str">
        <f>IF(AND(X$30,$O42),$C$33,"")</f>
        <v/>
      </c>
      <c r="Y42" s="56" t="str">
        <f>IF(AND(Y$30,$O42),$D$33,"")</f>
        <v/>
      </c>
      <c r="Z42" s="56" t="str">
        <f>IF(AND(Z$30,$O42),$E$33,"")</f>
        <v/>
      </c>
      <c r="AA42" s="57" t="str">
        <f>IF(AND(AA$30,$O42),$F$33,"")</f>
        <v/>
      </c>
      <c r="AB42" s="55" t="str">
        <f>IF(AND(AB$30,$O42),$C$33,"")</f>
        <v/>
      </c>
      <c r="AC42" s="56" t="str">
        <f>IF(AND(AC$30,$O42),$D$33,"")</f>
        <v/>
      </c>
      <c r="AD42" s="56" t="str">
        <f>IF(AND(AD$30,$O42),$E$33,"")</f>
        <v/>
      </c>
      <c r="AE42" s="57" t="str">
        <f>IF(AND(AE$30,$O42),$F$33,"")</f>
        <v/>
      </c>
      <c r="AF42" s="55" t="str">
        <f>IF(AND(AF$30,$O42),$C$33,"")</f>
        <v/>
      </c>
      <c r="AG42" s="56" t="str">
        <f>IF(AND(AG$30,$O42),$D$33,"")</f>
        <v/>
      </c>
      <c r="AH42" s="56" t="str">
        <f>IF(AND(AH$30,$O42),$E$33,"")</f>
        <v/>
      </c>
      <c r="AI42" s="57" t="str">
        <f>IF(AND(AI$30,$O42),$F$33,"")</f>
        <v/>
      </c>
      <c r="AJ42" s="55" t="str">
        <f>IF(AND(AJ$30,$O42),$C$33,"")</f>
        <v/>
      </c>
      <c r="AK42" s="56" t="str">
        <f>IF(AND(AK$30,$O42),$D$33,"")</f>
        <v/>
      </c>
      <c r="AL42" s="56" t="str">
        <f>IF(AND(AL$30,$O42),$E$33,"")</f>
        <v/>
      </c>
      <c r="AM42" s="57" t="str">
        <f>IF(AND(AM$30,$O42),$F$33,"")</f>
        <v/>
      </c>
      <c r="AN42" s="55" t="str">
        <f>IF(AND(AN$30,$O42),$C$33,"")</f>
        <v/>
      </c>
      <c r="AO42" s="56" t="str">
        <f>IF(AND(AO$30,$O42),$D$33,"")</f>
        <v/>
      </c>
      <c r="AP42" s="56" t="str">
        <f>IF(AND(AP$30,$O42),$E$33,"")</f>
        <v/>
      </c>
      <c r="AQ42" s="57" t="str">
        <f>IF(AND(AQ$30,$O42),$F$33,"")</f>
        <v/>
      </c>
      <c r="AR42" s="55" t="str">
        <f>IF(AND(AR$30,$O42),$C$33,"")</f>
        <v/>
      </c>
      <c r="AS42" s="56" t="str">
        <f>IF(AND(AS$30,$O42),$D$33,"")</f>
        <v/>
      </c>
      <c r="AT42" s="56" t="str">
        <f>IF(AND(AT$30,$O42),$E$33,"")</f>
        <v/>
      </c>
      <c r="AU42" s="57" t="str">
        <f>IF(AND(AU$30,$O42),$F$33,"")</f>
        <v/>
      </c>
      <c r="AV42" s="55" t="str">
        <f>IF(AND(AV$30,$O42),$C$33,"")</f>
        <v/>
      </c>
      <c r="AW42" s="56" t="str">
        <f>IF(AND(AW$30,$O42),$D$33,"")</f>
        <v/>
      </c>
      <c r="AX42" s="56" t="str">
        <f>IF(AND(AX$30,$O42),$E$33,"")</f>
        <v/>
      </c>
      <c r="AY42" s="57" t="str">
        <f>IF(AND(AY$30,$O42),$F$33,"")</f>
        <v/>
      </c>
      <c r="AZ42" s="55" t="str">
        <f>IF(AND(AZ$30,$O42),$C$33,"")</f>
        <v/>
      </c>
      <c r="BA42" s="56" t="str">
        <f>IF(AND(BA$30,$O42),$D$33,"")</f>
        <v/>
      </c>
      <c r="BB42" s="56" t="str">
        <f>IF(AND(BB$30,$O42),$E$33,"")</f>
        <v/>
      </c>
      <c r="BC42" s="57" t="str">
        <f>IF(AND(BC$30,$O42),$F$33,"")</f>
        <v/>
      </c>
      <c r="BD42" s="55" t="str">
        <f>IF(AND(BD$30,$O42),$C$33,"")</f>
        <v/>
      </c>
      <c r="BE42" s="56" t="str">
        <f>IF(AND(BE$30,$O42),$D$33,"")</f>
        <v/>
      </c>
      <c r="BF42" s="56" t="str">
        <f>IF(AND(BF$30,$O42),$E$33,"")</f>
        <v/>
      </c>
      <c r="BG42" s="57" t="str">
        <f>IF(AND(BG$30,$O42),$F$33,"")</f>
        <v/>
      </c>
      <c r="BH42" s="55" t="str">
        <f>IF(AND(BH$30,$O42),$C$33,"")</f>
        <v/>
      </c>
      <c r="BI42" s="56" t="str">
        <f>IF(AND(BI$30,$O42),$D$33,"")</f>
        <v/>
      </c>
      <c r="BJ42" s="56" t="str">
        <f>IF(AND(BJ$30,$O42),$E$33,"")</f>
        <v/>
      </c>
      <c r="BK42" s="57" t="str">
        <f>IF(AND(BK$30,$O42),$F$33,"")</f>
        <v/>
      </c>
      <c r="BL42" s="55" t="str">
        <f>IF(AND(BL$30,$O42),$C$33,"")</f>
        <v/>
      </c>
      <c r="BM42" s="56" t="str">
        <f>IF(AND(BM$30,$O42),$D$33,"")</f>
        <v/>
      </c>
      <c r="BN42" s="56" t="str">
        <f>IF(AND(BN$30,$O42),$E$33,"")</f>
        <v/>
      </c>
      <c r="BO42" s="57" t="str">
        <f>IF(AND(BO$30,$O42),$F$33,"")</f>
        <v/>
      </c>
      <c r="BP42" s="55" t="str">
        <f>IF(AND(BP$30,$O42),$C$33,"")</f>
        <v/>
      </c>
      <c r="BQ42" s="56" t="str">
        <f>IF(AND(BQ$30,$O42),$D$33,"")</f>
        <v/>
      </c>
      <c r="BR42" s="56" t="str">
        <f>IF(AND(BR$30,$O42),$E$33,"")</f>
        <v/>
      </c>
      <c r="BS42" s="57" t="str">
        <f>IF(AND(BS$30,$O42),$F$33,"")</f>
        <v/>
      </c>
      <c r="BT42" s="55" t="str">
        <f>IF(AND(BT$30,$O42),$C$33,"")</f>
        <v/>
      </c>
      <c r="BU42" s="56" t="str">
        <f>IF(AND(BU$30,$O42),$D$33,"")</f>
        <v/>
      </c>
      <c r="BV42" s="56" t="str">
        <f>IF(AND(BV$30,$O42),$E$33,"")</f>
        <v/>
      </c>
      <c r="BW42" s="57" t="str">
        <f>IF(AND(BW$30,$O42),$F$33,"")</f>
        <v/>
      </c>
      <c r="BX42" s="55" t="str">
        <f>IF(AND(BX$30,$O42),$C$33,"")</f>
        <v/>
      </c>
      <c r="BY42" s="56" t="str">
        <f>IF(AND(BY$30,$O42),$D$33,"")</f>
        <v/>
      </c>
      <c r="BZ42" s="56" t="str">
        <f>IF(AND(BZ$30,$O42),$E$33,"")</f>
        <v/>
      </c>
      <c r="CA42" s="57" t="str">
        <f>IF(AND(CA$30,$O42),$F$33,"")</f>
        <v/>
      </c>
      <c r="CB42" s="55" t="str">
        <f>IF(AND(CB$30,$O42),$C$33,"")</f>
        <v/>
      </c>
      <c r="CC42" s="56" t="str">
        <f>IF(AND(CC$30,$O42),$D$33,"")</f>
        <v/>
      </c>
      <c r="CD42" s="56" t="str">
        <f>IF(AND(CD$30,$O42),$E$33,"")</f>
        <v/>
      </c>
      <c r="CE42" s="57" t="str">
        <f>IF(AND(CE$30,$O42),$F$33,"")</f>
        <v/>
      </c>
    </row>
    <row r="43" spans="1:83">
      <c r="L43" s="83" t="str">
        <f>MID(CodDegElegir,N43+1,1)</f>
        <v>S</v>
      </c>
      <c r="M43" s="85" t="str">
        <f t="shared" si="6"/>
        <v>-</v>
      </c>
      <c r="N43">
        <v>3</v>
      </c>
      <c r="O43" s="81">
        <f>BinAnd(N43,A)</f>
        <v>0</v>
      </c>
      <c r="P43" s="29" t="str">
        <f>IF(AND(P$30,$O43),$C$30,"")</f>
        <v/>
      </c>
      <c r="Q43" s="30" t="str">
        <f>IF(AND(Q$30,$O43),$D$30,"")</f>
        <v/>
      </c>
      <c r="R43" s="30" t="str">
        <f>IF(AND(R$30,$O43),$E$30,"")</f>
        <v/>
      </c>
      <c r="S43" s="53" t="str">
        <f>IF(AND(S$30,$O43),$F$30,"")</f>
        <v/>
      </c>
      <c r="T43" s="29" t="str">
        <f>IF(AND(T$30,$O43),$C$30,"")</f>
        <v/>
      </c>
      <c r="U43" s="30" t="str">
        <f>IF(AND(U$30,$O43),$D$30,"")</f>
        <v/>
      </c>
      <c r="V43" s="30" t="str">
        <f>IF(AND(V$30,$O43),$E$30,"")</f>
        <v/>
      </c>
      <c r="W43" s="53" t="str">
        <f>IF(AND(W$30,$O43),$F$30,"")</f>
        <v/>
      </c>
      <c r="X43" s="29" t="str">
        <f>IF(AND(X$30,$O43),$C$30,"")</f>
        <v/>
      </c>
      <c r="Y43" s="30" t="str">
        <f>IF(AND(Y$30,$O43),$D$30,"")</f>
        <v/>
      </c>
      <c r="Z43" s="30" t="str">
        <f>IF(AND(Z$30,$O43),$E$30,"")</f>
        <v/>
      </c>
      <c r="AA43" s="53" t="str">
        <f>IF(AND(AA$30,$O43),$F$30,"")</f>
        <v/>
      </c>
      <c r="AB43" s="29" t="str">
        <f>IF(AND(AB$30,$O43),$C$30,"")</f>
        <v/>
      </c>
      <c r="AC43" s="30" t="str">
        <f>IF(AND(AC$30,$O43),$D$30,"")</f>
        <v/>
      </c>
      <c r="AD43" s="30" t="str">
        <f>IF(AND(AD$30,$O43),$E$30,"")</f>
        <v/>
      </c>
      <c r="AE43" s="53" t="str">
        <f>IF(AND(AE$30,$O43),$F$30,"")</f>
        <v/>
      </c>
      <c r="AF43" s="29" t="str">
        <f>IF(AND(AF$30,$O43),$C$30,"")</f>
        <v/>
      </c>
      <c r="AG43" s="30" t="str">
        <f>IF(AND(AG$30,$O43),$D$30,"")</f>
        <v/>
      </c>
      <c r="AH43" s="30" t="str">
        <f>IF(AND(AH$30,$O43),$E$30,"")</f>
        <v/>
      </c>
      <c r="AI43" s="53" t="str">
        <f>IF(AND(AI$30,$O43),$F$30,"")</f>
        <v/>
      </c>
      <c r="AJ43" s="29" t="str">
        <f>IF(AND(AJ$30,$O43),$C$30,"")</f>
        <v/>
      </c>
      <c r="AK43" s="30" t="str">
        <f>IF(AND(AK$30,$O43),$D$30,"")</f>
        <v/>
      </c>
      <c r="AL43" s="30" t="str">
        <f>IF(AND(AL$30,$O43),$E$30,"")</f>
        <v/>
      </c>
      <c r="AM43" s="53" t="str">
        <f>IF(AND(AM$30,$O43),$F$30,"")</f>
        <v/>
      </c>
      <c r="AN43" s="29" t="str">
        <f>IF(AND(AN$30,$O43),$C$30,"")</f>
        <v/>
      </c>
      <c r="AO43" s="30" t="str">
        <f>IF(AND(AO$30,$O43),$D$30,"")</f>
        <v/>
      </c>
      <c r="AP43" s="30" t="str">
        <f>IF(AND(AP$30,$O43),$E$30,"")</f>
        <v/>
      </c>
      <c r="AQ43" s="53" t="str">
        <f>IF(AND(AQ$30,$O43),$F$30,"")</f>
        <v/>
      </c>
      <c r="AR43" s="29" t="str">
        <f>IF(AND(AR$30,$O43),$C$30,"")</f>
        <v/>
      </c>
      <c r="AS43" s="30" t="str">
        <f>IF(AND(AS$30,$O43),$D$30,"")</f>
        <v/>
      </c>
      <c r="AT43" s="30" t="str">
        <f>IF(AND(AT$30,$O43),$E$30,"")</f>
        <v/>
      </c>
      <c r="AU43" s="53" t="str">
        <f>IF(AND(AU$30,$O43),$F$30,"")</f>
        <v/>
      </c>
      <c r="AV43" s="29" t="str">
        <f>IF(AND(AV$30,$O43),$C$30,"")</f>
        <v/>
      </c>
      <c r="AW43" s="30" t="str">
        <f>IF(AND(AW$30,$O43),$D$30,"")</f>
        <v/>
      </c>
      <c r="AX43" s="30" t="str">
        <f>IF(AND(AX$30,$O43),$E$30,"")</f>
        <v/>
      </c>
      <c r="AY43" s="53" t="str">
        <f>IF(AND(AY$30,$O43),$F$30,"")</f>
        <v/>
      </c>
      <c r="AZ43" s="29" t="str">
        <f>IF(AND(AZ$30,$O43),$C$30,"")</f>
        <v/>
      </c>
      <c r="BA43" s="30" t="str">
        <f>IF(AND(BA$30,$O43),$D$30,"")</f>
        <v/>
      </c>
      <c r="BB43" s="30" t="str">
        <f>IF(AND(BB$30,$O43),$E$30,"")</f>
        <v/>
      </c>
      <c r="BC43" s="53" t="str">
        <f>IF(AND(BC$30,$O43),$F$30,"")</f>
        <v/>
      </c>
      <c r="BD43" s="29" t="str">
        <f>IF(AND(BD$30,$O43),$C$30,"")</f>
        <v/>
      </c>
      <c r="BE43" s="30" t="str">
        <f>IF(AND(BE$30,$O43),$D$30,"")</f>
        <v/>
      </c>
      <c r="BF43" s="30" t="str">
        <f>IF(AND(BF$30,$O43),$E$30,"")</f>
        <v/>
      </c>
      <c r="BG43" s="53" t="str">
        <f>IF(AND(BG$30,$O43),$F$30,"")</f>
        <v/>
      </c>
      <c r="BH43" s="29" t="str">
        <f>IF(AND(BH$30,$O43),$C$30,"")</f>
        <v/>
      </c>
      <c r="BI43" s="30" t="str">
        <f>IF(AND(BI$30,$O43),$D$30,"")</f>
        <v/>
      </c>
      <c r="BJ43" s="30" t="str">
        <f>IF(AND(BJ$30,$O43),$E$30,"")</f>
        <v/>
      </c>
      <c r="BK43" s="53" t="str">
        <f>IF(AND(BK$30,$O43),$F$30,"")</f>
        <v/>
      </c>
      <c r="BL43" s="29" t="str">
        <f>IF(AND(BL$30,$O43),$C$30,"")</f>
        <v/>
      </c>
      <c r="BM43" s="30" t="str">
        <f>IF(AND(BM$30,$O43),$D$30,"")</f>
        <v/>
      </c>
      <c r="BN43" s="30" t="str">
        <f>IF(AND(BN$30,$O43),$E$30,"")</f>
        <v/>
      </c>
      <c r="BO43" s="53" t="str">
        <f>IF(AND(BO$30,$O43),$F$30,"")</f>
        <v/>
      </c>
      <c r="BP43" s="29" t="str">
        <f>IF(AND(BP$30,$O43),$C$30,"")</f>
        <v/>
      </c>
      <c r="BQ43" s="30" t="str">
        <f>IF(AND(BQ$30,$O43),$D$30,"")</f>
        <v/>
      </c>
      <c r="BR43" s="30" t="str">
        <f>IF(AND(BR$30,$O43),$E$30,"")</f>
        <v/>
      </c>
      <c r="BS43" s="53" t="str">
        <f>IF(AND(BS$30,$O43),$F$30,"")</f>
        <v/>
      </c>
      <c r="BT43" s="29" t="str">
        <f>IF(AND(BT$30,$O43),$C$30,"")</f>
        <v/>
      </c>
      <c r="BU43" s="30" t="str">
        <f>IF(AND(BU$30,$O43),$D$30,"")</f>
        <v/>
      </c>
      <c r="BV43" s="30" t="str">
        <f>IF(AND(BV$30,$O43),$E$30,"")</f>
        <v/>
      </c>
      <c r="BW43" s="53" t="str">
        <f>IF(AND(BW$30,$O43),$F$30,"")</f>
        <v/>
      </c>
      <c r="BX43" s="29" t="str">
        <f>IF(AND(BX$30,$O43),$C$30,"")</f>
        <v/>
      </c>
      <c r="BY43" s="30" t="str">
        <f>IF(AND(BY$30,$O43),$D$30,"")</f>
        <v/>
      </c>
      <c r="BZ43" s="30" t="str">
        <f>IF(AND(BZ$30,$O43),$E$30,"")</f>
        <v/>
      </c>
      <c r="CA43" s="53" t="str">
        <f>IF(AND(CA$30,$O43),$F$30,"")</f>
        <v/>
      </c>
      <c r="CB43" s="29" t="str">
        <f>IF(AND(CB$30,$O43),$C$30,"")</f>
        <v/>
      </c>
      <c r="CC43" s="30" t="str">
        <f>IF(AND(CC$30,$O43),$D$30,"")</f>
        <v/>
      </c>
      <c r="CD43" s="30" t="str">
        <f>IF(AND(CD$30,$O43),$E$30,"")</f>
        <v/>
      </c>
      <c r="CE43" s="53" t="str">
        <f>IF(AND(CE$30,$O43),$F$30,"")</f>
        <v/>
      </c>
    </row>
    <row r="44" spans="1:83">
      <c r="L44" s="87"/>
      <c r="M44" s="36" t="str">
        <f t="shared" si="6"/>
        <v>-</v>
      </c>
      <c r="O44" s="82">
        <f>BinAnd(N43,T)</f>
        <v>0</v>
      </c>
      <c r="P44" s="31" t="str">
        <f>IF(AND(P$30,$O44),$C$31,"")</f>
        <v/>
      </c>
      <c r="Q44" s="32" t="str">
        <f>IF(AND(Q$30,$O44),$D$31,"")</f>
        <v/>
      </c>
      <c r="R44" s="32" t="str">
        <f>IF(AND(R$30,$O44),$E$31,"")</f>
        <v/>
      </c>
      <c r="S44" s="54" t="str">
        <f>IF(AND(S$30,$O44),$F$31,"")</f>
        <v/>
      </c>
      <c r="T44" s="31" t="str">
        <f>IF(AND(T$30,$O44),$C$31,"")</f>
        <v/>
      </c>
      <c r="U44" s="32" t="str">
        <f>IF(AND(U$30,$O44),$D$31,"")</f>
        <v/>
      </c>
      <c r="V44" s="32" t="str">
        <f>IF(AND(V$30,$O44),$E$31,"")</f>
        <v/>
      </c>
      <c r="W44" s="54" t="str">
        <f>IF(AND(W$30,$O44),$F$31,"")</f>
        <v/>
      </c>
      <c r="X44" s="31" t="str">
        <f>IF(AND(X$30,$O44),$C$31,"")</f>
        <v/>
      </c>
      <c r="Y44" s="32" t="str">
        <f>IF(AND(Y$30,$O44),$D$31,"")</f>
        <v/>
      </c>
      <c r="Z44" s="32" t="str">
        <f>IF(AND(Z$30,$O44),$E$31,"")</f>
        <v/>
      </c>
      <c r="AA44" s="54" t="str">
        <f>IF(AND(AA$30,$O44),$F$31,"")</f>
        <v/>
      </c>
      <c r="AB44" s="31" t="str">
        <f>IF(AND(AB$30,$O44),$C$31,"")</f>
        <v/>
      </c>
      <c r="AC44" s="32" t="str">
        <f>IF(AND(AC$30,$O44),$D$31,"")</f>
        <v/>
      </c>
      <c r="AD44" s="32" t="str">
        <f>IF(AND(AD$30,$O44),$E$31,"")</f>
        <v/>
      </c>
      <c r="AE44" s="54" t="str">
        <f>IF(AND(AE$30,$O44),$F$31,"")</f>
        <v/>
      </c>
      <c r="AF44" s="31" t="str">
        <f>IF(AND(AF$30,$O44),$C$31,"")</f>
        <v/>
      </c>
      <c r="AG44" s="32" t="str">
        <f>IF(AND(AG$30,$O44),$D$31,"")</f>
        <v/>
      </c>
      <c r="AH44" s="32" t="str">
        <f>IF(AND(AH$30,$O44),$E$31,"")</f>
        <v/>
      </c>
      <c r="AI44" s="54" t="str">
        <f>IF(AND(AI$30,$O44),$F$31,"")</f>
        <v/>
      </c>
      <c r="AJ44" s="31" t="str">
        <f>IF(AND(AJ$30,$O44),$C$31,"")</f>
        <v/>
      </c>
      <c r="AK44" s="32" t="str">
        <f>IF(AND(AK$30,$O44),$D$31,"")</f>
        <v/>
      </c>
      <c r="AL44" s="32" t="str">
        <f>IF(AND(AL$30,$O44),$E$31,"")</f>
        <v/>
      </c>
      <c r="AM44" s="54" t="str">
        <f>IF(AND(AM$30,$O44),$F$31,"")</f>
        <v/>
      </c>
      <c r="AN44" s="31" t="str">
        <f>IF(AND(AN$30,$O44),$C$31,"")</f>
        <v/>
      </c>
      <c r="AO44" s="32" t="str">
        <f>IF(AND(AO$30,$O44),$D$31,"")</f>
        <v/>
      </c>
      <c r="AP44" s="32" t="str">
        <f>IF(AND(AP$30,$O44),$E$31,"")</f>
        <v/>
      </c>
      <c r="AQ44" s="54" t="str">
        <f>IF(AND(AQ$30,$O44),$F$31,"")</f>
        <v/>
      </c>
      <c r="AR44" s="31" t="str">
        <f>IF(AND(AR$30,$O44),$C$31,"")</f>
        <v/>
      </c>
      <c r="AS44" s="32" t="str">
        <f>IF(AND(AS$30,$O44),$D$31,"")</f>
        <v/>
      </c>
      <c r="AT44" s="32" t="str">
        <f>IF(AND(AT$30,$O44),$E$31,"")</f>
        <v/>
      </c>
      <c r="AU44" s="54" t="str">
        <f>IF(AND(AU$30,$O44),$F$31,"")</f>
        <v/>
      </c>
      <c r="AV44" s="31" t="str">
        <f>IF(AND(AV$30,$O44),$C$31,"")</f>
        <v/>
      </c>
      <c r="AW44" s="32" t="str">
        <f>IF(AND(AW$30,$O44),$D$31,"")</f>
        <v/>
      </c>
      <c r="AX44" s="32" t="str">
        <f>IF(AND(AX$30,$O44),$E$31,"")</f>
        <v/>
      </c>
      <c r="AY44" s="54" t="str">
        <f>IF(AND(AY$30,$O44),$F$31,"")</f>
        <v/>
      </c>
      <c r="AZ44" s="31" t="str">
        <f>IF(AND(AZ$30,$O44),$C$31,"")</f>
        <v/>
      </c>
      <c r="BA44" s="32" t="str">
        <f>IF(AND(BA$30,$O44),$D$31,"")</f>
        <v/>
      </c>
      <c r="BB44" s="32" t="str">
        <f>IF(AND(BB$30,$O44),$E$31,"")</f>
        <v/>
      </c>
      <c r="BC44" s="54" t="str">
        <f>IF(AND(BC$30,$O44),$F$31,"")</f>
        <v/>
      </c>
      <c r="BD44" s="31" t="str">
        <f>IF(AND(BD$30,$O44),$C$31,"")</f>
        <v/>
      </c>
      <c r="BE44" s="32" t="str">
        <f>IF(AND(BE$30,$O44),$D$31,"")</f>
        <v/>
      </c>
      <c r="BF44" s="32" t="str">
        <f>IF(AND(BF$30,$O44),$E$31,"")</f>
        <v/>
      </c>
      <c r="BG44" s="54" t="str">
        <f>IF(AND(BG$30,$O44),$F$31,"")</f>
        <v/>
      </c>
      <c r="BH44" s="31" t="str">
        <f>IF(AND(BH$30,$O44),$C$31,"")</f>
        <v/>
      </c>
      <c r="BI44" s="32" t="str">
        <f>IF(AND(BI$30,$O44),$D$31,"")</f>
        <v/>
      </c>
      <c r="BJ44" s="32" t="str">
        <f>IF(AND(BJ$30,$O44),$E$31,"")</f>
        <v/>
      </c>
      <c r="BK44" s="54" t="str">
        <f>IF(AND(BK$30,$O44),$F$31,"")</f>
        <v/>
      </c>
      <c r="BL44" s="31" t="str">
        <f>IF(AND(BL$30,$O44),$C$31,"")</f>
        <v/>
      </c>
      <c r="BM44" s="32" t="str">
        <f>IF(AND(BM$30,$O44),$D$31,"")</f>
        <v/>
      </c>
      <c r="BN44" s="32" t="str">
        <f>IF(AND(BN$30,$O44),$E$31,"")</f>
        <v/>
      </c>
      <c r="BO44" s="54" t="str">
        <f>IF(AND(BO$30,$O44),$F$31,"")</f>
        <v/>
      </c>
      <c r="BP44" s="31" t="str">
        <f>IF(AND(BP$30,$O44),$C$31,"")</f>
        <v/>
      </c>
      <c r="BQ44" s="32" t="str">
        <f>IF(AND(BQ$30,$O44),$D$31,"")</f>
        <v/>
      </c>
      <c r="BR44" s="32" t="str">
        <f>IF(AND(BR$30,$O44),$E$31,"")</f>
        <v/>
      </c>
      <c r="BS44" s="54" t="str">
        <f>IF(AND(BS$30,$O44),$F$31,"")</f>
        <v/>
      </c>
      <c r="BT44" s="31" t="str">
        <f>IF(AND(BT$30,$O44),$C$31,"")</f>
        <v/>
      </c>
      <c r="BU44" s="32" t="str">
        <f>IF(AND(BU$30,$O44),$D$31,"")</f>
        <v/>
      </c>
      <c r="BV44" s="32" t="str">
        <f>IF(AND(BV$30,$O44),$E$31,"")</f>
        <v/>
      </c>
      <c r="BW44" s="54" t="str">
        <f>IF(AND(BW$30,$O44),$F$31,"")</f>
        <v/>
      </c>
      <c r="BX44" s="31" t="str">
        <f>IF(AND(BX$30,$O44),$C$31,"")</f>
        <v/>
      </c>
      <c r="BY44" s="32" t="str">
        <f>IF(AND(BY$30,$O44),$D$31,"")</f>
        <v/>
      </c>
      <c r="BZ44" s="32" t="str">
        <f>IF(AND(BZ$30,$O44),$E$31,"")</f>
        <v/>
      </c>
      <c r="CA44" s="54" t="str">
        <f>IF(AND(CA$30,$O44),$F$31,"")</f>
        <v/>
      </c>
      <c r="CB44" s="31" t="str">
        <f>IF(AND(CB$30,$O44),$C$31,"")</f>
        <v/>
      </c>
      <c r="CC44" s="32" t="str">
        <f>IF(AND(CC$30,$O44),$D$31,"")</f>
        <v/>
      </c>
      <c r="CD44" s="32" t="str">
        <f>IF(AND(CD$30,$O44),$E$31,"")</f>
        <v/>
      </c>
      <c r="CE44" s="54" t="str">
        <f>IF(AND(CE$30,$O44),$F$31,"")</f>
        <v/>
      </c>
    </row>
    <row r="45" spans="1:83">
      <c r="L45" s="87"/>
      <c r="M45" s="36" t="str">
        <f t="shared" si="6"/>
        <v>C</v>
      </c>
      <c r="O45" s="82">
        <f>BinAnd(N43,Ce)</f>
        <v>2</v>
      </c>
      <c r="P45" s="31" t="str">
        <f>IF(AND(P$30,$O45),$C$32,"")</f>
        <v/>
      </c>
      <c r="Q45" s="32" t="str">
        <f>IF(AND(Q$30,$O45),$D$32,"")</f>
        <v/>
      </c>
      <c r="R45" s="32" t="str">
        <f>IF(AND(R$30,$O45),$E$32,"")</f>
        <v/>
      </c>
      <c r="S45" s="54" t="str">
        <f>IF(AND(S$30,$O45),$F$32,"")</f>
        <v/>
      </c>
      <c r="T45" s="31" t="str">
        <f>IF(AND(T$30,$O45),$C$32,"")</f>
        <v/>
      </c>
      <c r="U45" s="32" t="str">
        <f>IF(AND(U$30,$O45),$D$32,"")</f>
        <v/>
      </c>
      <c r="V45" s="32" t="str">
        <f>IF(AND(V$30,$O45),$E$32,"")</f>
        <v/>
      </c>
      <c r="W45" s="54">
        <f>IF(AND(W$30,$O45),$F$32,"")</f>
        <v>25.5</v>
      </c>
      <c r="X45" s="31" t="str">
        <f>IF(AND(X$30,$O45),$C$32,"")</f>
        <v/>
      </c>
      <c r="Y45" s="32" t="str">
        <f>IF(AND(Y$30,$O45),$D$32,"")</f>
        <v/>
      </c>
      <c r="Z45" s="32">
        <f>IF(AND(Z$30,$O45),$E$32,"")</f>
        <v>15.6</v>
      </c>
      <c r="AA45" s="54" t="str">
        <f>IF(AND(AA$30,$O45),$F$32,"")</f>
        <v/>
      </c>
      <c r="AB45" s="31" t="str">
        <f>IF(AND(AB$30,$O45),$C$32,"")</f>
        <v/>
      </c>
      <c r="AC45" s="32" t="str">
        <f>IF(AND(AC$30,$O45),$D$32,"")</f>
        <v/>
      </c>
      <c r="AD45" s="32">
        <f>IF(AND(AD$30,$O45),$E$32,"")</f>
        <v>15.6</v>
      </c>
      <c r="AE45" s="54">
        <f>IF(AND(AE$30,$O45),$F$32,"")</f>
        <v>25.5</v>
      </c>
      <c r="AF45" s="31" t="str">
        <f>IF(AND(AF$30,$O45),$C$32,"")</f>
        <v/>
      </c>
      <c r="AG45" s="32">
        <f>IF(AND(AG$30,$O45),$D$32,"")</f>
        <v>16.100000000000001</v>
      </c>
      <c r="AH45" s="32" t="str">
        <f>IF(AND(AH$30,$O45),$E$32,"")</f>
        <v/>
      </c>
      <c r="AI45" s="54" t="str">
        <f>IF(AND(AI$30,$O45),$F$32,"")</f>
        <v/>
      </c>
      <c r="AJ45" s="31" t="str">
        <f>IF(AND(AJ$30,$O45),$C$32,"")</f>
        <v/>
      </c>
      <c r="AK45" s="32">
        <f>IF(AND(AK$30,$O45),$D$32,"")</f>
        <v>16.100000000000001</v>
      </c>
      <c r="AL45" s="32" t="str">
        <f>IF(AND(AL$30,$O45),$E$32,"")</f>
        <v/>
      </c>
      <c r="AM45" s="54">
        <f>IF(AND(AM$30,$O45),$F$32,"")</f>
        <v>25.5</v>
      </c>
      <c r="AN45" s="31" t="str">
        <f>IF(AND(AN$30,$O45),$C$32,"")</f>
        <v/>
      </c>
      <c r="AO45" s="32">
        <f>IF(AND(AO$30,$O45),$D$32,"")</f>
        <v>16.100000000000001</v>
      </c>
      <c r="AP45" s="32">
        <f>IF(AND(AP$30,$O45),$E$32,"")</f>
        <v>15.6</v>
      </c>
      <c r="AQ45" s="54" t="str">
        <f>IF(AND(AQ$30,$O45),$F$32,"")</f>
        <v/>
      </c>
      <c r="AR45" s="31" t="str">
        <f>IF(AND(AR$30,$O45),$C$32,"")</f>
        <v/>
      </c>
      <c r="AS45" s="32">
        <f>IF(AND(AS$30,$O45),$D$32,"")</f>
        <v>16.100000000000001</v>
      </c>
      <c r="AT45" s="32">
        <f>IF(AND(AT$30,$O45),$E$32,"")</f>
        <v>15.6</v>
      </c>
      <c r="AU45" s="54">
        <f>IF(AND(AU$30,$O45),$F$32,"")</f>
        <v>25.5</v>
      </c>
      <c r="AV45" s="31">
        <f>IF(AND(AV$30,$O45),$C$32,"")</f>
        <v>19.3</v>
      </c>
      <c r="AW45" s="32" t="str">
        <f>IF(AND(AW$30,$O45),$D$32,"")</f>
        <v/>
      </c>
      <c r="AX45" s="32" t="str">
        <f>IF(AND(AX$30,$O45),$E$32,"")</f>
        <v/>
      </c>
      <c r="AY45" s="54" t="str">
        <f>IF(AND(AY$30,$O45),$F$32,"")</f>
        <v/>
      </c>
      <c r="AZ45" s="31">
        <f>IF(AND(AZ$30,$O45),$C$32,"")</f>
        <v>19.3</v>
      </c>
      <c r="BA45" s="32" t="str">
        <f>IF(AND(BA$30,$O45),$D$32,"")</f>
        <v/>
      </c>
      <c r="BB45" s="32" t="str">
        <f>IF(AND(BB$30,$O45),$E$32,"")</f>
        <v/>
      </c>
      <c r="BC45" s="54">
        <f>IF(AND(BC$30,$O45),$F$32,"")</f>
        <v>25.5</v>
      </c>
      <c r="BD45" s="31">
        <f>IF(AND(BD$30,$O45),$C$32,"")</f>
        <v>19.3</v>
      </c>
      <c r="BE45" s="32" t="str">
        <f>IF(AND(BE$30,$O45),$D$32,"")</f>
        <v/>
      </c>
      <c r="BF45" s="32">
        <f>IF(AND(BF$30,$O45),$E$32,"")</f>
        <v>15.6</v>
      </c>
      <c r="BG45" s="54" t="str">
        <f>IF(AND(BG$30,$O45),$F$32,"")</f>
        <v/>
      </c>
      <c r="BH45" s="31">
        <f>IF(AND(BH$30,$O45),$C$32,"")</f>
        <v>19.3</v>
      </c>
      <c r="BI45" s="32" t="str">
        <f>IF(AND(BI$30,$O45),$D$32,"")</f>
        <v/>
      </c>
      <c r="BJ45" s="32">
        <f>IF(AND(BJ$30,$O45),$E$32,"")</f>
        <v>15.6</v>
      </c>
      <c r="BK45" s="54">
        <f>IF(AND(BK$30,$O45),$F$32,"")</f>
        <v>25.5</v>
      </c>
      <c r="BL45" s="31">
        <f>IF(AND(BL$30,$O45),$C$32,"")</f>
        <v>19.3</v>
      </c>
      <c r="BM45" s="32">
        <f>IF(AND(BM$30,$O45),$D$32,"")</f>
        <v>16.100000000000001</v>
      </c>
      <c r="BN45" s="32" t="str">
        <f>IF(AND(BN$30,$O45),$E$32,"")</f>
        <v/>
      </c>
      <c r="BO45" s="54" t="str">
        <f>IF(AND(BO$30,$O45),$F$32,"")</f>
        <v/>
      </c>
      <c r="BP45" s="31">
        <f>IF(AND(BP$30,$O45),$C$32,"")</f>
        <v>19.3</v>
      </c>
      <c r="BQ45" s="32">
        <f>IF(AND(BQ$30,$O45),$D$32,"")</f>
        <v>16.100000000000001</v>
      </c>
      <c r="BR45" s="32" t="str">
        <f>IF(AND(BR$30,$O45),$E$32,"")</f>
        <v/>
      </c>
      <c r="BS45" s="54">
        <f>IF(AND(BS$30,$O45),$F$32,"")</f>
        <v>25.5</v>
      </c>
      <c r="BT45" s="31">
        <f>IF(AND(BT$30,$O45),$C$32,"")</f>
        <v>19.3</v>
      </c>
      <c r="BU45" s="32">
        <f>IF(AND(BU$30,$O45),$D$32,"")</f>
        <v>16.100000000000001</v>
      </c>
      <c r="BV45" s="32">
        <f>IF(AND(BV$30,$O45),$E$32,"")</f>
        <v>15.6</v>
      </c>
      <c r="BW45" s="54" t="str">
        <f>IF(AND(BW$30,$O45),$F$32,"")</f>
        <v/>
      </c>
      <c r="BX45" s="31">
        <f>IF(AND(BX$30,$O45),$C$32,"")</f>
        <v>19.3</v>
      </c>
      <c r="BY45" s="32">
        <f>IF(AND(BY$30,$O45),$D$32,"")</f>
        <v>16.100000000000001</v>
      </c>
      <c r="BZ45" s="32">
        <f>IF(AND(BZ$30,$O45),$E$32,"")</f>
        <v>15.6</v>
      </c>
      <c r="CA45" s="54">
        <f>IF(AND(CA$30,$O45),$F$32,"")</f>
        <v>25.5</v>
      </c>
      <c r="CB45" s="31" t="str">
        <f>IF(AND(CB$30,$O45),$C$32,"")</f>
        <v/>
      </c>
      <c r="CC45" s="32" t="str">
        <f>IF(AND(CC$30,$O45),$D$32,"")</f>
        <v/>
      </c>
      <c r="CD45" s="32" t="str">
        <f>IF(AND(CD$30,$O45),$E$32,"")</f>
        <v/>
      </c>
      <c r="CE45" s="54" t="str">
        <f>IF(AND(CE$30,$O45),$F$32,"")</f>
        <v/>
      </c>
    </row>
    <row r="46" spans="1:83" ht="15.75" thickBot="1">
      <c r="L46" s="86"/>
      <c r="M46" s="37" t="str">
        <f t="shared" si="6"/>
        <v>G</v>
      </c>
      <c r="O46" s="43">
        <f>BinAnd(N43,G)</f>
        <v>1</v>
      </c>
      <c r="P46" s="55" t="str">
        <f>IF(AND(P$30,$O46),$C$33,"")</f>
        <v/>
      </c>
      <c r="Q46" s="56" t="str">
        <f>IF(AND(Q$30,$O46),$D$33,"")</f>
        <v/>
      </c>
      <c r="R46" s="56" t="str">
        <f>IF(AND(R$30,$O46),$E$33,"")</f>
        <v/>
      </c>
      <c r="S46" s="57" t="str">
        <f>IF(AND(S$30,$O46),$F$33,"")</f>
        <v/>
      </c>
      <c r="T46" s="55" t="str">
        <f>IF(AND(T$30,$O46),$C$33,"")</f>
        <v/>
      </c>
      <c r="U46" s="56" t="str">
        <f>IF(AND(U$30,$O46),$D$33,"")</f>
        <v/>
      </c>
      <c r="V46" s="56" t="str">
        <f>IF(AND(V$30,$O46),$E$33,"")</f>
        <v/>
      </c>
      <c r="W46" s="57">
        <f>IF(AND(W$30,$O46),$F$33,"")</f>
        <v>15.6</v>
      </c>
      <c r="X46" s="55" t="str">
        <f>IF(AND(X$30,$O46),$C$33,"")</f>
        <v/>
      </c>
      <c r="Y46" s="56" t="str">
        <f>IF(AND(Y$30,$O46),$D$33,"")</f>
        <v/>
      </c>
      <c r="Z46" s="56">
        <f>IF(AND(Z$30,$O46),$E$33,"")</f>
        <v>28.4</v>
      </c>
      <c r="AA46" s="57" t="str">
        <f>IF(AND(AA$30,$O46),$F$33,"")</f>
        <v/>
      </c>
      <c r="AB46" s="55" t="str">
        <f>IF(AND(AB$30,$O46),$C$33,"")</f>
        <v/>
      </c>
      <c r="AC46" s="56" t="str">
        <f>IF(AND(AC$30,$O46),$D$33,"")</f>
        <v/>
      </c>
      <c r="AD46" s="56">
        <f>IF(AND(AD$30,$O46),$E$33,"")</f>
        <v>28.4</v>
      </c>
      <c r="AE46" s="57">
        <f>IF(AND(AE$30,$O46),$F$33,"")</f>
        <v>15.6</v>
      </c>
      <c r="AF46" s="55" t="str">
        <f>IF(AND(AF$30,$O46),$C$33,"")</f>
        <v/>
      </c>
      <c r="AG46" s="56">
        <f>IF(AND(AG$30,$O46),$D$33,"")</f>
        <v>23</v>
      </c>
      <c r="AH46" s="56" t="str">
        <f>IF(AND(AH$30,$O46),$E$33,"")</f>
        <v/>
      </c>
      <c r="AI46" s="57" t="str">
        <f>IF(AND(AI$30,$O46),$F$33,"")</f>
        <v/>
      </c>
      <c r="AJ46" s="55" t="str">
        <f>IF(AND(AJ$30,$O46),$C$33,"")</f>
        <v/>
      </c>
      <c r="AK46" s="56">
        <f>IF(AND(AK$30,$O46),$D$33,"")</f>
        <v>23</v>
      </c>
      <c r="AL46" s="56" t="str">
        <f>IF(AND(AL$30,$O46),$E$33,"")</f>
        <v/>
      </c>
      <c r="AM46" s="57">
        <f>IF(AND(AM$30,$O46),$F$33,"")</f>
        <v>15.6</v>
      </c>
      <c r="AN46" s="55" t="str">
        <f>IF(AND(AN$30,$O46),$C$33,"")</f>
        <v/>
      </c>
      <c r="AO46" s="56">
        <f>IF(AND(AO$30,$O46),$D$33,"")</f>
        <v>23</v>
      </c>
      <c r="AP46" s="56">
        <f>IF(AND(AP$30,$O46),$E$33,"")</f>
        <v>28.4</v>
      </c>
      <c r="AQ46" s="57" t="str">
        <f>IF(AND(AQ$30,$O46),$F$33,"")</f>
        <v/>
      </c>
      <c r="AR46" s="55" t="str">
        <f>IF(AND(AR$30,$O46),$C$33,"")</f>
        <v/>
      </c>
      <c r="AS46" s="56">
        <f>IF(AND(AS$30,$O46),$D$33,"")</f>
        <v>23</v>
      </c>
      <c r="AT46" s="56">
        <f>IF(AND(AT$30,$O46),$E$33,"")</f>
        <v>28.4</v>
      </c>
      <c r="AU46" s="57">
        <f>IF(AND(AU$30,$O46),$F$33,"")</f>
        <v>15.6</v>
      </c>
      <c r="AV46" s="55">
        <f>IF(AND(AV$30,$O46),$C$33,"")</f>
        <v>20.3</v>
      </c>
      <c r="AW46" s="56" t="str">
        <f>IF(AND(AW$30,$O46),$D$33,"")</f>
        <v/>
      </c>
      <c r="AX46" s="56" t="str">
        <f>IF(AND(AX$30,$O46),$E$33,"")</f>
        <v/>
      </c>
      <c r="AY46" s="57" t="str">
        <f>IF(AND(AY$30,$O46),$F$33,"")</f>
        <v/>
      </c>
      <c r="AZ46" s="55">
        <f>IF(AND(AZ$30,$O46),$C$33,"")</f>
        <v>20.3</v>
      </c>
      <c r="BA46" s="56" t="str">
        <f>IF(AND(BA$30,$O46),$D$33,"")</f>
        <v/>
      </c>
      <c r="BB46" s="56" t="str">
        <f>IF(AND(BB$30,$O46),$E$33,"")</f>
        <v/>
      </c>
      <c r="BC46" s="57">
        <f>IF(AND(BC$30,$O46),$F$33,"")</f>
        <v>15.6</v>
      </c>
      <c r="BD46" s="55">
        <f>IF(AND(BD$30,$O46),$C$33,"")</f>
        <v>20.3</v>
      </c>
      <c r="BE46" s="56" t="str">
        <f>IF(AND(BE$30,$O46),$D$33,"")</f>
        <v/>
      </c>
      <c r="BF46" s="56">
        <f>IF(AND(BF$30,$O46),$E$33,"")</f>
        <v>28.4</v>
      </c>
      <c r="BG46" s="57" t="str">
        <f>IF(AND(BG$30,$O46),$F$33,"")</f>
        <v/>
      </c>
      <c r="BH46" s="55">
        <f>IF(AND(BH$30,$O46),$C$33,"")</f>
        <v>20.3</v>
      </c>
      <c r="BI46" s="56" t="str">
        <f>IF(AND(BI$30,$O46),$D$33,"")</f>
        <v/>
      </c>
      <c r="BJ46" s="56">
        <f>IF(AND(BJ$30,$O46),$E$33,"")</f>
        <v>28.4</v>
      </c>
      <c r="BK46" s="57">
        <f>IF(AND(BK$30,$O46),$F$33,"")</f>
        <v>15.6</v>
      </c>
      <c r="BL46" s="55">
        <f>IF(AND(BL$30,$O46),$C$33,"")</f>
        <v>20.3</v>
      </c>
      <c r="BM46" s="56">
        <f>IF(AND(BM$30,$O46),$D$33,"")</f>
        <v>23</v>
      </c>
      <c r="BN46" s="56" t="str">
        <f>IF(AND(BN$30,$O46),$E$33,"")</f>
        <v/>
      </c>
      <c r="BO46" s="57" t="str">
        <f>IF(AND(BO$30,$O46),$F$33,"")</f>
        <v/>
      </c>
      <c r="BP46" s="55">
        <f>IF(AND(BP$30,$O46),$C$33,"")</f>
        <v>20.3</v>
      </c>
      <c r="BQ46" s="56">
        <f>IF(AND(BQ$30,$O46),$D$33,"")</f>
        <v>23</v>
      </c>
      <c r="BR46" s="56" t="str">
        <f>IF(AND(BR$30,$O46),$E$33,"")</f>
        <v/>
      </c>
      <c r="BS46" s="57">
        <f>IF(AND(BS$30,$O46),$F$33,"")</f>
        <v>15.6</v>
      </c>
      <c r="BT46" s="55">
        <f>IF(AND(BT$30,$O46),$C$33,"")</f>
        <v>20.3</v>
      </c>
      <c r="BU46" s="56">
        <f>IF(AND(BU$30,$O46),$D$33,"")</f>
        <v>23</v>
      </c>
      <c r="BV46" s="56">
        <f>IF(AND(BV$30,$O46),$E$33,"")</f>
        <v>28.4</v>
      </c>
      <c r="BW46" s="57" t="str">
        <f>IF(AND(BW$30,$O46),$F$33,"")</f>
        <v/>
      </c>
      <c r="BX46" s="55">
        <f>IF(AND(BX$30,$O46),$C$33,"")</f>
        <v>20.3</v>
      </c>
      <c r="BY46" s="56">
        <f>IF(AND(BY$30,$O46),$D$33,"")</f>
        <v>23</v>
      </c>
      <c r="BZ46" s="56">
        <f>IF(AND(BZ$30,$O46),$E$33,"")</f>
        <v>28.4</v>
      </c>
      <c r="CA46" s="57">
        <f>IF(AND(CA$30,$O46),$F$33,"")</f>
        <v>15.6</v>
      </c>
      <c r="CB46" s="55" t="str">
        <f>IF(AND(CB$30,$O46),$C$33,"")</f>
        <v/>
      </c>
      <c r="CC46" s="56" t="str">
        <f>IF(AND(CC$30,$O46),$D$33,"")</f>
        <v/>
      </c>
      <c r="CD46" s="56" t="str">
        <f>IF(AND(CD$30,$O46),$E$33,"")</f>
        <v/>
      </c>
      <c r="CE46" s="57" t="str">
        <f>IF(AND(CE$30,$O46),$F$33,"")</f>
        <v/>
      </c>
    </row>
    <row r="47" spans="1:83">
      <c r="L47" s="83" t="str">
        <f>MID(CodDegElegir,N47+1,1)</f>
        <v>T</v>
      </c>
      <c r="M47" s="85" t="str">
        <f t="shared" si="6"/>
        <v>-</v>
      </c>
      <c r="N47">
        <v>4</v>
      </c>
      <c r="O47" s="81">
        <f>BinAnd(N47,A)</f>
        <v>0</v>
      </c>
      <c r="P47" s="29" t="str">
        <f>IF(AND(P$30,$O47),$C$30,"")</f>
        <v/>
      </c>
      <c r="Q47" s="30" t="str">
        <f>IF(AND(Q$30,$O47),$D$30,"")</f>
        <v/>
      </c>
      <c r="R47" s="30" t="str">
        <f>IF(AND(R$30,$O47),$E$30,"")</f>
        <v/>
      </c>
      <c r="S47" s="53" t="str">
        <f>IF(AND(S$30,$O47),$F$30,"")</f>
        <v/>
      </c>
      <c r="T47" s="29" t="str">
        <f>IF(AND(T$30,$O47),$C$30,"")</f>
        <v/>
      </c>
      <c r="U47" s="30" t="str">
        <f>IF(AND(U$30,$O47),$D$30,"")</f>
        <v/>
      </c>
      <c r="V47" s="30" t="str">
        <f>IF(AND(V$30,$O47),$E$30,"")</f>
        <v/>
      </c>
      <c r="W47" s="53" t="str">
        <f>IF(AND(W$30,$O47),$F$30,"")</f>
        <v/>
      </c>
      <c r="X47" s="29" t="str">
        <f>IF(AND(X$30,$O47),$C$30,"")</f>
        <v/>
      </c>
      <c r="Y47" s="30" t="str">
        <f>IF(AND(Y$30,$O47),$D$30,"")</f>
        <v/>
      </c>
      <c r="Z47" s="30" t="str">
        <f>IF(AND(Z$30,$O47),$E$30,"")</f>
        <v/>
      </c>
      <c r="AA47" s="53" t="str">
        <f>IF(AND(AA$30,$O47),$F$30,"")</f>
        <v/>
      </c>
      <c r="AB47" s="29" t="str">
        <f>IF(AND(AB$30,$O47),$C$30,"")</f>
        <v/>
      </c>
      <c r="AC47" s="30" t="str">
        <f>IF(AND(AC$30,$O47),$D$30,"")</f>
        <v/>
      </c>
      <c r="AD47" s="30" t="str">
        <f>IF(AND(AD$30,$O47),$E$30,"")</f>
        <v/>
      </c>
      <c r="AE47" s="53" t="str">
        <f>IF(AND(AE$30,$O47),$F$30,"")</f>
        <v/>
      </c>
      <c r="AF47" s="29" t="str">
        <f>IF(AND(AF$30,$O47),$C$30,"")</f>
        <v/>
      </c>
      <c r="AG47" s="30" t="str">
        <f>IF(AND(AG$30,$O47),$D$30,"")</f>
        <v/>
      </c>
      <c r="AH47" s="30" t="str">
        <f>IF(AND(AH$30,$O47),$E$30,"")</f>
        <v/>
      </c>
      <c r="AI47" s="53" t="str">
        <f>IF(AND(AI$30,$O47),$F$30,"")</f>
        <v/>
      </c>
      <c r="AJ47" s="29" t="str">
        <f>IF(AND(AJ$30,$O47),$C$30,"")</f>
        <v/>
      </c>
      <c r="AK47" s="30" t="str">
        <f>IF(AND(AK$30,$O47),$D$30,"")</f>
        <v/>
      </c>
      <c r="AL47" s="30" t="str">
        <f>IF(AND(AL$30,$O47),$E$30,"")</f>
        <v/>
      </c>
      <c r="AM47" s="53" t="str">
        <f>IF(AND(AM$30,$O47),$F$30,"")</f>
        <v/>
      </c>
      <c r="AN47" s="29" t="str">
        <f>IF(AND(AN$30,$O47),$C$30,"")</f>
        <v/>
      </c>
      <c r="AO47" s="30" t="str">
        <f>IF(AND(AO$30,$O47),$D$30,"")</f>
        <v/>
      </c>
      <c r="AP47" s="30" t="str">
        <f>IF(AND(AP$30,$O47),$E$30,"")</f>
        <v/>
      </c>
      <c r="AQ47" s="53" t="str">
        <f>IF(AND(AQ$30,$O47),$F$30,"")</f>
        <v/>
      </c>
      <c r="AR47" s="29" t="str">
        <f>IF(AND(AR$30,$O47),$C$30,"")</f>
        <v/>
      </c>
      <c r="AS47" s="30" t="str">
        <f>IF(AND(AS$30,$O47),$D$30,"")</f>
        <v/>
      </c>
      <c r="AT47" s="30" t="str">
        <f>IF(AND(AT$30,$O47),$E$30,"")</f>
        <v/>
      </c>
      <c r="AU47" s="53" t="str">
        <f>IF(AND(AU$30,$O47),$F$30,"")</f>
        <v/>
      </c>
      <c r="AV47" s="29" t="str">
        <f>IF(AND(AV$30,$O47),$C$30,"")</f>
        <v/>
      </c>
      <c r="AW47" s="30" t="str">
        <f>IF(AND(AW$30,$O47),$D$30,"")</f>
        <v/>
      </c>
      <c r="AX47" s="30" t="str">
        <f>IF(AND(AX$30,$O47),$E$30,"")</f>
        <v/>
      </c>
      <c r="AY47" s="53" t="str">
        <f>IF(AND(AY$30,$O47),$F$30,"")</f>
        <v/>
      </c>
      <c r="AZ47" s="29" t="str">
        <f>IF(AND(AZ$30,$O47),$C$30,"")</f>
        <v/>
      </c>
      <c r="BA47" s="30" t="str">
        <f>IF(AND(BA$30,$O47),$D$30,"")</f>
        <v/>
      </c>
      <c r="BB47" s="30" t="str">
        <f>IF(AND(BB$30,$O47),$E$30,"")</f>
        <v/>
      </c>
      <c r="BC47" s="53" t="str">
        <f>IF(AND(BC$30,$O47),$F$30,"")</f>
        <v/>
      </c>
      <c r="BD47" s="29" t="str">
        <f>IF(AND(BD$30,$O47),$C$30,"")</f>
        <v/>
      </c>
      <c r="BE47" s="30" t="str">
        <f>IF(AND(BE$30,$O47),$D$30,"")</f>
        <v/>
      </c>
      <c r="BF47" s="30" t="str">
        <f>IF(AND(BF$30,$O47),$E$30,"")</f>
        <v/>
      </c>
      <c r="BG47" s="53" t="str">
        <f>IF(AND(BG$30,$O47),$F$30,"")</f>
        <v/>
      </c>
      <c r="BH47" s="29" t="str">
        <f>IF(AND(BH$30,$O47),$C$30,"")</f>
        <v/>
      </c>
      <c r="BI47" s="30" t="str">
        <f>IF(AND(BI$30,$O47),$D$30,"")</f>
        <v/>
      </c>
      <c r="BJ47" s="30" t="str">
        <f>IF(AND(BJ$30,$O47),$E$30,"")</f>
        <v/>
      </c>
      <c r="BK47" s="53" t="str">
        <f>IF(AND(BK$30,$O47),$F$30,"")</f>
        <v/>
      </c>
      <c r="BL47" s="29" t="str">
        <f>IF(AND(BL$30,$O47),$C$30,"")</f>
        <v/>
      </c>
      <c r="BM47" s="30" t="str">
        <f>IF(AND(BM$30,$O47),$D$30,"")</f>
        <v/>
      </c>
      <c r="BN47" s="30" t="str">
        <f>IF(AND(BN$30,$O47),$E$30,"")</f>
        <v/>
      </c>
      <c r="BO47" s="53" t="str">
        <f>IF(AND(BO$30,$O47),$F$30,"")</f>
        <v/>
      </c>
      <c r="BP47" s="29" t="str">
        <f>IF(AND(BP$30,$O47),$C$30,"")</f>
        <v/>
      </c>
      <c r="BQ47" s="30" t="str">
        <f>IF(AND(BQ$30,$O47),$D$30,"")</f>
        <v/>
      </c>
      <c r="BR47" s="30" t="str">
        <f>IF(AND(BR$30,$O47),$E$30,"")</f>
        <v/>
      </c>
      <c r="BS47" s="53" t="str">
        <f>IF(AND(BS$30,$O47),$F$30,"")</f>
        <v/>
      </c>
      <c r="BT47" s="29" t="str">
        <f>IF(AND(BT$30,$O47),$C$30,"")</f>
        <v/>
      </c>
      <c r="BU47" s="30" t="str">
        <f>IF(AND(BU$30,$O47),$D$30,"")</f>
        <v/>
      </c>
      <c r="BV47" s="30" t="str">
        <f>IF(AND(BV$30,$O47),$E$30,"")</f>
        <v/>
      </c>
      <c r="BW47" s="53" t="str">
        <f>IF(AND(BW$30,$O47),$F$30,"")</f>
        <v/>
      </c>
      <c r="BX47" s="29" t="str">
        <f>IF(AND(BX$30,$O47),$C$30,"")</f>
        <v/>
      </c>
      <c r="BY47" s="30" t="str">
        <f>IF(AND(BY$30,$O47),$D$30,"")</f>
        <v/>
      </c>
      <c r="BZ47" s="30" t="str">
        <f>IF(AND(BZ$30,$O47),$E$30,"")</f>
        <v/>
      </c>
      <c r="CA47" s="53" t="str">
        <f>IF(AND(CA$30,$O47),$F$30,"")</f>
        <v/>
      </c>
      <c r="CB47" s="29" t="str">
        <f>IF(AND(CB$30,$O47),$C$30,"")</f>
        <v/>
      </c>
      <c r="CC47" s="30" t="str">
        <f>IF(AND(CC$30,$O47),$D$30,"")</f>
        <v/>
      </c>
      <c r="CD47" s="30" t="str">
        <f>IF(AND(CD$30,$O47),$E$30,"")</f>
        <v/>
      </c>
      <c r="CE47" s="53" t="str">
        <f>IF(AND(CE$30,$O47),$F$30,"")</f>
        <v/>
      </c>
    </row>
    <row r="48" spans="1:83">
      <c r="L48" s="87"/>
      <c r="M48" s="36" t="str">
        <f t="shared" si="6"/>
        <v>T</v>
      </c>
      <c r="O48" s="82">
        <f>BinAnd(N47,T)</f>
        <v>4</v>
      </c>
      <c r="P48" s="31" t="str">
        <f>IF(AND(P$30,$O48),$C$31,"")</f>
        <v/>
      </c>
      <c r="Q48" s="32" t="str">
        <f>IF(AND(Q$30,$O48),$D$31,"")</f>
        <v/>
      </c>
      <c r="R48" s="32" t="str">
        <f>IF(AND(R$30,$O48),$E$31,"")</f>
        <v/>
      </c>
      <c r="S48" s="54" t="str">
        <f>IF(AND(S$30,$O48),$F$31,"")</f>
        <v/>
      </c>
      <c r="T48" s="31" t="str">
        <f>IF(AND(T$30,$O48),$C$31,"")</f>
        <v/>
      </c>
      <c r="U48" s="32" t="str">
        <f>IF(AND(U$30,$O48),$D$31,"")</f>
        <v/>
      </c>
      <c r="V48" s="32" t="str">
        <f>IF(AND(V$30,$O48),$E$31,"")</f>
        <v/>
      </c>
      <c r="W48" s="54">
        <f>IF(AND(W$30,$O48),$F$31,"")</f>
        <v>19.3</v>
      </c>
      <c r="X48" s="31" t="str">
        <f>IF(AND(X$30,$O48),$C$31,"")</f>
        <v/>
      </c>
      <c r="Y48" s="32" t="str">
        <f>IF(AND(Y$30,$O48),$D$31,"")</f>
        <v/>
      </c>
      <c r="Z48" s="32">
        <f>IF(AND(Z$30,$O48),$E$31,"")</f>
        <v>20.3</v>
      </c>
      <c r="AA48" s="54" t="str">
        <f>IF(AND(AA$30,$O48),$F$31,"")</f>
        <v/>
      </c>
      <c r="AB48" s="31" t="str">
        <f>IF(AND(AB$30,$O48),$C$31,"")</f>
        <v/>
      </c>
      <c r="AC48" s="32" t="str">
        <f>IF(AND(AC$30,$O48),$D$31,"")</f>
        <v/>
      </c>
      <c r="AD48" s="32">
        <f>IF(AND(AD$30,$O48),$E$31,"")</f>
        <v>20.3</v>
      </c>
      <c r="AE48" s="54">
        <f>IF(AND(AE$30,$O48),$F$31,"")</f>
        <v>19.3</v>
      </c>
      <c r="AF48" s="31" t="str">
        <f>IF(AND(AF$30,$O48),$C$31,"")</f>
        <v/>
      </c>
      <c r="AG48" s="32">
        <f>IF(AND(AG$30,$O48),$D$31,"")</f>
        <v>23.6</v>
      </c>
      <c r="AH48" s="32" t="str">
        <f>IF(AND(AH$30,$O48),$E$31,"")</f>
        <v/>
      </c>
      <c r="AI48" s="54" t="str">
        <f>IF(AND(AI$30,$O48),$F$31,"")</f>
        <v/>
      </c>
      <c r="AJ48" s="31" t="str">
        <f>IF(AND(AJ$30,$O48),$C$31,"")</f>
        <v/>
      </c>
      <c r="AK48" s="32">
        <f>IF(AND(AK$30,$O48),$D$31,"")</f>
        <v>23.6</v>
      </c>
      <c r="AL48" s="32" t="str">
        <f>IF(AND(AL$30,$O48),$E$31,"")</f>
        <v/>
      </c>
      <c r="AM48" s="54">
        <f>IF(AND(AM$30,$O48),$F$31,"")</f>
        <v>19.3</v>
      </c>
      <c r="AN48" s="31" t="str">
        <f>IF(AND(AN$30,$O48),$C$31,"")</f>
        <v/>
      </c>
      <c r="AO48" s="32">
        <f>IF(AND(AO$30,$O48),$D$31,"")</f>
        <v>23.6</v>
      </c>
      <c r="AP48" s="32">
        <f>IF(AND(AP$30,$O48),$E$31,"")</f>
        <v>20.3</v>
      </c>
      <c r="AQ48" s="54" t="str">
        <f>IF(AND(AQ$30,$O48),$F$31,"")</f>
        <v/>
      </c>
      <c r="AR48" s="31" t="str">
        <f>IF(AND(AR$30,$O48),$C$31,"")</f>
        <v/>
      </c>
      <c r="AS48" s="32">
        <f>IF(AND(AS$30,$O48),$D$31,"")</f>
        <v>23.6</v>
      </c>
      <c r="AT48" s="32">
        <f>IF(AND(AT$30,$O48),$E$31,"")</f>
        <v>20.3</v>
      </c>
      <c r="AU48" s="54">
        <f>IF(AND(AU$30,$O48),$F$31,"")</f>
        <v>19.3</v>
      </c>
      <c r="AV48" s="31">
        <f>IF(AND(AV$30,$O48),$C$31,"")</f>
        <v>18.5</v>
      </c>
      <c r="AW48" s="32" t="str">
        <f>IF(AND(AW$30,$O48),$D$31,"")</f>
        <v/>
      </c>
      <c r="AX48" s="32" t="str">
        <f>IF(AND(AX$30,$O48),$E$31,"")</f>
        <v/>
      </c>
      <c r="AY48" s="54" t="str">
        <f>IF(AND(AY$30,$O48),$F$31,"")</f>
        <v/>
      </c>
      <c r="AZ48" s="31">
        <f>IF(AND(AZ$30,$O48),$C$31,"")</f>
        <v>18.5</v>
      </c>
      <c r="BA48" s="32" t="str">
        <f>IF(AND(BA$30,$O48),$D$31,"")</f>
        <v/>
      </c>
      <c r="BB48" s="32" t="str">
        <f>IF(AND(BB$30,$O48),$E$31,"")</f>
        <v/>
      </c>
      <c r="BC48" s="54">
        <f>IF(AND(BC$30,$O48),$F$31,"")</f>
        <v>19.3</v>
      </c>
      <c r="BD48" s="31">
        <f>IF(AND(BD$30,$O48),$C$31,"")</f>
        <v>18.5</v>
      </c>
      <c r="BE48" s="32" t="str">
        <f>IF(AND(BE$30,$O48),$D$31,"")</f>
        <v/>
      </c>
      <c r="BF48" s="32">
        <f>IF(AND(BF$30,$O48),$E$31,"")</f>
        <v>20.3</v>
      </c>
      <c r="BG48" s="54" t="str">
        <f>IF(AND(BG$30,$O48),$F$31,"")</f>
        <v/>
      </c>
      <c r="BH48" s="31">
        <f>IF(AND(BH$30,$O48),$C$31,"")</f>
        <v>18.5</v>
      </c>
      <c r="BI48" s="32" t="str">
        <f>IF(AND(BI$30,$O48),$D$31,"")</f>
        <v/>
      </c>
      <c r="BJ48" s="32">
        <f>IF(AND(BJ$30,$O48),$E$31,"")</f>
        <v>20.3</v>
      </c>
      <c r="BK48" s="54">
        <f>IF(AND(BK$30,$O48),$F$31,"")</f>
        <v>19.3</v>
      </c>
      <c r="BL48" s="31">
        <f>IF(AND(BL$30,$O48),$C$31,"")</f>
        <v>18.5</v>
      </c>
      <c r="BM48" s="32">
        <f>IF(AND(BM$30,$O48),$D$31,"")</f>
        <v>23.6</v>
      </c>
      <c r="BN48" s="32" t="str">
        <f>IF(AND(BN$30,$O48),$E$31,"")</f>
        <v/>
      </c>
      <c r="BO48" s="54" t="str">
        <f>IF(AND(BO$30,$O48),$F$31,"")</f>
        <v/>
      </c>
      <c r="BP48" s="31">
        <f>IF(AND(BP$30,$O48),$C$31,"")</f>
        <v>18.5</v>
      </c>
      <c r="BQ48" s="32">
        <f>IF(AND(BQ$30,$O48),$D$31,"")</f>
        <v>23.6</v>
      </c>
      <c r="BR48" s="32" t="str">
        <f>IF(AND(BR$30,$O48),$E$31,"")</f>
        <v/>
      </c>
      <c r="BS48" s="54">
        <f>IF(AND(BS$30,$O48),$F$31,"")</f>
        <v>19.3</v>
      </c>
      <c r="BT48" s="31">
        <f>IF(AND(BT$30,$O48),$C$31,"")</f>
        <v>18.5</v>
      </c>
      <c r="BU48" s="32">
        <f>IF(AND(BU$30,$O48),$D$31,"")</f>
        <v>23.6</v>
      </c>
      <c r="BV48" s="32">
        <f>IF(AND(BV$30,$O48),$E$31,"")</f>
        <v>20.3</v>
      </c>
      <c r="BW48" s="54" t="str">
        <f>IF(AND(BW$30,$O48),$F$31,"")</f>
        <v/>
      </c>
      <c r="BX48" s="31">
        <f>IF(AND(BX$30,$O48),$C$31,"")</f>
        <v>18.5</v>
      </c>
      <c r="BY48" s="32">
        <f>IF(AND(BY$30,$O48),$D$31,"")</f>
        <v>23.6</v>
      </c>
      <c r="BZ48" s="32">
        <f>IF(AND(BZ$30,$O48),$E$31,"")</f>
        <v>20.3</v>
      </c>
      <c r="CA48" s="54">
        <f>IF(AND(CA$30,$O48),$F$31,"")</f>
        <v>19.3</v>
      </c>
      <c r="CB48" s="31" t="str">
        <f>IF(AND(CB$30,$O48),$C$31,"")</f>
        <v/>
      </c>
      <c r="CC48" s="32" t="str">
        <f>IF(AND(CC$30,$O48),$D$31,"")</f>
        <v/>
      </c>
      <c r="CD48" s="32" t="str">
        <f>IF(AND(CD$30,$O48),$E$31,"")</f>
        <v/>
      </c>
      <c r="CE48" s="54" t="str">
        <f>IF(AND(CE$30,$O48),$F$31,"")</f>
        <v/>
      </c>
    </row>
    <row r="49" spans="12:83">
      <c r="L49" s="87"/>
      <c r="M49" s="36" t="str">
        <f t="shared" si="6"/>
        <v>-</v>
      </c>
      <c r="O49" s="82">
        <f>BinAnd(N47,Ce)</f>
        <v>0</v>
      </c>
      <c r="P49" s="31" t="str">
        <f>IF(AND(P$30,$O49),$C$32,"")</f>
        <v/>
      </c>
      <c r="Q49" s="32" t="str">
        <f>IF(AND(Q$30,$O49),$D$32,"")</f>
        <v/>
      </c>
      <c r="R49" s="32" t="str">
        <f>IF(AND(R$30,$O49),$E$32,"")</f>
        <v/>
      </c>
      <c r="S49" s="54" t="str">
        <f>IF(AND(S$30,$O49),$F$32,"")</f>
        <v/>
      </c>
      <c r="T49" s="31" t="str">
        <f>IF(AND(T$30,$O49),$C$32,"")</f>
        <v/>
      </c>
      <c r="U49" s="32" t="str">
        <f>IF(AND(U$30,$O49),$D$32,"")</f>
        <v/>
      </c>
      <c r="V49" s="32" t="str">
        <f>IF(AND(V$30,$O49),$E$32,"")</f>
        <v/>
      </c>
      <c r="W49" s="54" t="str">
        <f>IF(AND(W$30,$O49),$F$32,"")</f>
        <v/>
      </c>
      <c r="X49" s="31" t="str">
        <f>IF(AND(X$30,$O49),$C$32,"")</f>
        <v/>
      </c>
      <c r="Y49" s="32" t="str">
        <f>IF(AND(Y$30,$O49),$D$32,"")</f>
        <v/>
      </c>
      <c r="Z49" s="32" t="str">
        <f>IF(AND(Z$30,$O49),$E$32,"")</f>
        <v/>
      </c>
      <c r="AA49" s="54" t="str">
        <f>IF(AND(AA$30,$O49),$F$32,"")</f>
        <v/>
      </c>
      <c r="AB49" s="31" t="str">
        <f>IF(AND(AB$30,$O49),$C$32,"")</f>
        <v/>
      </c>
      <c r="AC49" s="32" t="str">
        <f>IF(AND(AC$30,$O49),$D$32,"")</f>
        <v/>
      </c>
      <c r="AD49" s="32" t="str">
        <f>IF(AND(AD$30,$O49),$E$32,"")</f>
        <v/>
      </c>
      <c r="AE49" s="54" t="str">
        <f>IF(AND(AE$30,$O49),$F$32,"")</f>
        <v/>
      </c>
      <c r="AF49" s="31" t="str">
        <f>IF(AND(AF$30,$O49),$C$32,"")</f>
        <v/>
      </c>
      <c r="AG49" s="32" t="str">
        <f>IF(AND(AG$30,$O49),$D$32,"")</f>
        <v/>
      </c>
      <c r="AH49" s="32" t="str">
        <f>IF(AND(AH$30,$O49),$E$32,"")</f>
        <v/>
      </c>
      <c r="AI49" s="54" t="str">
        <f>IF(AND(AI$30,$O49),$F$32,"")</f>
        <v/>
      </c>
      <c r="AJ49" s="31" t="str">
        <f>IF(AND(AJ$30,$O49),$C$32,"")</f>
        <v/>
      </c>
      <c r="AK49" s="32" t="str">
        <f>IF(AND(AK$30,$O49),$D$32,"")</f>
        <v/>
      </c>
      <c r="AL49" s="32" t="str">
        <f>IF(AND(AL$30,$O49),$E$32,"")</f>
        <v/>
      </c>
      <c r="AM49" s="54" t="str">
        <f>IF(AND(AM$30,$O49),$F$32,"")</f>
        <v/>
      </c>
      <c r="AN49" s="31" t="str">
        <f>IF(AND(AN$30,$O49),$C$32,"")</f>
        <v/>
      </c>
      <c r="AO49" s="32" t="str">
        <f>IF(AND(AO$30,$O49),$D$32,"")</f>
        <v/>
      </c>
      <c r="AP49" s="32" t="str">
        <f>IF(AND(AP$30,$O49),$E$32,"")</f>
        <v/>
      </c>
      <c r="AQ49" s="54" t="str">
        <f>IF(AND(AQ$30,$O49),$F$32,"")</f>
        <v/>
      </c>
      <c r="AR49" s="31" t="str">
        <f>IF(AND(AR$30,$O49),$C$32,"")</f>
        <v/>
      </c>
      <c r="AS49" s="32" t="str">
        <f>IF(AND(AS$30,$O49),$D$32,"")</f>
        <v/>
      </c>
      <c r="AT49" s="32" t="str">
        <f>IF(AND(AT$30,$O49),$E$32,"")</f>
        <v/>
      </c>
      <c r="AU49" s="54" t="str">
        <f>IF(AND(AU$30,$O49),$F$32,"")</f>
        <v/>
      </c>
      <c r="AV49" s="31" t="str">
        <f>IF(AND(AV$30,$O49),$C$32,"")</f>
        <v/>
      </c>
      <c r="AW49" s="32" t="str">
        <f>IF(AND(AW$30,$O49),$D$32,"")</f>
        <v/>
      </c>
      <c r="AX49" s="32" t="str">
        <f>IF(AND(AX$30,$O49),$E$32,"")</f>
        <v/>
      </c>
      <c r="AY49" s="54" t="str">
        <f>IF(AND(AY$30,$O49),$F$32,"")</f>
        <v/>
      </c>
      <c r="AZ49" s="31" t="str">
        <f>IF(AND(AZ$30,$O49),$C$32,"")</f>
        <v/>
      </c>
      <c r="BA49" s="32" t="str">
        <f>IF(AND(BA$30,$O49),$D$32,"")</f>
        <v/>
      </c>
      <c r="BB49" s="32" t="str">
        <f>IF(AND(BB$30,$O49),$E$32,"")</f>
        <v/>
      </c>
      <c r="BC49" s="54" t="str">
        <f>IF(AND(BC$30,$O49),$F$32,"")</f>
        <v/>
      </c>
      <c r="BD49" s="31" t="str">
        <f>IF(AND(BD$30,$O49),$C$32,"")</f>
        <v/>
      </c>
      <c r="BE49" s="32" t="str">
        <f>IF(AND(BE$30,$O49),$D$32,"")</f>
        <v/>
      </c>
      <c r="BF49" s="32" t="str">
        <f>IF(AND(BF$30,$O49),$E$32,"")</f>
        <v/>
      </c>
      <c r="BG49" s="54" t="str">
        <f>IF(AND(BG$30,$O49),$F$32,"")</f>
        <v/>
      </c>
      <c r="BH49" s="31" t="str">
        <f>IF(AND(BH$30,$O49),$C$32,"")</f>
        <v/>
      </c>
      <c r="BI49" s="32" t="str">
        <f>IF(AND(BI$30,$O49),$D$32,"")</f>
        <v/>
      </c>
      <c r="BJ49" s="32" t="str">
        <f>IF(AND(BJ$30,$O49),$E$32,"")</f>
        <v/>
      </c>
      <c r="BK49" s="54" t="str">
        <f>IF(AND(BK$30,$O49),$F$32,"")</f>
        <v/>
      </c>
      <c r="BL49" s="31" t="str">
        <f>IF(AND(BL$30,$O49),$C$32,"")</f>
        <v/>
      </c>
      <c r="BM49" s="32" t="str">
        <f>IF(AND(BM$30,$O49),$D$32,"")</f>
        <v/>
      </c>
      <c r="BN49" s="32" t="str">
        <f>IF(AND(BN$30,$O49),$E$32,"")</f>
        <v/>
      </c>
      <c r="BO49" s="54" t="str">
        <f>IF(AND(BO$30,$O49),$F$32,"")</f>
        <v/>
      </c>
      <c r="BP49" s="31" t="str">
        <f>IF(AND(BP$30,$O49),$C$32,"")</f>
        <v/>
      </c>
      <c r="BQ49" s="32" t="str">
        <f>IF(AND(BQ$30,$O49),$D$32,"")</f>
        <v/>
      </c>
      <c r="BR49" s="32" t="str">
        <f>IF(AND(BR$30,$O49),$E$32,"")</f>
        <v/>
      </c>
      <c r="BS49" s="54" t="str">
        <f>IF(AND(BS$30,$O49),$F$32,"")</f>
        <v/>
      </c>
      <c r="BT49" s="31" t="str">
        <f>IF(AND(BT$30,$O49),$C$32,"")</f>
        <v/>
      </c>
      <c r="BU49" s="32" t="str">
        <f>IF(AND(BU$30,$O49),$D$32,"")</f>
        <v/>
      </c>
      <c r="BV49" s="32" t="str">
        <f>IF(AND(BV$30,$O49),$E$32,"")</f>
        <v/>
      </c>
      <c r="BW49" s="54" t="str">
        <f>IF(AND(BW$30,$O49),$F$32,"")</f>
        <v/>
      </c>
      <c r="BX49" s="31" t="str">
        <f>IF(AND(BX$30,$O49),$C$32,"")</f>
        <v/>
      </c>
      <c r="BY49" s="32" t="str">
        <f>IF(AND(BY$30,$O49),$D$32,"")</f>
        <v/>
      </c>
      <c r="BZ49" s="32" t="str">
        <f>IF(AND(BZ$30,$O49),$E$32,"")</f>
        <v/>
      </c>
      <c r="CA49" s="54" t="str">
        <f>IF(AND(CA$30,$O49),$F$32,"")</f>
        <v/>
      </c>
      <c r="CB49" s="31" t="str">
        <f>IF(AND(CB$30,$O49),$C$32,"")</f>
        <v/>
      </c>
      <c r="CC49" s="32" t="str">
        <f>IF(AND(CC$30,$O49),$D$32,"")</f>
        <v/>
      </c>
      <c r="CD49" s="32" t="str">
        <f>IF(AND(CD$30,$O49),$E$32,"")</f>
        <v/>
      </c>
      <c r="CE49" s="54" t="str">
        <f>IF(AND(CE$30,$O49),$F$32,"")</f>
        <v/>
      </c>
    </row>
    <row r="50" spans="12:83" ht="15.75" thickBot="1">
      <c r="L50" s="86"/>
      <c r="M50" s="37" t="str">
        <f t="shared" si="6"/>
        <v>-</v>
      </c>
      <c r="O50" s="43">
        <f>BinAnd(N47,G)</f>
        <v>0</v>
      </c>
      <c r="P50" s="55" t="str">
        <f>IF(AND(P$30,$O50),$C$33,"")</f>
        <v/>
      </c>
      <c r="Q50" s="56" t="str">
        <f>IF(AND(Q$30,$O50),$D$33,"")</f>
        <v/>
      </c>
      <c r="R50" s="56" t="str">
        <f>IF(AND(R$30,$O50),$E$33,"")</f>
        <v/>
      </c>
      <c r="S50" s="57" t="str">
        <f>IF(AND(S$30,$O50),$F$33,"")</f>
        <v/>
      </c>
      <c r="T50" s="55" t="str">
        <f>IF(AND(T$30,$O50),$C$33,"")</f>
        <v/>
      </c>
      <c r="U50" s="56" t="str">
        <f>IF(AND(U$30,$O50),$D$33,"")</f>
        <v/>
      </c>
      <c r="V50" s="56" t="str">
        <f>IF(AND(V$30,$O50),$E$33,"")</f>
        <v/>
      </c>
      <c r="W50" s="57" t="str">
        <f>IF(AND(W$30,$O50),$F$33,"")</f>
        <v/>
      </c>
      <c r="X50" s="55" t="str">
        <f>IF(AND(X$30,$O50),$C$33,"")</f>
        <v/>
      </c>
      <c r="Y50" s="56" t="str">
        <f>IF(AND(Y$30,$O50),$D$33,"")</f>
        <v/>
      </c>
      <c r="Z50" s="56" t="str">
        <f>IF(AND(Z$30,$O50),$E$33,"")</f>
        <v/>
      </c>
      <c r="AA50" s="57" t="str">
        <f>IF(AND(AA$30,$O50),$F$33,"")</f>
        <v/>
      </c>
      <c r="AB50" s="55" t="str">
        <f>IF(AND(AB$30,$O50),$C$33,"")</f>
        <v/>
      </c>
      <c r="AC50" s="56" t="str">
        <f>IF(AND(AC$30,$O50),$D$33,"")</f>
        <v/>
      </c>
      <c r="AD50" s="56" t="str">
        <f>IF(AND(AD$30,$O50),$E$33,"")</f>
        <v/>
      </c>
      <c r="AE50" s="57" t="str">
        <f>IF(AND(AE$30,$O50),$F$33,"")</f>
        <v/>
      </c>
      <c r="AF50" s="55" t="str">
        <f>IF(AND(AF$30,$O50),$C$33,"")</f>
        <v/>
      </c>
      <c r="AG50" s="56" t="str">
        <f>IF(AND(AG$30,$O50),$D$33,"")</f>
        <v/>
      </c>
      <c r="AH50" s="56" t="str">
        <f>IF(AND(AH$30,$O50),$E$33,"")</f>
        <v/>
      </c>
      <c r="AI50" s="57" t="str">
        <f>IF(AND(AI$30,$O50),$F$33,"")</f>
        <v/>
      </c>
      <c r="AJ50" s="55" t="str">
        <f>IF(AND(AJ$30,$O50),$C$33,"")</f>
        <v/>
      </c>
      <c r="AK50" s="56" t="str">
        <f>IF(AND(AK$30,$O50),$D$33,"")</f>
        <v/>
      </c>
      <c r="AL50" s="56" t="str">
        <f>IF(AND(AL$30,$O50),$E$33,"")</f>
        <v/>
      </c>
      <c r="AM50" s="57" t="str">
        <f>IF(AND(AM$30,$O50),$F$33,"")</f>
        <v/>
      </c>
      <c r="AN50" s="55" t="str">
        <f>IF(AND(AN$30,$O50),$C$33,"")</f>
        <v/>
      </c>
      <c r="AO50" s="56" t="str">
        <f>IF(AND(AO$30,$O50),$D$33,"")</f>
        <v/>
      </c>
      <c r="AP50" s="56" t="str">
        <f>IF(AND(AP$30,$O50),$E$33,"")</f>
        <v/>
      </c>
      <c r="AQ50" s="57" t="str">
        <f>IF(AND(AQ$30,$O50),$F$33,"")</f>
        <v/>
      </c>
      <c r="AR50" s="55" t="str">
        <f>IF(AND(AR$30,$O50),$C$33,"")</f>
        <v/>
      </c>
      <c r="AS50" s="56" t="str">
        <f>IF(AND(AS$30,$O50),$D$33,"")</f>
        <v/>
      </c>
      <c r="AT50" s="56" t="str">
        <f>IF(AND(AT$30,$O50),$E$33,"")</f>
        <v/>
      </c>
      <c r="AU50" s="57" t="str">
        <f>IF(AND(AU$30,$O50),$F$33,"")</f>
        <v/>
      </c>
      <c r="AV50" s="55" t="str">
        <f>IF(AND(AV$30,$O50),$C$33,"")</f>
        <v/>
      </c>
      <c r="AW50" s="56" t="str">
        <f>IF(AND(AW$30,$O50),$D$33,"")</f>
        <v/>
      </c>
      <c r="AX50" s="56" t="str">
        <f>IF(AND(AX$30,$O50),$E$33,"")</f>
        <v/>
      </c>
      <c r="AY50" s="57" t="str">
        <f>IF(AND(AY$30,$O50),$F$33,"")</f>
        <v/>
      </c>
      <c r="AZ50" s="55" t="str">
        <f>IF(AND(AZ$30,$O50),$C$33,"")</f>
        <v/>
      </c>
      <c r="BA50" s="56" t="str">
        <f>IF(AND(BA$30,$O50),$D$33,"")</f>
        <v/>
      </c>
      <c r="BB50" s="56" t="str">
        <f>IF(AND(BB$30,$O50),$E$33,"")</f>
        <v/>
      </c>
      <c r="BC50" s="57" t="str">
        <f>IF(AND(BC$30,$O50),$F$33,"")</f>
        <v/>
      </c>
      <c r="BD50" s="55" t="str">
        <f>IF(AND(BD$30,$O50),$C$33,"")</f>
        <v/>
      </c>
      <c r="BE50" s="56" t="str">
        <f>IF(AND(BE$30,$O50),$D$33,"")</f>
        <v/>
      </c>
      <c r="BF50" s="56" t="str">
        <f>IF(AND(BF$30,$O50),$E$33,"")</f>
        <v/>
      </c>
      <c r="BG50" s="57" t="str">
        <f>IF(AND(BG$30,$O50),$F$33,"")</f>
        <v/>
      </c>
      <c r="BH50" s="55" t="str">
        <f>IF(AND(BH$30,$O50),$C$33,"")</f>
        <v/>
      </c>
      <c r="BI50" s="56" t="str">
        <f>IF(AND(BI$30,$O50),$D$33,"")</f>
        <v/>
      </c>
      <c r="BJ50" s="56" t="str">
        <f>IF(AND(BJ$30,$O50),$E$33,"")</f>
        <v/>
      </c>
      <c r="BK50" s="57" t="str">
        <f>IF(AND(BK$30,$O50),$F$33,"")</f>
        <v/>
      </c>
      <c r="BL50" s="55" t="str">
        <f>IF(AND(BL$30,$O50),$C$33,"")</f>
        <v/>
      </c>
      <c r="BM50" s="56" t="str">
        <f>IF(AND(BM$30,$O50),$D$33,"")</f>
        <v/>
      </c>
      <c r="BN50" s="56" t="str">
        <f>IF(AND(BN$30,$O50),$E$33,"")</f>
        <v/>
      </c>
      <c r="BO50" s="57" t="str">
        <f>IF(AND(BO$30,$O50),$F$33,"")</f>
        <v/>
      </c>
      <c r="BP50" s="55" t="str">
        <f>IF(AND(BP$30,$O50),$C$33,"")</f>
        <v/>
      </c>
      <c r="BQ50" s="56" t="str">
        <f>IF(AND(BQ$30,$O50),$D$33,"")</f>
        <v/>
      </c>
      <c r="BR50" s="56" t="str">
        <f>IF(AND(BR$30,$O50),$E$33,"")</f>
        <v/>
      </c>
      <c r="BS50" s="57" t="str">
        <f>IF(AND(BS$30,$O50),$F$33,"")</f>
        <v/>
      </c>
      <c r="BT50" s="55" t="str">
        <f>IF(AND(BT$30,$O50),$C$33,"")</f>
        <v/>
      </c>
      <c r="BU50" s="56" t="str">
        <f>IF(AND(BU$30,$O50),$D$33,"")</f>
        <v/>
      </c>
      <c r="BV50" s="56" t="str">
        <f>IF(AND(BV$30,$O50),$E$33,"")</f>
        <v/>
      </c>
      <c r="BW50" s="57" t="str">
        <f>IF(AND(BW$30,$O50),$F$33,"")</f>
        <v/>
      </c>
      <c r="BX50" s="55" t="str">
        <f>IF(AND(BX$30,$O50),$C$33,"")</f>
        <v/>
      </c>
      <c r="BY50" s="56" t="str">
        <f>IF(AND(BY$30,$O50),$D$33,"")</f>
        <v/>
      </c>
      <c r="BZ50" s="56" t="str">
        <f>IF(AND(BZ$30,$O50),$E$33,"")</f>
        <v/>
      </c>
      <c r="CA50" s="57" t="str">
        <f>IF(AND(CA$30,$O50),$F$33,"")</f>
        <v/>
      </c>
      <c r="CB50" s="55" t="str">
        <f>IF(AND(CB$30,$O50),$C$33,"")</f>
        <v/>
      </c>
      <c r="CC50" s="56" t="str">
        <f>IF(AND(CC$30,$O50),$D$33,"")</f>
        <v/>
      </c>
      <c r="CD50" s="56" t="str">
        <f>IF(AND(CD$30,$O50),$E$33,"")</f>
        <v/>
      </c>
      <c r="CE50" s="57" t="str">
        <f>IF(AND(CE$30,$O50),$F$33,"")</f>
        <v/>
      </c>
    </row>
    <row r="51" spans="12:83">
      <c r="L51" s="83" t="str">
        <f>MID(CodDegElegir,N51+1,1)</f>
        <v>K</v>
      </c>
      <c r="M51" s="85" t="str">
        <f t="shared" si="6"/>
        <v>-</v>
      </c>
      <c r="N51">
        <v>5</v>
      </c>
      <c r="O51" s="81">
        <f>BinAnd(N51,A)</f>
        <v>0</v>
      </c>
      <c r="P51" s="29" t="str">
        <f>IF(AND(P$30,$O51),$C$30,"")</f>
        <v/>
      </c>
      <c r="Q51" s="30" t="str">
        <f>IF(AND(Q$30,$O51),$D$30,"")</f>
        <v/>
      </c>
      <c r="R51" s="30" t="str">
        <f>IF(AND(R$30,$O51),$E$30,"")</f>
        <v/>
      </c>
      <c r="S51" s="53" t="str">
        <f>IF(AND(S$30,$O51),$F$30,"")</f>
        <v/>
      </c>
      <c r="T51" s="29" t="str">
        <f>IF(AND(T$30,$O51),$C$30,"")</f>
        <v/>
      </c>
      <c r="U51" s="30" t="str">
        <f>IF(AND(U$30,$O51),$D$30,"")</f>
        <v/>
      </c>
      <c r="V51" s="30" t="str">
        <f>IF(AND(V$30,$O51),$E$30,"")</f>
        <v/>
      </c>
      <c r="W51" s="53" t="str">
        <f>IF(AND(W$30,$O51),$F$30,"")</f>
        <v/>
      </c>
      <c r="X51" s="29" t="str">
        <f>IF(AND(X$30,$O51),$C$30,"")</f>
        <v/>
      </c>
      <c r="Y51" s="30" t="str">
        <f>IF(AND(Y$30,$O51),$D$30,"")</f>
        <v/>
      </c>
      <c r="Z51" s="30" t="str">
        <f>IF(AND(Z$30,$O51),$E$30,"")</f>
        <v/>
      </c>
      <c r="AA51" s="53" t="str">
        <f>IF(AND(AA$30,$O51),$F$30,"")</f>
        <v/>
      </c>
      <c r="AB51" s="29" t="str">
        <f>IF(AND(AB$30,$O51),$C$30,"")</f>
        <v/>
      </c>
      <c r="AC51" s="30" t="str">
        <f>IF(AND(AC$30,$O51),$D$30,"")</f>
        <v/>
      </c>
      <c r="AD51" s="30" t="str">
        <f>IF(AND(AD$30,$O51),$E$30,"")</f>
        <v/>
      </c>
      <c r="AE51" s="53" t="str">
        <f>IF(AND(AE$30,$O51),$F$30,"")</f>
        <v/>
      </c>
      <c r="AF51" s="29" t="str">
        <f>IF(AND(AF$30,$O51),$C$30,"")</f>
        <v/>
      </c>
      <c r="AG51" s="30" t="str">
        <f>IF(AND(AG$30,$O51),$D$30,"")</f>
        <v/>
      </c>
      <c r="AH51" s="30" t="str">
        <f>IF(AND(AH$30,$O51),$E$30,"")</f>
        <v/>
      </c>
      <c r="AI51" s="53" t="str">
        <f>IF(AND(AI$30,$O51),$F$30,"")</f>
        <v/>
      </c>
      <c r="AJ51" s="29" t="str">
        <f>IF(AND(AJ$30,$O51),$C$30,"")</f>
        <v/>
      </c>
      <c r="AK51" s="30" t="str">
        <f>IF(AND(AK$30,$O51),$D$30,"")</f>
        <v/>
      </c>
      <c r="AL51" s="30" t="str">
        <f>IF(AND(AL$30,$O51),$E$30,"")</f>
        <v/>
      </c>
      <c r="AM51" s="53" t="str">
        <f>IF(AND(AM$30,$O51),$F$30,"")</f>
        <v/>
      </c>
      <c r="AN51" s="29" t="str">
        <f>IF(AND(AN$30,$O51),$C$30,"")</f>
        <v/>
      </c>
      <c r="AO51" s="30" t="str">
        <f>IF(AND(AO$30,$O51),$D$30,"")</f>
        <v/>
      </c>
      <c r="AP51" s="30" t="str">
        <f>IF(AND(AP$30,$O51),$E$30,"")</f>
        <v/>
      </c>
      <c r="AQ51" s="53" t="str">
        <f>IF(AND(AQ$30,$O51),$F$30,"")</f>
        <v/>
      </c>
      <c r="AR51" s="29" t="str">
        <f>IF(AND(AR$30,$O51),$C$30,"")</f>
        <v/>
      </c>
      <c r="AS51" s="30" t="str">
        <f>IF(AND(AS$30,$O51),$D$30,"")</f>
        <v/>
      </c>
      <c r="AT51" s="30" t="str">
        <f>IF(AND(AT$30,$O51),$E$30,"")</f>
        <v/>
      </c>
      <c r="AU51" s="53" t="str">
        <f>IF(AND(AU$30,$O51),$F$30,"")</f>
        <v/>
      </c>
      <c r="AV51" s="29" t="str">
        <f>IF(AND(AV$30,$O51),$C$30,"")</f>
        <v/>
      </c>
      <c r="AW51" s="30" t="str">
        <f>IF(AND(AW$30,$O51),$D$30,"")</f>
        <v/>
      </c>
      <c r="AX51" s="30" t="str">
        <f>IF(AND(AX$30,$O51),$E$30,"")</f>
        <v/>
      </c>
      <c r="AY51" s="53" t="str">
        <f>IF(AND(AY$30,$O51),$F$30,"")</f>
        <v/>
      </c>
      <c r="AZ51" s="29" t="str">
        <f>IF(AND(AZ$30,$O51),$C$30,"")</f>
        <v/>
      </c>
      <c r="BA51" s="30" t="str">
        <f>IF(AND(BA$30,$O51),$D$30,"")</f>
        <v/>
      </c>
      <c r="BB51" s="30" t="str">
        <f>IF(AND(BB$30,$O51),$E$30,"")</f>
        <v/>
      </c>
      <c r="BC51" s="53" t="str">
        <f>IF(AND(BC$30,$O51),$F$30,"")</f>
        <v/>
      </c>
      <c r="BD51" s="29" t="str">
        <f>IF(AND(BD$30,$O51),$C$30,"")</f>
        <v/>
      </c>
      <c r="BE51" s="30" t="str">
        <f>IF(AND(BE$30,$O51),$D$30,"")</f>
        <v/>
      </c>
      <c r="BF51" s="30" t="str">
        <f>IF(AND(BF$30,$O51),$E$30,"")</f>
        <v/>
      </c>
      <c r="BG51" s="53" t="str">
        <f>IF(AND(BG$30,$O51),$F$30,"")</f>
        <v/>
      </c>
      <c r="BH51" s="29" t="str">
        <f>IF(AND(BH$30,$O51),$C$30,"")</f>
        <v/>
      </c>
      <c r="BI51" s="30" t="str">
        <f>IF(AND(BI$30,$O51),$D$30,"")</f>
        <v/>
      </c>
      <c r="BJ51" s="30" t="str">
        <f>IF(AND(BJ$30,$O51),$E$30,"")</f>
        <v/>
      </c>
      <c r="BK51" s="53" t="str">
        <f>IF(AND(BK$30,$O51),$F$30,"")</f>
        <v/>
      </c>
      <c r="BL51" s="29" t="str">
        <f>IF(AND(BL$30,$O51),$C$30,"")</f>
        <v/>
      </c>
      <c r="BM51" s="30" t="str">
        <f>IF(AND(BM$30,$O51),$D$30,"")</f>
        <v/>
      </c>
      <c r="BN51" s="30" t="str">
        <f>IF(AND(BN$30,$O51),$E$30,"")</f>
        <v/>
      </c>
      <c r="BO51" s="53" t="str">
        <f>IF(AND(BO$30,$O51),$F$30,"")</f>
        <v/>
      </c>
      <c r="BP51" s="29" t="str">
        <f>IF(AND(BP$30,$O51),$C$30,"")</f>
        <v/>
      </c>
      <c r="BQ51" s="30" t="str">
        <f>IF(AND(BQ$30,$O51),$D$30,"")</f>
        <v/>
      </c>
      <c r="BR51" s="30" t="str">
        <f>IF(AND(BR$30,$O51),$E$30,"")</f>
        <v/>
      </c>
      <c r="BS51" s="53" t="str">
        <f>IF(AND(BS$30,$O51),$F$30,"")</f>
        <v/>
      </c>
      <c r="BT51" s="29" t="str">
        <f>IF(AND(BT$30,$O51),$C$30,"")</f>
        <v/>
      </c>
      <c r="BU51" s="30" t="str">
        <f>IF(AND(BU$30,$O51),$D$30,"")</f>
        <v/>
      </c>
      <c r="BV51" s="30" t="str">
        <f>IF(AND(BV$30,$O51),$E$30,"")</f>
        <v/>
      </c>
      <c r="BW51" s="53" t="str">
        <f>IF(AND(BW$30,$O51),$F$30,"")</f>
        <v/>
      </c>
      <c r="BX51" s="29" t="str">
        <f>IF(AND(BX$30,$O51),$C$30,"")</f>
        <v/>
      </c>
      <c r="BY51" s="30" t="str">
        <f>IF(AND(BY$30,$O51),$D$30,"")</f>
        <v/>
      </c>
      <c r="BZ51" s="30" t="str">
        <f>IF(AND(BZ$30,$O51),$E$30,"")</f>
        <v/>
      </c>
      <c r="CA51" s="53" t="str">
        <f>IF(AND(CA$30,$O51),$F$30,"")</f>
        <v/>
      </c>
      <c r="CB51" s="29" t="str">
        <f>IF(AND(CB$30,$O51),$C$30,"")</f>
        <v/>
      </c>
      <c r="CC51" s="30" t="str">
        <f>IF(AND(CC$30,$O51),$D$30,"")</f>
        <v/>
      </c>
      <c r="CD51" s="30" t="str">
        <f>IF(AND(CD$30,$O51),$E$30,"")</f>
        <v/>
      </c>
      <c r="CE51" s="53" t="str">
        <f>IF(AND(CE$30,$O51),$F$30,"")</f>
        <v/>
      </c>
    </row>
    <row r="52" spans="12:83">
      <c r="L52" s="87"/>
      <c r="M52" s="36" t="str">
        <f t="shared" si="6"/>
        <v>T</v>
      </c>
      <c r="O52" s="82">
        <f>BinAnd(N51,T)</f>
        <v>4</v>
      </c>
      <c r="P52" s="31" t="str">
        <f>IF(AND(P$30,$O52),$C$31,"")</f>
        <v/>
      </c>
      <c r="Q52" s="32" t="str">
        <f>IF(AND(Q$30,$O52),$D$31,"")</f>
        <v/>
      </c>
      <c r="R52" s="32" t="str">
        <f>IF(AND(R$30,$O52),$E$31,"")</f>
        <v/>
      </c>
      <c r="S52" s="54" t="str">
        <f>IF(AND(S$30,$O52),$F$31,"")</f>
        <v/>
      </c>
      <c r="T52" s="31" t="str">
        <f>IF(AND(T$30,$O52),$C$31,"")</f>
        <v/>
      </c>
      <c r="U52" s="32" t="str">
        <f>IF(AND(U$30,$O52),$D$31,"")</f>
        <v/>
      </c>
      <c r="V52" s="32" t="str">
        <f>IF(AND(V$30,$O52),$E$31,"")</f>
        <v/>
      </c>
      <c r="W52" s="54">
        <f>IF(AND(W$30,$O52),$F$31,"")</f>
        <v>19.3</v>
      </c>
      <c r="X52" s="31" t="str">
        <f>IF(AND(X$30,$O52),$C$31,"")</f>
        <v/>
      </c>
      <c r="Y52" s="32" t="str">
        <f>IF(AND(Y$30,$O52),$D$31,"")</f>
        <v/>
      </c>
      <c r="Z52" s="32">
        <f>IF(AND(Z$30,$O52),$E$31,"")</f>
        <v>20.3</v>
      </c>
      <c r="AA52" s="54" t="str">
        <f>IF(AND(AA$30,$O52),$F$31,"")</f>
        <v/>
      </c>
      <c r="AB52" s="31" t="str">
        <f>IF(AND(AB$30,$O52),$C$31,"")</f>
        <v/>
      </c>
      <c r="AC52" s="32" t="str">
        <f>IF(AND(AC$30,$O52),$D$31,"")</f>
        <v/>
      </c>
      <c r="AD52" s="32">
        <f>IF(AND(AD$30,$O52),$E$31,"")</f>
        <v>20.3</v>
      </c>
      <c r="AE52" s="54">
        <f>IF(AND(AE$30,$O52),$F$31,"")</f>
        <v>19.3</v>
      </c>
      <c r="AF52" s="31" t="str">
        <f>IF(AND(AF$30,$O52),$C$31,"")</f>
        <v/>
      </c>
      <c r="AG52" s="32">
        <f>IF(AND(AG$30,$O52),$D$31,"")</f>
        <v>23.6</v>
      </c>
      <c r="AH52" s="32" t="str">
        <f>IF(AND(AH$30,$O52),$E$31,"")</f>
        <v/>
      </c>
      <c r="AI52" s="54" t="str">
        <f>IF(AND(AI$30,$O52),$F$31,"")</f>
        <v/>
      </c>
      <c r="AJ52" s="31" t="str">
        <f>IF(AND(AJ$30,$O52),$C$31,"")</f>
        <v/>
      </c>
      <c r="AK52" s="32">
        <f>IF(AND(AK$30,$O52),$D$31,"")</f>
        <v>23.6</v>
      </c>
      <c r="AL52" s="32" t="str">
        <f>IF(AND(AL$30,$O52),$E$31,"")</f>
        <v/>
      </c>
      <c r="AM52" s="54">
        <f>IF(AND(AM$30,$O52),$F$31,"")</f>
        <v>19.3</v>
      </c>
      <c r="AN52" s="31" t="str">
        <f>IF(AND(AN$30,$O52),$C$31,"")</f>
        <v/>
      </c>
      <c r="AO52" s="32">
        <f>IF(AND(AO$30,$O52),$D$31,"")</f>
        <v>23.6</v>
      </c>
      <c r="AP52" s="32">
        <f>IF(AND(AP$30,$O52),$E$31,"")</f>
        <v>20.3</v>
      </c>
      <c r="AQ52" s="54" t="str">
        <f>IF(AND(AQ$30,$O52),$F$31,"")</f>
        <v/>
      </c>
      <c r="AR52" s="31" t="str">
        <f>IF(AND(AR$30,$O52),$C$31,"")</f>
        <v/>
      </c>
      <c r="AS52" s="32">
        <f>IF(AND(AS$30,$O52),$D$31,"")</f>
        <v>23.6</v>
      </c>
      <c r="AT52" s="32">
        <f>IF(AND(AT$30,$O52),$E$31,"")</f>
        <v>20.3</v>
      </c>
      <c r="AU52" s="54">
        <f>IF(AND(AU$30,$O52),$F$31,"")</f>
        <v>19.3</v>
      </c>
      <c r="AV52" s="31">
        <f>IF(AND(AV$30,$O52),$C$31,"")</f>
        <v>18.5</v>
      </c>
      <c r="AW52" s="32" t="str">
        <f>IF(AND(AW$30,$O52),$D$31,"")</f>
        <v/>
      </c>
      <c r="AX52" s="32" t="str">
        <f>IF(AND(AX$30,$O52),$E$31,"")</f>
        <v/>
      </c>
      <c r="AY52" s="54" t="str">
        <f>IF(AND(AY$30,$O52),$F$31,"")</f>
        <v/>
      </c>
      <c r="AZ52" s="31">
        <f>IF(AND(AZ$30,$O52),$C$31,"")</f>
        <v>18.5</v>
      </c>
      <c r="BA52" s="32" t="str">
        <f>IF(AND(BA$30,$O52),$D$31,"")</f>
        <v/>
      </c>
      <c r="BB52" s="32" t="str">
        <f>IF(AND(BB$30,$O52),$E$31,"")</f>
        <v/>
      </c>
      <c r="BC52" s="54">
        <f>IF(AND(BC$30,$O52),$F$31,"")</f>
        <v>19.3</v>
      </c>
      <c r="BD52" s="31">
        <f>IF(AND(BD$30,$O52),$C$31,"")</f>
        <v>18.5</v>
      </c>
      <c r="BE52" s="32" t="str">
        <f>IF(AND(BE$30,$O52),$D$31,"")</f>
        <v/>
      </c>
      <c r="BF52" s="32">
        <f>IF(AND(BF$30,$O52),$E$31,"")</f>
        <v>20.3</v>
      </c>
      <c r="BG52" s="54" t="str">
        <f>IF(AND(BG$30,$O52),$F$31,"")</f>
        <v/>
      </c>
      <c r="BH52" s="31">
        <f>IF(AND(BH$30,$O52),$C$31,"")</f>
        <v>18.5</v>
      </c>
      <c r="BI52" s="32" t="str">
        <f>IF(AND(BI$30,$O52),$D$31,"")</f>
        <v/>
      </c>
      <c r="BJ52" s="32">
        <f>IF(AND(BJ$30,$O52),$E$31,"")</f>
        <v>20.3</v>
      </c>
      <c r="BK52" s="54">
        <f>IF(AND(BK$30,$O52),$F$31,"")</f>
        <v>19.3</v>
      </c>
      <c r="BL52" s="31">
        <f>IF(AND(BL$30,$O52),$C$31,"")</f>
        <v>18.5</v>
      </c>
      <c r="BM52" s="32">
        <f>IF(AND(BM$30,$O52),$D$31,"")</f>
        <v>23.6</v>
      </c>
      <c r="BN52" s="32" t="str">
        <f>IF(AND(BN$30,$O52),$E$31,"")</f>
        <v/>
      </c>
      <c r="BO52" s="54" t="str">
        <f>IF(AND(BO$30,$O52),$F$31,"")</f>
        <v/>
      </c>
      <c r="BP52" s="31">
        <f>IF(AND(BP$30,$O52),$C$31,"")</f>
        <v>18.5</v>
      </c>
      <c r="BQ52" s="32">
        <f>IF(AND(BQ$30,$O52),$D$31,"")</f>
        <v>23.6</v>
      </c>
      <c r="BR52" s="32" t="str">
        <f>IF(AND(BR$30,$O52),$E$31,"")</f>
        <v/>
      </c>
      <c r="BS52" s="54">
        <f>IF(AND(BS$30,$O52),$F$31,"")</f>
        <v>19.3</v>
      </c>
      <c r="BT52" s="31">
        <f>IF(AND(BT$30,$O52),$C$31,"")</f>
        <v>18.5</v>
      </c>
      <c r="BU52" s="32">
        <f>IF(AND(BU$30,$O52),$D$31,"")</f>
        <v>23.6</v>
      </c>
      <c r="BV52" s="32">
        <f>IF(AND(BV$30,$O52),$E$31,"")</f>
        <v>20.3</v>
      </c>
      <c r="BW52" s="54" t="str">
        <f>IF(AND(BW$30,$O52),$F$31,"")</f>
        <v/>
      </c>
      <c r="BX52" s="31">
        <f>IF(AND(BX$30,$O52),$C$31,"")</f>
        <v>18.5</v>
      </c>
      <c r="BY52" s="32">
        <f>IF(AND(BY$30,$O52),$D$31,"")</f>
        <v>23.6</v>
      </c>
      <c r="BZ52" s="32">
        <f>IF(AND(BZ$30,$O52),$E$31,"")</f>
        <v>20.3</v>
      </c>
      <c r="CA52" s="54">
        <f>IF(AND(CA$30,$O52),$F$31,"")</f>
        <v>19.3</v>
      </c>
      <c r="CB52" s="31" t="str">
        <f>IF(AND(CB$30,$O52),$C$31,"")</f>
        <v/>
      </c>
      <c r="CC52" s="32" t="str">
        <f>IF(AND(CC$30,$O52),$D$31,"")</f>
        <v/>
      </c>
      <c r="CD52" s="32" t="str">
        <f>IF(AND(CD$30,$O52),$E$31,"")</f>
        <v/>
      </c>
      <c r="CE52" s="54" t="str">
        <f>IF(AND(CE$30,$O52),$F$31,"")</f>
        <v/>
      </c>
    </row>
    <row r="53" spans="12:83">
      <c r="L53" s="87"/>
      <c r="M53" s="36" t="str">
        <f t="shared" si="6"/>
        <v>-</v>
      </c>
      <c r="O53" s="82">
        <f>BinAnd(N51,Ce)</f>
        <v>0</v>
      </c>
      <c r="P53" s="31" t="str">
        <f>IF(AND(P$30,$O53),$C$32,"")</f>
        <v/>
      </c>
      <c r="Q53" s="32" t="str">
        <f>IF(AND(Q$30,$O53),$D$32,"")</f>
        <v/>
      </c>
      <c r="R53" s="32" t="str">
        <f>IF(AND(R$30,$O53),$E$32,"")</f>
        <v/>
      </c>
      <c r="S53" s="54" t="str">
        <f>IF(AND(S$30,$O53),$F$32,"")</f>
        <v/>
      </c>
      <c r="T53" s="31" t="str">
        <f>IF(AND(T$30,$O53),$C$32,"")</f>
        <v/>
      </c>
      <c r="U53" s="32" t="str">
        <f>IF(AND(U$30,$O53),$D$32,"")</f>
        <v/>
      </c>
      <c r="V53" s="32" t="str">
        <f>IF(AND(V$30,$O53),$E$32,"")</f>
        <v/>
      </c>
      <c r="W53" s="54" t="str">
        <f>IF(AND(W$30,$O53),$F$32,"")</f>
        <v/>
      </c>
      <c r="X53" s="31" t="str">
        <f>IF(AND(X$30,$O53),$C$32,"")</f>
        <v/>
      </c>
      <c r="Y53" s="32" t="str">
        <f>IF(AND(Y$30,$O53),$D$32,"")</f>
        <v/>
      </c>
      <c r="Z53" s="32" t="str">
        <f>IF(AND(Z$30,$O53),$E$32,"")</f>
        <v/>
      </c>
      <c r="AA53" s="54" t="str">
        <f>IF(AND(AA$30,$O53),$F$32,"")</f>
        <v/>
      </c>
      <c r="AB53" s="31" t="str">
        <f>IF(AND(AB$30,$O53),$C$32,"")</f>
        <v/>
      </c>
      <c r="AC53" s="32" t="str">
        <f>IF(AND(AC$30,$O53),$D$32,"")</f>
        <v/>
      </c>
      <c r="AD53" s="32" t="str">
        <f>IF(AND(AD$30,$O53),$E$32,"")</f>
        <v/>
      </c>
      <c r="AE53" s="54" t="str">
        <f>IF(AND(AE$30,$O53),$F$32,"")</f>
        <v/>
      </c>
      <c r="AF53" s="31" t="str">
        <f>IF(AND(AF$30,$O53),$C$32,"")</f>
        <v/>
      </c>
      <c r="AG53" s="32" t="str">
        <f>IF(AND(AG$30,$O53),$D$32,"")</f>
        <v/>
      </c>
      <c r="AH53" s="32" t="str">
        <f>IF(AND(AH$30,$O53),$E$32,"")</f>
        <v/>
      </c>
      <c r="AI53" s="54" t="str">
        <f>IF(AND(AI$30,$O53),$F$32,"")</f>
        <v/>
      </c>
      <c r="AJ53" s="31" t="str">
        <f>IF(AND(AJ$30,$O53),$C$32,"")</f>
        <v/>
      </c>
      <c r="AK53" s="32" t="str">
        <f>IF(AND(AK$30,$O53),$D$32,"")</f>
        <v/>
      </c>
      <c r="AL53" s="32" t="str">
        <f>IF(AND(AL$30,$O53),$E$32,"")</f>
        <v/>
      </c>
      <c r="AM53" s="54" t="str">
        <f>IF(AND(AM$30,$O53),$F$32,"")</f>
        <v/>
      </c>
      <c r="AN53" s="31" t="str">
        <f>IF(AND(AN$30,$O53),$C$32,"")</f>
        <v/>
      </c>
      <c r="AO53" s="32" t="str">
        <f>IF(AND(AO$30,$O53),$D$32,"")</f>
        <v/>
      </c>
      <c r="AP53" s="32" t="str">
        <f>IF(AND(AP$30,$O53),$E$32,"")</f>
        <v/>
      </c>
      <c r="AQ53" s="54" t="str">
        <f>IF(AND(AQ$30,$O53),$F$32,"")</f>
        <v/>
      </c>
      <c r="AR53" s="31" t="str">
        <f>IF(AND(AR$30,$O53),$C$32,"")</f>
        <v/>
      </c>
      <c r="AS53" s="32" t="str">
        <f>IF(AND(AS$30,$O53),$D$32,"")</f>
        <v/>
      </c>
      <c r="AT53" s="32" t="str">
        <f>IF(AND(AT$30,$O53),$E$32,"")</f>
        <v/>
      </c>
      <c r="AU53" s="54" t="str">
        <f>IF(AND(AU$30,$O53),$F$32,"")</f>
        <v/>
      </c>
      <c r="AV53" s="31" t="str">
        <f>IF(AND(AV$30,$O53),$C$32,"")</f>
        <v/>
      </c>
      <c r="AW53" s="32" t="str">
        <f>IF(AND(AW$30,$O53),$D$32,"")</f>
        <v/>
      </c>
      <c r="AX53" s="32" t="str">
        <f>IF(AND(AX$30,$O53),$E$32,"")</f>
        <v/>
      </c>
      <c r="AY53" s="54" t="str">
        <f>IF(AND(AY$30,$O53),$F$32,"")</f>
        <v/>
      </c>
      <c r="AZ53" s="31" t="str">
        <f>IF(AND(AZ$30,$O53),$C$32,"")</f>
        <v/>
      </c>
      <c r="BA53" s="32" t="str">
        <f>IF(AND(BA$30,$O53),$D$32,"")</f>
        <v/>
      </c>
      <c r="BB53" s="32" t="str">
        <f>IF(AND(BB$30,$O53),$E$32,"")</f>
        <v/>
      </c>
      <c r="BC53" s="54" t="str">
        <f>IF(AND(BC$30,$O53),$F$32,"")</f>
        <v/>
      </c>
      <c r="BD53" s="31" t="str">
        <f>IF(AND(BD$30,$O53),$C$32,"")</f>
        <v/>
      </c>
      <c r="BE53" s="32" t="str">
        <f>IF(AND(BE$30,$O53),$D$32,"")</f>
        <v/>
      </c>
      <c r="BF53" s="32" t="str">
        <f>IF(AND(BF$30,$O53),$E$32,"")</f>
        <v/>
      </c>
      <c r="BG53" s="54" t="str">
        <f>IF(AND(BG$30,$O53),$F$32,"")</f>
        <v/>
      </c>
      <c r="BH53" s="31" t="str">
        <f>IF(AND(BH$30,$O53),$C$32,"")</f>
        <v/>
      </c>
      <c r="BI53" s="32" t="str">
        <f>IF(AND(BI$30,$O53),$D$32,"")</f>
        <v/>
      </c>
      <c r="BJ53" s="32" t="str">
        <f>IF(AND(BJ$30,$O53),$E$32,"")</f>
        <v/>
      </c>
      <c r="BK53" s="54" t="str">
        <f>IF(AND(BK$30,$O53),$F$32,"")</f>
        <v/>
      </c>
      <c r="BL53" s="31" t="str">
        <f>IF(AND(BL$30,$O53),$C$32,"")</f>
        <v/>
      </c>
      <c r="BM53" s="32" t="str">
        <f>IF(AND(BM$30,$O53),$D$32,"")</f>
        <v/>
      </c>
      <c r="BN53" s="32" t="str">
        <f>IF(AND(BN$30,$O53),$E$32,"")</f>
        <v/>
      </c>
      <c r="BO53" s="54" t="str">
        <f>IF(AND(BO$30,$O53),$F$32,"")</f>
        <v/>
      </c>
      <c r="BP53" s="31" t="str">
        <f>IF(AND(BP$30,$O53),$C$32,"")</f>
        <v/>
      </c>
      <c r="BQ53" s="32" t="str">
        <f>IF(AND(BQ$30,$O53),$D$32,"")</f>
        <v/>
      </c>
      <c r="BR53" s="32" t="str">
        <f>IF(AND(BR$30,$O53),$E$32,"")</f>
        <v/>
      </c>
      <c r="BS53" s="54" t="str">
        <f>IF(AND(BS$30,$O53),$F$32,"")</f>
        <v/>
      </c>
      <c r="BT53" s="31" t="str">
        <f>IF(AND(BT$30,$O53),$C$32,"")</f>
        <v/>
      </c>
      <c r="BU53" s="32" t="str">
        <f>IF(AND(BU$30,$O53),$D$32,"")</f>
        <v/>
      </c>
      <c r="BV53" s="32" t="str">
        <f>IF(AND(BV$30,$O53),$E$32,"")</f>
        <v/>
      </c>
      <c r="BW53" s="54" t="str">
        <f>IF(AND(BW$30,$O53),$F$32,"")</f>
        <v/>
      </c>
      <c r="BX53" s="31" t="str">
        <f>IF(AND(BX$30,$O53),$C$32,"")</f>
        <v/>
      </c>
      <c r="BY53" s="32" t="str">
        <f>IF(AND(BY$30,$O53),$D$32,"")</f>
        <v/>
      </c>
      <c r="BZ53" s="32" t="str">
        <f>IF(AND(BZ$30,$O53),$E$32,"")</f>
        <v/>
      </c>
      <c r="CA53" s="54" t="str">
        <f>IF(AND(CA$30,$O53),$F$32,"")</f>
        <v/>
      </c>
      <c r="CB53" s="31" t="str">
        <f>IF(AND(CB$30,$O53),$C$32,"")</f>
        <v/>
      </c>
      <c r="CC53" s="32" t="str">
        <f>IF(AND(CC$30,$O53),$D$32,"")</f>
        <v/>
      </c>
      <c r="CD53" s="32" t="str">
        <f>IF(AND(CD$30,$O53),$E$32,"")</f>
        <v/>
      </c>
      <c r="CE53" s="54" t="str">
        <f>IF(AND(CE$30,$O53),$F$32,"")</f>
        <v/>
      </c>
    </row>
    <row r="54" spans="12:83" ht="15.75" thickBot="1">
      <c r="L54" s="86"/>
      <c r="M54" s="37" t="str">
        <f t="shared" si="6"/>
        <v>G</v>
      </c>
      <c r="O54" s="43">
        <f>BinAnd(N51,G)</f>
        <v>1</v>
      </c>
      <c r="P54" s="55" t="str">
        <f>IF(AND(P$30,$O54),$C$33,"")</f>
        <v/>
      </c>
      <c r="Q54" s="56" t="str">
        <f>IF(AND(Q$30,$O54),$D$33,"")</f>
        <v/>
      </c>
      <c r="R54" s="56" t="str">
        <f>IF(AND(R$30,$O54),$E$33,"")</f>
        <v/>
      </c>
      <c r="S54" s="57" t="str">
        <f>IF(AND(S$30,$O54),$F$33,"")</f>
        <v/>
      </c>
      <c r="T54" s="55" t="str">
        <f>IF(AND(T$30,$O54),$C$33,"")</f>
        <v/>
      </c>
      <c r="U54" s="56" t="str">
        <f>IF(AND(U$30,$O54),$D$33,"")</f>
        <v/>
      </c>
      <c r="V54" s="56" t="str">
        <f>IF(AND(V$30,$O54),$E$33,"")</f>
        <v/>
      </c>
      <c r="W54" s="57">
        <f>IF(AND(W$30,$O54),$F$33,"")</f>
        <v>15.6</v>
      </c>
      <c r="X54" s="55" t="str">
        <f>IF(AND(X$30,$O54),$C$33,"")</f>
        <v/>
      </c>
      <c r="Y54" s="56" t="str">
        <f>IF(AND(Y$30,$O54),$D$33,"")</f>
        <v/>
      </c>
      <c r="Z54" s="56">
        <f>IF(AND(Z$30,$O54),$E$33,"")</f>
        <v>28.4</v>
      </c>
      <c r="AA54" s="57" t="str">
        <f>IF(AND(AA$30,$O54),$F$33,"")</f>
        <v/>
      </c>
      <c r="AB54" s="55" t="str">
        <f>IF(AND(AB$30,$O54),$C$33,"")</f>
        <v/>
      </c>
      <c r="AC54" s="56" t="str">
        <f>IF(AND(AC$30,$O54),$D$33,"")</f>
        <v/>
      </c>
      <c r="AD54" s="56">
        <f>IF(AND(AD$30,$O54),$E$33,"")</f>
        <v>28.4</v>
      </c>
      <c r="AE54" s="57">
        <f>IF(AND(AE$30,$O54),$F$33,"")</f>
        <v>15.6</v>
      </c>
      <c r="AF54" s="55" t="str">
        <f>IF(AND(AF$30,$O54),$C$33,"")</f>
        <v/>
      </c>
      <c r="AG54" s="56">
        <f>IF(AND(AG$30,$O54),$D$33,"")</f>
        <v>23</v>
      </c>
      <c r="AH54" s="56" t="str">
        <f>IF(AND(AH$30,$O54),$E$33,"")</f>
        <v/>
      </c>
      <c r="AI54" s="57" t="str">
        <f>IF(AND(AI$30,$O54),$F$33,"")</f>
        <v/>
      </c>
      <c r="AJ54" s="55" t="str">
        <f>IF(AND(AJ$30,$O54),$C$33,"")</f>
        <v/>
      </c>
      <c r="AK54" s="56">
        <f>IF(AND(AK$30,$O54),$D$33,"")</f>
        <v>23</v>
      </c>
      <c r="AL54" s="56" t="str">
        <f>IF(AND(AL$30,$O54),$E$33,"")</f>
        <v/>
      </c>
      <c r="AM54" s="57">
        <f>IF(AND(AM$30,$O54),$F$33,"")</f>
        <v>15.6</v>
      </c>
      <c r="AN54" s="55" t="str">
        <f>IF(AND(AN$30,$O54),$C$33,"")</f>
        <v/>
      </c>
      <c r="AO54" s="56">
        <f>IF(AND(AO$30,$O54),$D$33,"")</f>
        <v>23</v>
      </c>
      <c r="AP54" s="56">
        <f>IF(AND(AP$30,$O54),$E$33,"")</f>
        <v>28.4</v>
      </c>
      <c r="AQ54" s="57" t="str">
        <f>IF(AND(AQ$30,$O54),$F$33,"")</f>
        <v/>
      </c>
      <c r="AR54" s="55" t="str">
        <f>IF(AND(AR$30,$O54),$C$33,"")</f>
        <v/>
      </c>
      <c r="AS54" s="56">
        <f>IF(AND(AS$30,$O54),$D$33,"")</f>
        <v>23</v>
      </c>
      <c r="AT54" s="56">
        <f>IF(AND(AT$30,$O54),$E$33,"")</f>
        <v>28.4</v>
      </c>
      <c r="AU54" s="57">
        <f>IF(AND(AU$30,$O54),$F$33,"")</f>
        <v>15.6</v>
      </c>
      <c r="AV54" s="55">
        <f>IF(AND(AV$30,$O54),$C$33,"")</f>
        <v>20.3</v>
      </c>
      <c r="AW54" s="56" t="str">
        <f>IF(AND(AW$30,$O54),$D$33,"")</f>
        <v/>
      </c>
      <c r="AX54" s="56" t="str">
        <f>IF(AND(AX$30,$O54),$E$33,"")</f>
        <v/>
      </c>
      <c r="AY54" s="57" t="str">
        <f>IF(AND(AY$30,$O54),$F$33,"")</f>
        <v/>
      </c>
      <c r="AZ54" s="55">
        <f>IF(AND(AZ$30,$O54),$C$33,"")</f>
        <v>20.3</v>
      </c>
      <c r="BA54" s="56" t="str">
        <f>IF(AND(BA$30,$O54),$D$33,"")</f>
        <v/>
      </c>
      <c r="BB54" s="56" t="str">
        <f>IF(AND(BB$30,$O54),$E$33,"")</f>
        <v/>
      </c>
      <c r="BC54" s="57">
        <f>IF(AND(BC$30,$O54),$F$33,"")</f>
        <v>15.6</v>
      </c>
      <c r="BD54" s="55">
        <f>IF(AND(BD$30,$O54),$C$33,"")</f>
        <v>20.3</v>
      </c>
      <c r="BE54" s="56" t="str">
        <f>IF(AND(BE$30,$O54),$D$33,"")</f>
        <v/>
      </c>
      <c r="BF54" s="56">
        <f>IF(AND(BF$30,$O54),$E$33,"")</f>
        <v>28.4</v>
      </c>
      <c r="BG54" s="57" t="str">
        <f>IF(AND(BG$30,$O54),$F$33,"")</f>
        <v/>
      </c>
      <c r="BH54" s="55">
        <f>IF(AND(BH$30,$O54),$C$33,"")</f>
        <v>20.3</v>
      </c>
      <c r="BI54" s="56" t="str">
        <f>IF(AND(BI$30,$O54),$D$33,"")</f>
        <v/>
      </c>
      <c r="BJ54" s="56">
        <f>IF(AND(BJ$30,$O54),$E$33,"")</f>
        <v>28.4</v>
      </c>
      <c r="BK54" s="57">
        <f>IF(AND(BK$30,$O54),$F$33,"")</f>
        <v>15.6</v>
      </c>
      <c r="BL54" s="55">
        <f>IF(AND(BL$30,$O54),$C$33,"")</f>
        <v>20.3</v>
      </c>
      <c r="BM54" s="56">
        <f>IF(AND(BM$30,$O54),$D$33,"")</f>
        <v>23</v>
      </c>
      <c r="BN54" s="56" t="str">
        <f>IF(AND(BN$30,$O54),$E$33,"")</f>
        <v/>
      </c>
      <c r="BO54" s="57" t="str">
        <f>IF(AND(BO$30,$O54),$F$33,"")</f>
        <v/>
      </c>
      <c r="BP54" s="55">
        <f>IF(AND(BP$30,$O54),$C$33,"")</f>
        <v>20.3</v>
      </c>
      <c r="BQ54" s="56">
        <f>IF(AND(BQ$30,$O54),$D$33,"")</f>
        <v>23</v>
      </c>
      <c r="BR54" s="56" t="str">
        <f>IF(AND(BR$30,$O54),$E$33,"")</f>
        <v/>
      </c>
      <c r="BS54" s="57">
        <f>IF(AND(BS$30,$O54),$F$33,"")</f>
        <v>15.6</v>
      </c>
      <c r="BT54" s="55">
        <f>IF(AND(BT$30,$O54),$C$33,"")</f>
        <v>20.3</v>
      </c>
      <c r="BU54" s="56">
        <f>IF(AND(BU$30,$O54),$D$33,"")</f>
        <v>23</v>
      </c>
      <c r="BV54" s="56">
        <f>IF(AND(BV$30,$O54),$E$33,"")</f>
        <v>28.4</v>
      </c>
      <c r="BW54" s="57" t="str">
        <f>IF(AND(BW$30,$O54),$F$33,"")</f>
        <v/>
      </c>
      <c r="BX54" s="55">
        <f>IF(AND(BX$30,$O54),$C$33,"")</f>
        <v>20.3</v>
      </c>
      <c r="BY54" s="56">
        <f>IF(AND(BY$30,$O54),$D$33,"")</f>
        <v>23</v>
      </c>
      <c r="BZ54" s="56">
        <f>IF(AND(BZ$30,$O54),$E$33,"")</f>
        <v>28.4</v>
      </c>
      <c r="CA54" s="57">
        <f>IF(AND(CA$30,$O54),$F$33,"")</f>
        <v>15.6</v>
      </c>
      <c r="CB54" s="55" t="str">
        <f>IF(AND(CB$30,$O54),$C$33,"")</f>
        <v/>
      </c>
      <c r="CC54" s="56" t="str">
        <f>IF(AND(CC$30,$O54),$D$33,"")</f>
        <v/>
      </c>
      <c r="CD54" s="56" t="str">
        <f>IF(AND(CD$30,$O54),$E$33,"")</f>
        <v/>
      </c>
      <c r="CE54" s="57" t="str">
        <f>IF(AND(CE$30,$O54),$F$33,"")</f>
        <v/>
      </c>
    </row>
    <row r="55" spans="12:83">
      <c r="L55" s="83" t="str">
        <f>MID(CodDegElegir,N55+1,1)</f>
        <v>Y</v>
      </c>
      <c r="M55" s="85" t="str">
        <f t="shared" si="6"/>
        <v>-</v>
      </c>
      <c r="N55">
        <v>6</v>
      </c>
      <c r="O55" s="81">
        <f>BinAnd(N55,A)</f>
        <v>0</v>
      </c>
      <c r="P55" s="29" t="str">
        <f>IF(AND(P$30,$O55),$C$30,"")</f>
        <v/>
      </c>
      <c r="Q55" s="30" t="str">
        <f>IF(AND(Q$30,$O55),$D$30,"")</f>
        <v/>
      </c>
      <c r="R55" s="30" t="str">
        <f>IF(AND(R$30,$O55),$E$30,"")</f>
        <v/>
      </c>
      <c r="S55" s="53" t="str">
        <f>IF(AND(S$30,$O55),$F$30,"")</f>
        <v/>
      </c>
      <c r="T55" s="29" t="str">
        <f>IF(AND(T$30,$O55),$C$30,"")</f>
        <v/>
      </c>
      <c r="U55" s="30" t="str">
        <f>IF(AND(U$30,$O55),$D$30,"")</f>
        <v/>
      </c>
      <c r="V55" s="30" t="str">
        <f>IF(AND(V$30,$O55),$E$30,"")</f>
        <v/>
      </c>
      <c r="W55" s="53" t="str">
        <f>IF(AND(W$30,$O55),$F$30,"")</f>
        <v/>
      </c>
      <c r="X55" s="29" t="str">
        <f>IF(AND(X$30,$O55),$C$30,"")</f>
        <v/>
      </c>
      <c r="Y55" s="30" t="str">
        <f>IF(AND(Y$30,$O55),$D$30,"")</f>
        <v/>
      </c>
      <c r="Z55" s="30" t="str">
        <f>IF(AND(Z$30,$O55),$E$30,"")</f>
        <v/>
      </c>
      <c r="AA55" s="53" t="str">
        <f>IF(AND(AA$30,$O55),$F$30,"")</f>
        <v/>
      </c>
      <c r="AB55" s="29" t="str">
        <f>IF(AND(AB$30,$O55),$C$30,"")</f>
        <v/>
      </c>
      <c r="AC55" s="30" t="str">
        <f>IF(AND(AC$30,$O55),$D$30,"")</f>
        <v/>
      </c>
      <c r="AD55" s="30" t="str">
        <f>IF(AND(AD$30,$O55),$E$30,"")</f>
        <v/>
      </c>
      <c r="AE55" s="53" t="str">
        <f>IF(AND(AE$30,$O55),$F$30,"")</f>
        <v/>
      </c>
      <c r="AF55" s="29" t="str">
        <f>IF(AND(AF$30,$O55),$C$30,"")</f>
        <v/>
      </c>
      <c r="AG55" s="30" t="str">
        <f>IF(AND(AG$30,$O55),$D$30,"")</f>
        <v/>
      </c>
      <c r="AH55" s="30" t="str">
        <f>IF(AND(AH$30,$O55),$E$30,"")</f>
        <v/>
      </c>
      <c r="AI55" s="53" t="str">
        <f>IF(AND(AI$30,$O55),$F$30,"")</f>
        <v/>
      </c>
      <c r="AJ55" s="29" t="str">
        <f>IF(AND(AJ$30,$O55),$C$30,"")</f>
        <v/>
      </c>
      <c r="AK55" s="30" t="str">
        <f>IF(AND(AK$30,$O55),$D$30,"")</f>
        <v/>
      </c>
      <c r="AL55" s="30" t="str">
        <f>IF(AND(AL$30,$O55),$E$30,"")</f>
        <v/>
      </c>
      <c r="AM55" s="53" t="str">
        <f>IF(AND(AM$30,$O55),$F$30,"")</f>
        <v/>
      </c>
      <c r="AN55" s="29" t="str">
        <f>IF(AND(AN$30,$O55),$C$30,"")</f>
        <v/>
      </c>
      <c r="AO55" s="30" t="str">
        <f>IF(AND(AO$30,$O55),$D$30,"")</f>
        <v/>
      </c>
      <c r="AP55" s="30" t="str">
        <f>IF(AND(AP$30,$O55),$E$30,"")</f>
        <v/>
      </c>
      <c r="AQ55" s="53" t="str">
        <f>IF(AND(AQ$30,$O55),$F$30,"")</f>
        <v/>
      </c>
      <c r="AR55" s="29" t="str">
        <f>IF(AND(AR$30,$O55),$C$30,"")</f>
        <v/>
      </c>
      <c r="AS55" s="30" t="str">
        <f>IF(AND(AS$30,$O55),$D$30,"")</f>
        <v/>
      </c>
      <c r="AT55" s="30" t="str">
        <f>IF(AND(AT$30,$O55),$E$30,"")</f>
        <v/>
      </c>
      <c r="AU55" s="53" t="str">
        <f>IF(AND(AU$30,$O55),$F$30,"")</f>
        <v/>
      </c>
      <c r="AV55" s="29" t="str">
        <f>IF(AND(AV$30,$O55),$C$30,"")</f>
        <v/>
      </c>
      <c r="AW55" s="30" t="str">
        <f>IF(AND(AW$30,$O55),$D$30,"")</f>
        <v/>
      </c>
      <c r="AX55" s="30" t="str">
        <f>IF(AND(AX$30,$O55),$E$30,"")</f>
        <v/>
      </c>
      <c r="AY55" s="53" t="str">
        <f>IF(AND(AY$30,$O55),$F$30,"")</f>
        <v/>
      </c>
      <c r="AZ55" s="29" t="str">
        <f>IF(AND(AZ$30,$O55),$C$30,"")</f>
        <v/>
      </c>
      <c r="BA55" s="30" t="str">
        <f>IF(AND(BA$30,$O55),$D$30,"")</f>
        <v/>
      </c>
      <c r="BB55" s="30" t="str">
        <f>IF(AND(BB$30,$O55),$E$30,"")</f>
        <v/>
      </c>
      <c r="BC55" s="53" t="str">
        <f>IF(AND(BC$30,$O55),$F$30,"")</f>
        <v/>
      </c>
      <c r="BD55" s="29" t="str">
        <f>IF(AND(BD$30,$O55),$C$30,"")</f>
        <v/>
      </c>
      <c r="BE55" s="30" t="str">
        <f>IF(AND(BE$30,$O55),$D$30,"")</f>
        <v/>
      </c>
      <c r="BF55" s="30" t="str">
        <f>IF(AND(BF$30,$O55),$E$30,"")</f>
        <v/>
      </c>
      <c r="BG55" s="53" t="str">
        <f>IF(AND(BG$30,$O55),$F$30,"")</f>
        <v/>
      </c>
      <c r="BH55" s="29" t="str">
        <f>IF(AND(BH$30,$O55),$C$30,"")</f>
        <v/>
      </c>
      <c r="BI55" s="30" t="str">
        <f>IF(AND(BI$30,$O55),$D$30,"")</f>
        <v/>
      </c>
      <c r="BJ55" s="30" t="str">
        <f>IF(AND(BJ$30,$O55),$E$30,"")</f>
        <v/>
      </c>
      <c r="BK55" s="53" t="str">
        <f>IF(AND(BK$30,$O55),$F$30,"")</f>
        <v/>
      </c>
      <c r="BL55" s="29" t="str">
        <f>IF(AND(BL$30,$O55),$C$30,"")</f>
        <v/>
      </c>
      <c r="BM55" s="30" t="str">
        <f>IF(AND(BM$30,$O55),$D$30,"")</f>
        <v/>
      </c>
      <c r="BN55" s="30" t="str">
        <f>IF(AND(BN$30,$O55),$E$30,"")</f>
        <v/>
      </c>
      <c r="BO55" s="53" t="str">
        <f>IF(AND(BO$30,$O55),$F$30,"")</f>
        <v/>
      </c>
      <c r="BP55" s="29" t="str">
        <f>IF(AND(BP$30,$O55),$C$30,"")</f>
        <v/>
      </c>
      <c r="BQ55" s="30" t="str">
        <f>IF(AND(BQ$30,$O55),$D$30,"")</f>
        <v/>
      </c>
      <c r="BR55" s="30" t="str">
        <f>IF(AND(BR$30,$O55),$E$30,"")</f>
        <v/>
      </c>
      <c r="BS55" s="53" t="str">
        <f>IF(AND(BS$30,$O55),$F$30,"")</f>
        <v/>
      </c>
      <c r="BT55" s="29" t="str">
        <f>IF(AND(BT$30,$O55),$C$30,"")</f>
        <v/>
      </c>
      <c r="BU55" s="30" t="str">
        <f>IF(AND(BU$30,$O55),$D$30,"")</f>
        <v/>
      </c>
      <c r="BV55" s="30" t="str">
        <f>IF(AND(BV$30,$O55),$E$30,"")</f>
        <v/>
      </c>
      <c r="BW55" s="53" t="str">
        <f>IF(AND(BW$30,$O55),$F$30,"")</f>
        <v/>
      </c>
      <c r="BX55" s="29" t="str">
        <f>IF(AND(BX$30,$O55),$C$30,"")</f>
        <v/>
      </c>
      <c r="BY55" s="30" t="str">
        <f>IF(AND(BY$30,$O55),$D$30,"")</f>
        <v/>
      </c>
      <c r="BZ55" s="30" t="str">
        <f>IF(AND(BZ$30,$O55),$E$30,"")</f>
        <v/>
      </c>
      <c r="CA55" s="53" t="str">
        <f>IF(AND(CA$30,$O55),$F$30,"")</f>
        <v/>
      </c>
      <c r="CB55" s="29" t="str">
        <f>IF(AND(CB$30,$O55),$C$30,"")</f>
        <v/>
      </c>
      <c r="CC55" s="30" t="str">
        <f>IF(AND(CC$30,$O55),$D$30,"")</f>
        <v/>
      </c>
      <c r="CD55" s="30" t="str">
        <f>IF(AND(CD$30,$O55),$E$30,"")</f>
        <v/>
      </c>
      <c r="CE55" s="53" t="str">
        <f>IF(AND(CE$30,$O55),$F$30,"")</f>
        <v/>
      </c>
    </row>
    <row r="56" spans="12:83">
      <c r="L56" s="87"/>
      <c r="M56" s="36" t="str">
        <f t="shared" si="6"/>
        <v>T</v>
      </c>
      <c r="O56" s="82">
        <f>BinAnd(N55,T)</f>
        <v>4</v>
      </c>
      <c r="P56" s="31" t="str">
        <f>IF(AND(P$30,$O56),$C$31,"")</f>
        <v/>
      </c>
      <c r="Q56" s="32" t="str">
        <f>IF(AND(Q$30,$O56),$D$31,"")</f>
        <v/>
      </c>
      <c r="R56" s="32" t="str">
        <f>IF(AND(R$30,$O56),$E$31,"")</f>
        <v/>
      </c>
      <c r="S56" s="54" t="str">
        <f>IF(AND(S$30,$O56),$F$31,"")</f>
        <v/>
      </c>
      <c r="T56" s="31" t="str">
        <f>IF(AND(T$30,$O56),$C$31,"")</f>
        <v/>
      </c>
      <c r="U56" s="32" t="str">
        <f>IF(AND(U$30,$O56),$D$31,"")</f>
        <v/>
      </c>
      <c r="V56" s="32" t="str">
        <f>IF(AND(V$30,$O56),$E$31,"")</f>
        <v/>
      </c>
      <c r="W56" s="54">
        <f>IF(AND(W$30,$O56),$F$31,"")</f>
        <v>19.3</v>
      </c>
      <c r="X56" s="31" t="str">
        <f>IF(AND(X$30,$O56),$C$31,"")</f>
        <v/>
      </c>
      <c r="Y56" s="32" t="str">
        <f>IF(AND(Y$30,$O56),$D$31,"")</f>
        <v/>
      </c>
      <c r="Z56" s="32">
        <f>IF(AND(Z$30,$O56),$E$31,"")</f>
        <v>20.3</v>
      </c>
      <c r="AA56" s="54" t="str">
        <f>IF(AND(AA$30,$O56),$F$31,"")</f>
        <v/>
      </c>
      <c r="AB56" s="31" t="str">
        <f>IF(AND(AB$30,$O56),$C$31,"")</f>
        <v/>
      </c>
      <c r="AC56" s="32" t="str">
        <f>IF(AND(AC$30,$O56),$D$31,"")</f>
        <v/>
      </c>
      <c r="AD56" s="32">
        <f>IF(AND(AD$30,$O56),$E$31,"")</f>
        <v>20.3</v>
      </c>
      <c r="AE56" s="54">
        <f>IF(AND(AE$30,$O56),$F$31,"")</f>
        <v>19.3</v>
      </c>
      <c r="AF56" s="31" t="str">
        <f>IF(AND(AF$30,$O56),$C$31,"")</f>
        <v/>
      </c>
      <c r="AG56" s="32">
        <f>IF(AND(AG$30,$O56),$D$31,"")</f>
        <v>23.6</v>
      </c>
      <c r="AH56" s="32" t="str">
        <f>IF(AND(AH$30,$O56),$E$31,"")</f>
        <v/>
      </c>
      <c r="AI56" s="54" t="str">
        <f>IF(AND(AI$30,$O56),$F$31,"")</f>
        <v/>
      </c>
      <c r="AJ56" s="31" t="str">
        <f>IF(AND(AJ$30,$O56),$C$31,"")</f>
        <v/>
      </c>
      <c r="AK56" s="32">
        <f>IF(AND(AK$30,$O56),$D$31,"")</f>
        <v>23.6</v>
      </c>
      <c r="AL56" s="32" t="str">
        <f>IF(AND(AL$30,$O56),$E$31,"")</f>
        <v/>
      </c>
      <c r="AM56" s="54">
        <f>IF(AND(AM$30,$O56),$F$31,"")</f>
        <v>19.3</v>
      </c>
      <c r="AN56" s="31" t="str">
        <f>IF(AND(AN$30,$O56),$C$31,"")</f>
        <v/>
      </c>
      <c r="AO56" s="32">
        <f>IF(AND(AO$30,$O56),$D$31,"")</f>
        <v>23.6</v>
      </c>
      <c r="AP56" s="32">
        <f>IF(AND(AP$30,$O56),$E$31,"")</f>
        <v>20.3</v>
      </c>
      <c r="AQ56" s="54" t="str">
        <f>IF(AND(AQ$30,$O56),$F$31,"")</f>
        <v/>
      </c>
      <c r="AR56" s="31" t="str">
        <f>IF(AND(AR$30,$O56),$C$31,"")</f>
        <v/>
      </c>
      <c r="AS56" s="32">
        <f>IF(AND(AS$30,$O56),$D$31,"")</f>
        <v>23.6</v>
      </c>
      <c r="AT56" s="32">
        <f>IF(AND(AT$30,$O56),$E$31,"")</f>
        <v>20.3</v>
      </c>
      <c r="AU56" s="54">
        <f>IF(AND(AU$30,$O56),$F$31,"")</f>
        <v>19.3</v>
      </c>
      <c r="AV56" s="31">
        <f>IF(AND(AV$30,$O56),$C$31,"")</f>
        <v>18.5</v>
      </c>
      <c r="AW56" s="32" t="str">
        <f>IF(AND(AW$30,$O56),$D$31,"")</f>
        <v/>
      </c>
      <c r="AX56" s="32" t="str">
        <f>IF(AND(AX$30,$O56),$E$31,"")</f>
        <v/>
      </c>
      <c r="AY56" s="54" t="str">
        <f>IF(AND(AY$30,$O56),$F$31,"")</f>
        <v/>
      </c>
      <c r="AZ56" s="31">
        <f>IF(AND(AZ$30,$O56),$C$31,"")</f>
        <v>18.5</v>
      </c>
      <c r="BA56" s="32" t="str">
        <f>IF(AND(BA$30,$O56),$D$31,"")</f>
        <v/>
      </c>
      <c r="BB56" s="32" t="str">
        <f>IF(AND(BB$30,$O56),$E$31,"")</f>
        <v/>
      </c>
      <c r="BC56" s="54">
        <f>IF(AND(BC$30,$O56),$F$31,"")</f>
        <v>19.3</v>
      </c>
      <c r="BD56" s="31">
        <f>IF(AND(BD$30,$O56),$C$31,"")</f>
        <v>18.5</v>
      </c>
      <c r="BE56" s="32" t="str">
        <f>IF(AND(BE$30,$O56),$D$31,"")</f>
        <v/>
      </c>
      <c r="BF56" s="32">
        <f>IF(AND(BF$30,$O56),$E$31,"")</f>
        <v>20.3</v>
      </c>
      <c r="BG56" s="54" t="str">
        <f>IF(AND(BG$30,$O56),$F$31,"")</f>
        <v/>
      </c>
      <c r="BH56" s="31">
        <f>IF(AND(BH$30,$O56),$C$31,"")</f>
        <v>18.5</v>
      </c>
      <c r="BI56" s="32" t="str">
        <f>IF(AND(BI$30,$O56),$D$31,"")</f>
        <v/>
      </c>
      <c r="BJ56" s="32">
        <f>IF(AND(BJ$30,$O56),$E$31,"")</f>
        <v>20.3</v>
      </c>
      <c r="BK56" s="54">
        <f>IF(AND(BK$30,$O56),$F$31,"")</f>
        <v>19.3</v>
      </c>
      <c r="BL56" s="31">
        <f>IF(AND(BL$30,$O56),$C$31,"")</f>
        <v>18.5</v>
      </c>
      <c r="BM56" s="32">
        <f>IF(AND(BM$30,$O56),$D$31,"")</f>
        <v>23.6</v>
      </c>
      <c r="BN56" s="32" t="str">
        <f>IF(AND(BN$30,$O56),$E$31,"")</f>
        <v/>
      </c>
      <c r="BO56" s="54" t="str">
        <f>IF(AND(BO$30,$O56),$F$31,"")</f>
        <v/>
      </c>
      <c r="BP56" s="31">
        <f>IF(AND(BP$30,$O56),$C$31,"")</f>
        <v>18.5</v>
      </c>
      <c r="BQ56" s="32">
        <f>IF(AND(BQ$30,$O56),$D$31,"")</f>
        <v>23.6</v>
      </c>
      <c r="BR56" s="32" t="str">
        <f>IF(AND(BR$30,$O56),$E$31,"")</f>
        <v/>
      </c>
      <c r="BS56" s="54">
        <f>IF(AND(BS$30,$O56),$F$31,"")</f>
        <v>19.3</v>
      </c>
      <c r="BT56" s="31">
        <f>IF(AND(BT$30,$O56),$C$31,"")</f>
        <v>18.5</v>
      </c>
      <c r="BU56" s="32">
        <f>IF(AND(BU$30,$O56),$D$31,"")</f>
        <v>23.6</v>
      </c>
      <c r="BV56" s="32">
        <f>IF(AND(BV$30,$O56),$E$31,"")</f>
        <v>20.3</v>
      </c>
      <c r="BW56" s="54" t="str">
        <f>IF(AND(BW$30,$O56),$F$31,"")</f>
        <v/>
      </c>
      <c r="BX56" s="31">
        <f>IF(AND(BX$30,$O56),$C$31,"")</f>
        <v>18.5</v>
      </c>
      <c r="BY56" s="32">
        <f>IF(AND(BY$30,$O56),$D$31,"")</f>
        <v>23.6</v>
      </c>
      <c r="BZ56" s="32">
        <f>IF(AND(BZ$30,$O56),$E$31,"")</f>
        <v>20.3</v>
      </c>
      <c r="CA56" s="54">
        <f>IF(AND(CA$30,$O56),$F$31,"")</f>
        <v>19.3</v>
      </c>
      <c r="CB56" s="31" t="str">
        <f>IF(AND(CB$30,$O56),$C$31,"")</f>
        <v/>
      </c>
      <c r="CC56" s="32" t="str">
        <f>IF(AND(CC$30,$O56),$D$31,"")</f>
        <v/>
      </c>
      <c r="CD56" s="32" t="str">
        <f>IF(AND(CD$30,$O56),$E$31,"")</f>
        <v/>
      </c>
      <c r="CE56" s="54" t="str">
        <f>IF(AND(CE$30,$O56),$F$31,"")</f>
        <v/>
      </c>
    </row>
    <row r="57" spans="12:83">
      <c r="L57" s="87"/>
      <c r="M57" s="36" t="str">
        <f t="shared" si="6"/>
        <v>C</v>
      </c>
      <c r="O57" s="82">
        <f>BinAnd(N55,Ce)</f>
        <v>2</v>
      </c>
      <c r="P57" s="31" t="str">
        <f>IF(AND(P$30,$O57),$C$32,"")</f>
        <v/>
      </c>
      <c r="Q57" s="32" t="str">
        <f>IF(AND(Q$30,$O57),$D$32,"")</f>
        <v/>
      </c>
      <c r="R57" s="32" t="str">
        <f>IF(AND(R$30,$O57),$E$32,"")</f>
        <v/>
      </c>
      <c r="S57" s="54" t="str">
        <f>IF(AND(S$30,$O57),$F$32,"")</f>
        <v/>
      </c>
      <c r="T57" s="31" t="str">
        <f>IF(AND(T$30,$O57),$C$32,"")</f>
        <v/>
      </c>
      <c r="U57" s="32" t="str">
        <f>IF(AND(U$30,$O57),$D$32,"")</f>
        <v/>
      </c>
      <c r="V57" s="32" t="str">
        <f>IF(AND(V$30,$O57),$E$32,"")</f>
        <v/>
      </c>
      <c r="W57" s="54">
        <f>IF(AND(W$30,$O57),$F$32,"")</f>
        <v>25.5</v>
      </c>
      <c r="X57" s="31" t="str">
        <f>IF(AND(X$30,$O57),$C$32,"")</f>
        <v/>
      </c>
      <c r="Y57" s="32" t="str">
        <f>IF(AND(Y$30,$O57),$D$32,"")</f>
        <v/>
      </c>
      <c r="Z57" s="32">
        <f>IF(AND(Z$30,$O57),$E$32,"")</f>
        <v>15.6</v>
      </c>
      <c r="AA57" s="54" t="str">
        <f>IF(AND(AA$30,$O57),$F$32,"")</f>
        <v/>
      </c>
      <c r="AB57" s="31" t="str">
        <f>IF(AND(AB$30,$O57),$C$32,"")</f>
        <v/>
      </c>
      <c r="AC57" s="32" t="str">
        <f>IF(AND(AC$30,$O57),$D$32,"")</f>
        <v/>
      </c>
      <c r="AD57" s="32">
        <f>IF(AND(AD$30,$O57),$E$32,"")</f>
        <v>15.6</v>
      </c>
      <c r="AE57" s="54">
        <f>IF(AND(AE$30,$O57),$F$32,"")</f>
        <v>25.5</v>
      </c>
      <c r="AF57" s="31" t="str">
        <f>IF(AND(AF$30,$O57),$C$32,"")</f>
        <v/>
      </c>
      <c r="AG57" s="32">
        <f>IF(AND(AG$30,$O57),$D$32,"")</f>
        <v>16.100000000000001</v>
      </c>
      <c r="AH57" s="32" t="str">
        <f>IF(AND(AH$30,$O57),$E$32,"")</f>
        <v/>
      </c>
      <c r="AI57" s="54" t="str">
        <f>IF(AND(AI$30,$O57),$F$32,"")</f>
        <v/>
      </c>
      <c r="AJ57" s="31" t="str">
        <f>IF(AND(AJ$30,$O57),$C$32,"")</f>
        <v/>
      </c>
      <c r="AK57" s="32">
        <f>IF(AND(AK$30,$O57),$D$32,"")</f>
        <v>16.100000000000001</v>
      </c>
      <c r="AL57" s="32" t="str">
        <f>IF(AND(AL$30,$O57),$E$32,"")</f>
        <v/>
      </c>
      <c r="AM57" s="54">
        <f>IF(AND(AM$30,$O57),$F$32,"")</f>
        <v>25.5</v>
      </c>
      <c r="AN57" s="31" t="str">
        <f>IF(AND(AN$30,$O57),$C$32,"")</f>
        <v/>
      </c>
      <c r="AO57" s="32">
        <f>IF(AND(AO$30,$O57),$D$32,"")</f>
        <v>16.100000000000001</v>
      </c>
      <c r="AP57" s="32">
        <f>IF(AND(AP$30,$O57),$E$32,"")</f>
        <v>15.6</v>
      </c>
      <c r="AQ57" s="54" t="str">
        <f>IF(AND(AQ$30,$O57),$F$32,"")</f>
        <v/>
      </c>
      <c r="AR57" s="31" t="str">
        <f>IF(AND(AR$30,$O57),$C$32,"")</f>
        <v/>
      </c>
      <c r="AS57" s="32">
        <f>IF(AND(AS$30,$O57),$D$32,"")</f>
        <v>16.100000000000001</v>
      </c>
      <c r="AT57" s="32">
        <f>IF(AND(AT$30,$O57),$E$32,"")</f>
        <v>15.6</v>
      </c>
      <c r="AU57" s="54">
        <f>IF(AND(AU$30,$O57),$F$32,"")</f>
        <v>25.5</v>
      </c>
      <c r="AV57" s="31">
        <f>IF(AND(AV$30,$O57),$C$32,"")</f>
        <v>19.3</v>
      </c>
      <c r="AW57" s="32" t="str">
        <f>IF(AND(AW$30,$O57),$D$32,"")</f>
        <v/>
      </c>
      <c r="AX57" s="32" t="str">
        <f>IF(AND(AX$30,$O57),$E$32,"")</f>
        <v/>
      </c>
      <c r="AY57" s="54" t="str">
        <f>IF(AND(AY$30,$O57),$F$32,"")</f>
        <v/>
      </c>
      <c r="AZ57" s="31">
        <f>IF(AND(AZ$30,$O57),$C$32,"")</f>
        <v>19.3</v>
      </c>
      <c r="BA57" s="32" t="str">
        <f>IF(AND(BA$30,$O57),$D$32,"")</f>
        <v/>
      </c>
      <c r="BB57" s="32" t="str">
        <f>IF(AND(BB$30,$O57),$E$32,"")</f>
        <v/>
      </c>
      <c r="BC57" s="54">
        <f>IF(AND(BC$30,$O57),$F$32,"")</f>
        <v>25.5</v>
      </c>
      <c r="BD57" s="31">
        <f>IF(AND(BD$30,$O57),$C$32,"")</f>
        <v>19.3</v>
      </c>
      <c r="BE57" s="32" t="str">
        <f>IF(AND(BE$30,$O57),$D$32,"")</f>
        <v/>
      </c>
      <c r="BF57" s="32">
        <f>IF(AND(BF$30,$O57),$E$32,"")</f>
        <v>15.6</v>
      </c>
      <c r="BG57" s="54" t="str">
        <f>IF(AND(BG$30,$O57),$F$32,"")</f>
        <v/>
      </c>
      <c r="BH57" s="31">
        <f>IF(AND(BH$30,$O57),$C$32,"")</f>
        <v>19.3</v>
      </c>
      <c r="BI57" s="32" t="str">
        <f>IF(AND(BI$30,$O57),$D$32,"")</f>
        <v/>
      </c>
      <c r="BJ57" s="32">
        <f>IF(AND(BJ$30,$O57),$E$32,"")</f>
        <v>15.6</v>
      </c>
      <c r="BK57" s="54">
        <f>IF(AND(BK$30,$O57),$F$32,"")</f>
        <v>25.5</v>
      </c>
      <c r="BL57" s="31">
        <f>IF(AND(BL$30,$O57),$C$32,"")</f>
        <v>19.3</v>
      </c>
      <c r="BM57" s="32">
        <f>IF(AND(BM$30,$O57),$D$32,"")</f>
        <v>16.100000000000001</v>
      </c>
      <c r="BN57" s="32" t="str">
        <f>IF(AND(BN$30,$O57),$E$32,"")</f>
        <v/>
      </c>
      <c r="BO57" s="54" t="str">
        <f>IF(AND(BO$30,$O57),$F$32,"")</f>
        <v/>
      </c>
      <c r="BP57" s="31">
        <f>IF(AND(BP$30,$O57),$C$32,"")</f>
        <v>19.3</v>
      </c>
      <c r="BQ57" s="32">
        <f>IF(AND(BQ$30,$O57),$D$32,"")</f>
        <v>16.100000000000001</v>
      </c>
      <c r="BR57" s="32" t="str">
        <f>IF(AND(BR$30,$O57),$E$32,"")</f>
        <v/>
      </c>
      <c r="BS57" s="54">
        <f>IF(AND(BS$30,$O57),$F$32,"")</f>
        <v>25.5</v>
      </c>
      <c r="BT57" s="31">
        <f>IF(AND(BT$30,$O57),$C$32,"")</f>
        <v>19.3</v>
      </c>
      <c r="BU57" s="32">
        <f>IF(AND(BU$30,$O57),$D$32,"")</f>
        <v>16.100000000000001</v>
      </c>
      <c r="BV57" s="32">
        <f>IF(AND(BV$30,$O57),$E$32,"")</f>
        <v>15.6</v>
      </c>
      <c r="BW57" s="54" t="str">
        <f>IF(AND(BW$30,$O57),$F$32,"")</f>
        <v/>
      </c>
      <c r="BX57" s="31">
        <f>IF(AND(BX$30,$O57),$C$32,"")</f>
        <v>19.3</v>
      </c>
      <c r="BY57" s="32">
        <f>IF(AND(BY$30,$O57),$D$32,"")</f>
        <v>16.100000000000001</v>
      </c>
      <c r="BZ57" s="32">
        <f>IF(AND(BZ$30,$O57),$E$32,"")</f>
        <v>15.6</v>
      </c>
      <c r="CA57" s="54">
        <f>IF(AND(CA$30,$O57),$F$32,"")</f>
        <v>25.5</v>
      </c>
      <c r="CB57" s="31" t="str">
        <f>IF(AND(CB$30,$O57),$C$32,"")</f>
        <v/>
      </c>
      <c r="CC57" s="32" t="str">
        <f>IF(AND(CC$30,$O57),$D$32,"")</f>
        <v/>
      </c>
      <c r="CD57" s="32" t="str">
        <f>IF(AND(CD$30,$O57),$E$32,"")</f>
        <v/>
      </c>
      <c r="CE57" s="54" t="str">
        <f>IF(AND(CE$30,$O57),$F$32,"")</f>
        <v/>
      </c>
    </row>
    <row r="58" spans="12:83" ht="15.75" thickBot="1">
      <c r="L58" s="86"/>
      <c r="M58" s="37" t="str">
        <f t="shared" si="6"/>
        <v>-</v>
      </c>
      <c r="O58" s="43">
        <f>BinAnd(N55,G)</f>
        <v>0</v>
      </c>
      <c r="P58" s="55" t="str">
        <f>IF(AND(P$30,$O58),$C$33,"")</f>
        <v/>
      </c>
      <c r="Q58" s="56" t="str">
        <f>IF(AND(Q$30,$O58),$D$33,"")</f>
        <v/>
      </c>
      <c r="R58" s="56" t="str">
        <f>IF(AND(R$30,$O58),$E$33,"")</f>
        <v/>
      </c>
      <c r="S58" s="57" t="str">
        <f>IF(AND(S$30,$O58),$F$33,"")</f>
        <v/>
      </c>
      <c r="T58" s="55" t="str">
        <f>IF(AND(T$30,$O58),$C$33,"")</f>
        <v/>
      </c>
      <c r="U58" s="56" t="str">
        <f>IF(AND(U$30,$O58),$D$33,"")</f>
        <v/>
      </c>
      <c r="V58" s="56" t="str">
        <f>IF(AND(V$30,$O58),$E$33,"")</f>
        <v/>
      </c>
      <c r="W58" s="57" t="str">
        <f>IF(AND(W$30,$O58),$F$33,"")</f>
        <v/>
      </c>
      <c r="X58" s="55" t="str">
        <f>IF(AND(X$30,$O58),$C$33,"")</f>
        <v/>
      </c>
      <c r="Y58" s="56" t="str">
        <f>IF(AND(Y$30,$O58),$D$33,"")</f>
        <v/>
      </c>
      <c r="Z58" s="56" t="str">
        <f>IF(AND(Z$30,$O58),$E$33,"")</f>
        <v/>
      </c>
      <c r="AA58" s="57" t="str">
        <f>IF(AND(AA$30,$O58),$F$33,"")</f>
        <v/>
      </c>
      <c r="AB58" s="55" t="str">
        <f>IF(AND(AB$30,$O58),$C$33,"")</f>
        <v/>
      </c>
      <c r="AC58" s="56" t="str">
        <f>IF(AND(AC$30,$O58),$D$33,"")</f>
        <v/>
      </c>
      <c r="AD58" s="56" t="str">
        <f>IF(AND(AD$30,$O58),$E$33,"")</f>
        <v/>
      </c>
      <c r="AE58" s="57" t="str">
        <f>IF(AND(AE$30,$O58),$F$33,"")</f>
        <v/>
      </c>
      <c r="AF58" s="55" t="str">
        <f>IF(AND(AF$30,$O58),$C$33,"")</f>
        <v/>
      </c>
      <c r="AG58" s="56" t="str">
        <f>IF(AND(AG$30,$O58),$D$33,"")</f>
        <v/>
      </c>
      <c r="AH58" s="56" t="str">
        <f>IF(AND(AH$30,$O58),$E$33,"")</f>
        <v/>
      </c>
      <c r="AI58" s="57" t="str">
        <f>IF(AND(AI$30,$O58),$F$33,"")</f>
        <v/>
      </c>
      <c r="AJ58" s="55" t="str">
        <f>IF(AND(AJ$30,$O58),$C$33,"")</f>
        <v/>
      </c>
      <c r="AK58" s="56" t="str">
        <f>IF(AND(AK$30,$O58),$D$33,"")</f>
        <v/>
      </c>
      <c r="AL58" s="56" t="str">
        <f>IF(AND(AL$30,$O58),$E$33,"")</f>
        <v/>
      </c>
      <c r="AM58" s="57" t="str">
        <f>IF(AND(AM$30,$O58),$F$33,"")</f>
        <v/>
      </c>
      <c r="AN58" s="55" t="str">
        <f>IF(AND(AN$30,$O58),$C$33,"")</f>
        <v/>
      </c>
      <c r="AO58" s="56" t="str">
        <f>IF(AND(AO$30,$O58),$D$33,"")</f>
        <v/>
      </c>
      <c r="AP58" s="56" t="str">
        <f>IF(AND(AP$30,$O58),$E$33,"")</f>
        <v/>
      </c>
      <c r="AQ58" s="57" t="str">
        <f>IF(AND(AQ$30,$O58),$F$33,"")</f>
        <v/>
      </c>
      <c r="AR58" s="55" t="str">
        <f>IF(AND(AR$30,$O58),$C$33,"")</f>
        <v/>
      </c>
      <c r="AS58" s="56" t="str">
        <f>IF(AND(AS$30,$O58),$D$33,"")</f>
        <v/>
      </c>
      <c r="AT58" s="56" t="str">
        <f>IF(AND(AT$30,$O58),$E$33,"")</f>
        <v/>
      </c>
      <c r="AU58" s="57" t="str">
        <f>IF(AND(AU$30,$O58),$F$33,"")</f>
        <v/>
      </c>
      <c r="AV58" s="55" t="str">
        <f>IF(AND(AV$30,$O58),$C$33,"")</f>
        <v/>
      </c>
      <c r="AW58" s="56" t="str">
        <f>IF(AND(AW$30,$O58),$D$33,"")</f>
        <v/>
      </c>
      <c r="AX58" s="56" t="str">
        <f>IF(AND(AX$30,$O58),$E$33,"")</f>
        <v/>
      </c>
      <c r="AY58" s="57" t="str">
        <f>IF(AND(AY$30,$O58),$F$33,"")</f>
        <v/>
      </c>
      <c r="AZ58" s="55" t="str">
        <f>IF(AND(AZ$30,$O58),$C$33,"")</f>
        <v/>
      </c>
      <c r="BA58" s="56" t="str">
        <f>IF(AND(BA$30,$O58),$D$33,"")</f>
        <v/>
      </c>
      <c r="BB58" s="56" t="str">
        <f>IF(AND(BB$30,$O58),$E$33,"")</f>
        <v/>
      </c>
      <c r="BC58" s="57" t="str">
        <f>IF(AND(BC$30,$O58),$F$33,"")</f>
        <v/>
      </c>
      <c r="BD58" s="55" t="str">
        <f>IF(AND(BD$30,$O58),$C$33,"")</f>
        <v/>
      </c>
      <c r="BE58" s="56" t="str">
        <f>IF(AND(BE$30,$O58),$D$33,"")</f>
        <v/>
      </c>
      <c r="BF58" s="56" t="str">
        <f>IF(AND(BF$30,$O58),$E$33,"")</f>
        <v/>
      </c>
      <c r="BG58" s="57" t="str">
        <f>IF(AND(BG$30,$O58),$F$33,"")</f>
        <v/>
      </c>
      <c r="BH58" s="55" t="str">
        <f>IF(AND(BH$30,$O58),$C$33,"")</f>
        <v/>
      </c>
      <c r="BI58" s="56" t="str">
        <f>IF(AND(BI$30,$O58),$D$33,"")</f>
        <v/>
      </c>
      <c r="BJ58" s="56" t="str">
        <f>IF(AND(BJ$30,$O58),$E$33,"")</f>
        <v/>
      </c>
      <c r="BK58" s="57" t="str">
        <f>IF(AND(BK$30,$O58),$F$33,"")</f>
        <v/>
      </c>
      <c r="BL58" s="55" t="str">
        <f>IF(AND(BL$30,$O58),$C$33,"")</f>
        <v/>
      </c>
      <c r="BM58" s="56" t="str">
        <f>IF(AND(BM$30,$O58),$D$33,"")</f>
        <v/>
      </c>
      <c r="BN58" s="56" t="str">
        <f>IF(AND(BN$30,$O58),$E$33,"")</f>
        <v/>
      </c>
      <c r="BO58" s="57" t="str">
        <f>IF(AND(BO$30,$O58),$F$33,"")</f>
        <v/>
      </c>
      <c r="BP58" s="55" t="str">
        <f>IF(AND(BP$30,$O58),$C$33,"")</f>
        <v/>
      </c>
      <c r="BQ58" s="56" t="str">
        <f>IF(AND(BQ$30,$O58),$D$33,"")</f>
        <v/>
      </c>
      <c r="BR58" s="56" t="str">
        <f>IF(AND(BR$30,$O58),$E$33,"")</f>
        <v/>
      </c>
      <c r="BS58" s="57" t="str">
        <f>IF(AND(BS$30,$O58),$F$33,"")</f>
        <v/>
      </c>
      <c r="BT58" s="55" t="str">
        <f>IF(AND(BT$30,$O58),$C$33,"")</f>
        <v/>
      </c>
      <c r="BU58" s="56" t="str">
        <f>IF(AND(BU$30,$O58),$D$33,"")</f>
        <v/>
      </c>
      <c r="BV58" s="56" t="str">
        <f>IF(AND(BV$30,$O58),$E$33,"")</f>
        <v/>
      </c>
      <c r="BW58" s="57" t="str">
        <f>IF(AND(BW$30,$O58),$F$33,"")</f>
        <v/>
      </c>
      <c r="BX58" s="55" t="str">
        <f>IF(AND(BX$30,$O58),$C$33,"")</f>
        <v/>
      </c>
      <c r="BY58" s="56" t="str">
        <f>IF(AND(BY$30,$O58),$D$33,"")</f>
        <v/>
      </c>
      <c r="BZ58" s="56" t="str">
        <f>IF(AND(BZ$30,$O58),$E$33,"")</f>
        <v/>
      </c>
      <c r="CA58" s="57" t="str">
        <f>IF(AND(CA$30,$O58),$F$33,"")</f>
        <v/>
      </c>
      <c r="CB58" s="55" t="str">
        <f>IF(AND(CB$30,$O58),$C$33,"")</f>
        <v/>
      </c>
      <c r="CC58" s="56" t="str">
        <f>IF(AND(CC$30,$O58),$D$33,"")</f>
        <v/>
      </c>
      <c r="CD58" s="56" t="str">
        <f>IF(AND(CD$30,$O58),$E$33,"")</f>
        <v/>
      </c>
      <c r="CE58" s="57" t="str">
        <f>IF(AND(CE$30,$O58),$F$33,"")</f>
        <v/>
      </c>
    </row>
    <row r="59" spans="12:83">
      <c r="L59" s="83" t="str">
        <f>MID(CodDegElegir,N59+1,1)</f>
        <v>B</v>
      </c>
      <c r="M59" s="85" t="str">
        <f t="shared" si="6"/>
        <v>-</v>
      </c>
      <c r="N59">
        <v>7</v>
      </c>
      <c r="O59" s="81">
        <f>BinAnd(N59,A)</f>
        <v>0</v>
      </c>
      <c r="P59" s="29" t="str">
        <f>IF(AND(P$30,$O59),$C$30,"")</f>
        <v/>
      </c>
      <c r="Q59" s="30" t="str">
        <f>IF(AND(Q$30,$O59),$D$30,"")</f>
        <v/>
      </c>
      <c r="R59" s="30" t="str">
        <f>IF(AND(R$30,$O59),$E$30,"")</f>
        <v/>
      </c>
      <c r="S59" s="53" t="str">
        <f>IF(AND(S$30,$O59),$F$30,"")</f>
        <v/>
      </c>
      <c r="T59" s="29" t="str">
        <f>IF(AND(T$30,$O59),$C$30,"")</f>
        <v/>
      </c>
      <c r="U59" s="30" t="str">
        <f>IF(AND(U$30,$O59),$D$30,"")</f>
        <v/>
      </c>
      <c r="V59" s="30" t="str">
        <f>IF(AND(V$30,$O59),$E$30,"")</f>
        <v/>
      </c>
      <c r="W59" s="53" t="str">
        <f>IF(AND(W$30,$O59),$F$30,"")</f>
        <v/>
      </c>
      <c r="X59" s="29" t="str">
        <f>IF(AND(X$30,$O59),$C$30,"")</f>
        <v/>
      </c>
      <c r="Y59" s="30" t="str">
        <f>IF(AND(Y$30,$O59),$D$30,"")</f>
        <v/>
      </c>
      <c r="Z59" s="30" t="str">
        <f>IF(AND(Z$30,$O59),$E$30,"")</f>
        <v/>
      </c>
      <c r="AA59" s="53" t="str">
        <f>IF(AND(AA$30,$O59),$F$30,"")</f>
        <v/>
      </c>
      <c r="AB59" s="29" t="str">
        <f>IF(AND(AB$30,$O59),$C$30,"")</f>
        <v/>
      </c>
      <c r="AC59" s="30" t="str">
        <f>IF(AND(AC$30,$O59),$D$30,"")</f>
        <v/>
      </c>
      <c r="AD59" s="30" t="str">
        <f>IF(AND(AD$30,$O59),$E$30,"")</f>
        <v/>
      </c>
      <c r="AE59" s="53" t="str">
        <f>IF(AND(AE$30,$O59),$F$30,"")</f>
        <v/>
      </c>
      <c r="AF59" s="29" t="str">
        <f>IF(AND(AF$30,$O59),$C$30,"")</f>
        <v/>
      </c>
      <c r="AG59" s="30" t="str">
        <f>IF(AND(AG$30,$O59),$D$30,"")</f>
        <v/>
      </c>
      <c r="AH59" s="30" t="str">
        <f>IF(AND(AH$30,$O59),$E$30,"")</f>
        <v/>
      </c>
      <c r="AI59" s="53" t="str">
        <f>IF(AND(AI$30,$O59),$F$30,"")</f>
        <v/>
      </c>
      <c r="AJ59" s="29" t="str">
        <f>IF(AND(AJ$30,$O59),$C$30,"")</f>
        <v/>
      </c>
      <c r="AK59" s="30" t="str">
        <f>IF(AND(AK$30,$O59),$D$30,"")</f>
        <v/>
      </c>
      <c r="AL59" s="30" t="str">
        <f>IF(AND(AL$30,$O59),$E$30,"")</f>
        <v/>
      </c>
      <c r="AM59" s="53" t="str">
        <f>IF(AND(AM$30,$O59),$F$30,"")</f>
        <v/>
      </c>
      <c r="AN59" s="29" t="str">
        <f>IF(AND(AN$30,$O59),$C$30,"")</f>
        <v/>
      </c>
      <c r="AO59" s="30" t="str">
        <f>IF(AND(AO$30,$O59),$D$30,"")</f>
        <v/>
      </c>
      <c r="AP59" s="30" t="str">
        <f>IF(AND(AP$30,$O59),$E$30,"")</f>
        <v/>
      </c>
      <c r="AQ59" s="53" t="str">
        <f>IF(AND(AQ$30,$O59),$F$30,"")</f>
        <v/>
      </c>
      <c r="AR59" s="29" t="str">
        <f>IF(AND(AR$30,$O59),$C$30,"")</f>
        <v/>
      </c>
      <c r="AS59" s="30" t="str">
        <f>IF(AND(AS$30,$O59),$D$30,"")</f>
        <v/>
      </c>
      <c r="AT59" s="30" t="str">
        <f>IF(AND(AT$30,$O59),$E$30,"")</f>
        <v/>
      </c>
      <c r="AU59" s="53" t="str">
        <f>IF(AND(AU$30,$O59),$F$30,"")</f>
        <v/>
      </c>
      <c r="AV59" s="29" t="str">
        <f>IF(AND(AV$30,$O59),$C$30,"")</f>
        <v/>
      </c>
      <c r="AW59" s="30" t="str">
        <f>IF(AND(AW$30,$O59),$D$30,"")</f>
        <v/>
      </c>
      <c r="AX59" s="30" t="str">
        <f>IF(AND(AX$30,$O59),$E$30,"")</f>
        <v/>
      </c>
      <c r="AY59" s="53" t="str">
        <f>IF(AND(AY$30,$O59),$F$30,"")</f>
        <v/>
      </c>
      <c r="AZ59" s="29" t="str">
        <f>IF(AND(AZ$30,$O59),$C$30,"")</f>
        <v/>
      </c>
      <c r="BA59" s="30" t="str">
        <f>IF(AND(BA$30,$O59),$D$30,"")</f>
        <v/>
      </c>
      <c r="BB59" s="30" t="str">
        <f>IF(AND(BB$30,$O59),$E$30,"")</f>
        <v/>
      </c>
      <c r="BC59" s="53" t="str">
        <f>IF(AND(BC$30,$O59),$F$30,"")</f>
        <v/>
      </c>
      <c r="BD59" s="29" t="str">
        <f>IF(AND(BD$30,$O59),$C$30,"")</f>
        <v/>
      </c>
      <c r="BE59" s="30" t="str">
        <f>IF(AND(BE$30,$O59),$D$30,"")</f>
        <v/>
      </c>
      <c r="BF59" s="30" t="str">
        <f>IF(AND(BF$30,$O59),$E$30,"")</f>
        <v/>
      </c>
      <c r="BG59" s="53" t="str">
        <f>IF(AND(BG$30,$O59),$F$30,"")</f>
        <v/>
      </c>
      <c r="BH59" s="29" t="str">
        <f>IF(AND(BH$30,$O59),$C$30,"")</f>
        <v/>
      </c>
      <c r="BI59" s="30" t="str">
        <f>IF(AND(BI$30,$O59),$D$30,"")</f>
        <v/>
      </c>
      <c r="BJ59" s="30" t="str">
        <f>IF(AND(BJ$30,$O59),$E$30,"")</f>
        <v/>
      </c>
      <c r="BK59" s="53" t="str">
        <f>IF(AND(BK$30,$O59),$F$30,"")</f>
        <v/>
      </c>
      <c r="BL59" s="29" t="str">
        <f>IF(AND(BL$30,$O59),$C$30,"")</f>
        <v/>
      </c>
      <c r="BM59" s="30" t="str">
        <f>IF(AND(BM$30,$O59),$D$30,"")</f>
        <v/>
      </c>
      <c r="BN59" s="30" t="str">
        <f>IF(AND(BN$30,$O59),$E$30,"")</f>
        <v/>
      </c>
      <c r="BO59" s="53" t="str">
        <f>IF(AND(BO$30,$O59),$F$30,"")</f>
        <v/>
      </c>
      <c r="BP59" s="29" t="str">
        <f>IF(AND(BP$30,$O59),$C$30,"")</f>
        <v/>
      </c>
      <c r="BQ59" s="30" t="str">
        <f>IF(AND(BQ$30,$O59),$D$30,"")</f>
        <v/>
      </c>
      <c r="BR59" s="30" t="str">
        <f>IF(AND(BR$30,$O59),$E$30,"")</f>
        <v/>
      </c>
      <c r="BS59" s="53" t="str">
        <f>IF(AND(BS$30,$O59),$F$30,"")</f>
        <v/>
      </c>
      <c r="BT59" s="29" t="str">
        <f>IF(AND(BT$30,$O59),$C$30,"")</f>
        <v/>
      </c>
      <c r="BU59" s="30" t="str">
        <f>IF(AND(BU$30,$O59),$D$30,"")</f>
        <v/>
      </c>
      <c r="BV59" s="30" t="str">
        <f>IF(AND(BV$30,$O59),$E$30,"")</f>
        <v/>
      </c>
      <c r="BW59" s="53" t="str">
        <f>IF(AND(BW$30,$O59),$F$30,"")</f>
        <v/>
      </c>
      <c r="BX59" s="29" t="str">
        <f>IF(AND(BX$30,$O59),$C$30,"")</f>
        <v/>
      </c>
      <c r="BY59" s="30" t="str">
        <f>IF(AND(BY$30,$O59),$D$30,"")</f>
        <v/>
      </c>
      <c r="BZ59" s="30" t="str">
        <f>IF(AND(BZ$30,$O59),$E$30,"")</f>
        <v/>
      </c>
      <c r="CA59" s="53" t="str">
        <f>IF(AND(CA$30,$O59),$F$30,"")</f>
        <v/>
      </c>
      <c r="CB59" s="29" t="str">
        <f>IF(AND(CB$30,$O59),$C$30,"")</f>
        <v/>
      </c>
      <c r="CC59" s="30" t="str">
        <f>IF(AND(CC$30,$O59),$D$30,"")</f>
        <v/>
      </c>
      <c r="CD59" s="30" t="str">
        <f>IF(AND(CD$30,$O59),$E$30,"")</f>
        <v/>
      </c>
      <c r="CE59" s="53" t="str">
        <f>IF(AND(CE$30,$O59),$F$30,"")</f>
        <v/>
      </c>
    </row>
    <row r="60" spans="12:83">
      <c r="L60" s="87"/>
      <c r="M60" s="36" t="str">
        <f t="shared" si="6"/>
        <v>T</v>
      </c>
      <c r="O60" s="82">
        <f>BinAnd(N59,T)</f>
        <v>4</v>
      </c>
      <c r="P60" s="31" t="str">
        <f>IF(AND(P$30,$O60),$C$31,"")</f>
        <v/>
      </c>
      <c r="Q60" s="32" t="str">
        <f>IF(AND(Q$30,$O60),$D$31,"")</f>
        <v/>
      </c>
      <c r="R60" s="32" t="str">
        <f>IF(AND(R$30,$O60),$E$31,"")</f>
        <v/>
      </c>
      <c r="S60" s="54" t="str">
        <f>IF(AND(S$30,$O60),$F$31,"")</f>
        <v/>
      </c>
      <c r="T60" s="31" t="str">
        <f>IF(AND(T$30,$O60),$C$31,"")</f>
        <v/>
      </c>
      <c r="U60" s="32" t="str">
        <f>IF(AND(U$30,$O60),$D$31,"")</f>
        <v/>
      </c>
      <c r="V60" s="32" t="str">
        <f>IF(AND(V$30,$O60),$E$31,"")</f>
        <v/>
      </c>
      <c r="W60" s="54">
        <f>IF(AND(W$30,$O60),$F$31,"")</f>
        <v>19.3</v>
      </c>
      <c r="X60" s="31" t="str">
        <f>IF(AND(X$30,$O60),$C$31,"")</f>
        <v/>
      </c>
      <c r="Y60" s="32" t="str">
        <f>IF(AND(Y$30,$O60),$D$31,"")</f>
        <v/>
      </c>
      <c r="Z60" s="32">
        <f>IF(AND(Z$30,$O60),$E$31,"")</f>
        <v>20.3</v>
      </c>
      <c r="AA60" s="54" t="str">
        <f>IF(AND(AA$30,$O60),$F$31,"")</f>
        <v/>
      </c>
      <c r="AB60" s="31" t="str">
        <f>IF(AND(AB$30,$O60),$C$31,"")</f>
        <v/>
      </c>
      <c r="AC60" s="32" t="str">
        <f>IF(AND(AC$30,$O60),$D$31,"")</f>
        <v/>
      </c>
      <c r="AD60" s="32">
        <f>IF(AND(AD$30,$O60),$E$31,"")</f>
        <v>20.3</v>
      </c>
      <c r="AE60" s="54">
        <f>IF(AND(AE$30,$O60),$F$31,"")</f>
        <v>19.3</v>
      </c>
      <c r="AF60" s="31" t="str">
        <f>IF(AND(AF$30,$O60),$C$31,"")</f>
        <v/>
      </c>
      <c r="AG60" s="32">
        <f>IF(AND(AG$30,$O60),$D$31,"")</f>
        <v>23.6</v>
      </c>
      <c r="AH60" s="32" t="str">
        <f>IF(AND(AH$30,$O60),$E$31,"")</f>
        <v/>
      </c>
      <c r="AI60" s="54" t="str">
        <f>IF(AND(AI$30,$O60),$F$31,"")</f>
        <v/>
      </c>
      <c r="AJ60" s="31" t="str">
        <f>IF(AND(AJ$30,$O60),$C$31,"")</f>
        <v/>
      </c>
      <c r="AK60" s="32">
        <f>IF(AND(AK$30,$O60),$D$31,"")</f>
        <v>23.6</v>
      </c>
      <c r="AL60" s="32" t="str">
        <f>IF(AND(AL$30,$O60),$E$31,"")</f>
        <v/>
      </c>
      <c r="AM60" s="54">
        <f>IF(AND(AM$30,$O60),$F$31,"")</f>
        <v>19.3</v>
      </c>
      <c r="AN60" s="31" t="str">
        <f>IF(AND(AN$30,$O60),$C$31,"")</f>
        <v/>
      </c>
      <c r="AO60" s="32">
        <f>IF(AND(AO$30,$O60),$D$31,"")</f>
        <v>23.6</v>
      </c>
      <c r="AP60" s="32">
        <f>IF(AND(AP$30,$O60),$E$31,"")</f>
        <v>20.3</v>
      </c>
      <c r="AQ60" s="54" t="str">
        <f>IF(AND(AQ$30,$O60),$F$31,"")</f>
        <v/>
      </c>
      <c r="AR60" s="31" t="str">
        <f>IF(AND(AR$30,$O60),$C$31,"")</f>
        <v/>
      </c>
      <c r="AS60" s="32">
        <f>IF(AND(AS$30,$O60),$D$31,"")</f>
        <v>23.6</v>
      </c>
      <c r="AT60" s="32">
        <f>IF(AND(AT$30,$O60),$E$31,"")</f>
        <v>20.3</v>
      </c>
      <c r="AU60" s="54">
        <f>IF(AND(AU$30,$O60),$F$31,"")</f>
        <v>19.3</v>
      </c>
      <c r="AV60" s="31">
        <f>IF(AND(AV$30,$O60),$C$31,"")</f>
        <v>18.5</v>
      </c>
      <c r="AW60" s="32" t="str">
        <f>IF(AND(AW$30,$O60),$D$31,"")</f>
        <v/>
      </c>
      <c r="AX60" s="32" t="str">
        <f>IF(AND(AX$30,$O60),$E$31,"")</f>
        <v/>
      </c>
      <c r="AY60" s="54" t="str">
        <f>IF(AND(AY$30,$O60),$F$31,"")</f>
        <v/>
      </c>
      <c r="AZ60" s="31">
        <f>IF(AND(AZ$30,$O60),$C$31,"")</f>
        <v>18.5</v>
      </c>
      <c r="BA60" s="32" t="str">
        <f>IF(AND(BA$30,$O60),$D$31,"")</f>
        <v/>
      </c>
      <c r="BB60" s="32" t="str">
        <f>IF(AND(BB$30,$O60),$E$31,"")</f>
        <v/>
      </c>
      <c r="BC60" s="54">
        <f>IF(AND(BC$30,$O60),$F$31,"")</f>
        <v>19.3</v>
      </c>
      <c r="BD60" s="31">
        <f>IF(AND(BD$30,$O60),$C$31,"")</f>
        <v>18.5</v>
      </c>
      <c r="BE60" s="32" t="str">
        <f>IF(AND(BE$30,$O60),$D$31,"")</f>
        <v/>
      </c>
      <c r="BF60" s="32">
        <f>IF(AND(BF$30,$O60),$E$31,"")</f>
        <v>20.3</v>
      </c>
      <c r="BG60" s="54" t="str">
        <f>IF(AND(BG$30,$O60),$F$31,"")</f>
        <v/>
      </c>
      <c r="BH60" s="31">
        <f>IF(AND(BH$30,$O60),$C$31,"")</f>
        <v>18.5</v>
      </c>
      <c r="BI60" s="32" t="str">
        <f>IF(AND(BI$30,$O60),$D$31,"")</f>
        <v/>
      </c>
      <c r="BJ60" s="32">
        <f>IF(AND(BJ$30,$O60),$E$31,"")</f>
        <v>20.3</v>
      </c>
      <c r="BK60" s="54">
        <f>IF(AND(BK$30,$O60),$F$31,"")</f>
        <v>19.3</v>
      </c>
      <c r="BL60" s="31">
        <f>IF(AND(BL$30,$O60),$C$31,"")</f>
        <v>18.5</v>
      </c>
      <c r="BM60" s="32">
        <f>IF(AND(BM$30,$O60),$D$31,"")</f>
        <v>23.6</v>
      </c>
      <c r="BN60" s="32" t="str">
        <f>IF(AND(BN$30,$O60),$E$31,"")</f>
        <v/>
      </c>
      <c r="BO60" s="54" t="str">
        <f>IF(AND(BO$30,$O60),$F$31,"")</f>
        <v/>
      </c>
      <c r="BP60" s="31">
        <f>IF(AND(BP$30,$O60),$C$31,"")</f>
        <v>18.5</v>
      </c>
      <c r="BQ60" s="32">
        <f>IF(AND(BQ$30,$O60),$D$31,"")</f>
        <v>23.6</v>
      </c>
      <c r="BR60" s="32" t="str">
        <f>IF(AND(BR$30,$O60),$E$31,"")</f>
        <v/>
      </c>
      <c r="BS60" s="54">
        <f>IF(AND(BS$30,$O60),$F$31,"")</f>
        <v>19.3</v>
      </c>
      <c r="BT60" s="31">
        <f>IF(AND(BT$30,$O60),$C$31,"")</f>
        <v>18.5</v>
      </c>
      <c r="BU60" s="32">
        <f>IF(AND(BU$30,$O60),$D$31,"")</f>
        <v>23.6</v>
      </c>
      <c r="BV60" s="32">
        <f>IF(AND(BV$30,$O60),$E$31,"")</f>
        <v>20.3</v>
      </c>
      <c r="BW60" s="54" t="str">
        <f>IF(AND(BW$30,$O60),$F$31,"")</f>
        <v/>
      </c>
      <c r="BX60" s="31">
        <f>IF(AND(BX$30,$O60),$C$31,"")</f>
        <v>18.5</v>
      </c>
      <c r="BY60" s="32">
        <f>IF(AND(BY$30,$O60),$D$31,"")</f>
        <v>23.6</v>
      </c>
      <c r="BZ60" s="32">
        <f>IF(AND(BZ$30,$O60),$E$31,"")</f>
        <v>20.3</v>
      </c>
      <c r="CA60" s="54">
        <f>IF(AND(CA$30,$O60),$F$31,"")</f>
        <v>19.3</v>
      </c>
      <c r="CB60" s="31" t="str">
        <f>IF(AND(CB$30,$O60),$C$31,"")</f>
        <v/>
      </c>
      <c r="CC60" s="32" t="str">
        <f>IF(AND(CC$30,$O60),$D$31,"")</f>
        <v/>
      </c>
      <c r="CD60" s="32" t="str">
        <f>IF(AND(CD$30,$O60),$E$31,"")</f>
        <v/>
      </c>
      <c r="CE60" s="54" t="str">
        <f>IF(AND(CE$30,$O60),$F$31,"")</f>
        <v/>
      </c>
    </row>
    <row r="61" spans="12:83">
      <c r="L61" s="87"/>
      <c r="M61" s="36" t="str">
        <f t="shared" si="6"/>
        <v>C</v>
      </c>
      <c r="O61" s="82">
        <f>BinAnd(N59,Ce)</f>
        <v>2</v>
      </c>
      <c r="P61" s="31" t="str">
        <f>IF(AND(P$30,$O61),$C$32,"")</f>
        <v/>
      </c>
      <c r="Q61" s="32" t="str">
        <f>IF(AND(Q$30,$O61),$D$32,"")</f>
        <v/>
      </c>
      <c r="R61" s="32" t="str">
        <f>IF(AND(R$30,$O61),$E$32,"")</f>
        <v/>
      </c>
      <c r="S61" s="54" t="str">
        <f>IF(AND(S$30,$O61),$F$32,"")</f>
        <v/>
      </c>
      <c r="T61" s="31" t="str">
        <f>IF(AND(T$30,$O61),$C$32,"")</f>
        <v/>
      </c>
      <c r="U61" s="32" t="str">
        <f>IF(AND(U$30,$O61),$D$32,"")</f>
        <v/>
      </c>
      <c r="V61" s="32" t="str">
        <f>IF(AND(V$30,$O61),$E$32,"")</f>
        <v/>
      </c>
      <c r="W61" s="54">
        <f>IF(AND(W$30,$O61),$F$32,"")</f>
        <v>25.5</v>
      </c>
      <c r="X61" s="31" t="str">
        <f>IF(AND(X$30,$O61),$C$32,"")</f>
        <v/>
      </c>
      <c r="Y61" s="32" t="str">
        <f>IF(AND(Y$30,$O61),$D$32,"")</f>
        <v/>
      </c>
      <c r="Z61" s="32">
        <f>IF(AND(Z$30,$O61),$E$32,"")</f>
        <v>15.6</v>
      </c>
      <c r="AA61" s="54" t="str">
        <f>IF(AND(AA$30,$O61),$F$32,"")</f>
        <v/>
      </c>
      <c r="AB61" s="31" t="str">
        <f>IF(AND(AB$30,$O61),$C$32,"")</f>
        <v/>
      </c>
      <c r="AC61" s="32" t="str">
        <f>IF(AND(AC$30,$O61),$D$32,"")</f>
        <v/>
      </c>
      <c r="AD61" s="32">
        <f>IF(AND(AD$30,$O61),$E$32,"")</f>
        <v>15.6</v>
      </c>
      <c r="AE61" s="54">
        <f>IF(AND(AE$30,$O61),$F$32,"")</f>
        <v>25.5</v>
      </c>
      <c r="AF61" s="31" t="str">
        <f>IF(AND(AF$30,$O61),$C$32,"")</f>
        <v/>
      </c>
      <c r="AG61" s="32">
        <f>IF(AND(AG$30,$O61),$D$32,"")</f>
        <v>16.100000000000001</v>
      </c>
      <c r="AH61" s="32" t="str">
        <f>IF(AND(AH$30,$O61),$E$32,"")</f>
        <v/>
      </c>
      <c r="AI61" s="54" t="str">
        <f>IF(AND(AI$30,$O61),$F$32,"")</f>
        <v/>
      </c>
      <c r="AJ61" s="31" t="str">
        <f>IF(AND(AJ$30,$O61),$C$32,"")</f>
        <v/>
      </c>
      <c r="AK61" s="32">
        <f>IF(AND(AK$30,$O61),$D$32,"")</f>
        <v>16.100000000000001</v>
      </c>
      <c r="AL61" s="32" t="str">
        <f>IF(AND(AL$30,$O61),$E$32,"")</f>
        <v/>
      </c>
      <c r="AM61" s="54">
        <f>IF(AND(AM$30,$O61),$F$32,"")</f>
        <v>25.5</v>
      </c>
      <c r="AN61" s="31" t="str">
        <f>IF(AND(AN$30,$O61),$C$32,"")</f>
        <v/>
      </c>
      <c r="AO61" s="32">
        <f>IF(AND(AO$30,$O61),$D$32,"")</f>
        <v>16.100000000000001</v>
      </c>
      <c r="AP61" s="32">
        <f>IF(AND(AP$30,$O61),$E$32,"")</f>
        <v>15.6</v>
      </c>
      <c r="AQ61" s="54" t="str">
        <f>IF(AND(AQ$30,$O61),$F$32,"")</f>
        <v/>
      </c>
      <c r="AR61" s="31" t="str">
        <f>IF(AND(AR$30,$O61),$C$32,"")</f>
        <v/>
      </c>
      <c r="AS61" s="32">
        <f>IF(AND(AS$30,$O61),$D$32,"")</f>
        <v>16.100000000000001</v>
      </c>
      <c r="AT61" s="32">
        <f>IF(AND(AT$30,$O61),$E$32,"")</f>
        <v>15.6</v>
      </c>
      <c r="AU61" s="54">
        <f>IF(AND(AU$30,$O61),$F$32,"")</f>
        <v>25.5</v>
      </c>
      <c r="AV61" s="31">
        <f>IF(AND(AV$30,$O61),$C$32,"")</f>
        <v>19.3</v>
      </c>
      <c r="AW61" s="32" t="str">
        <f>IF(AND(AW$30,$O61),$D$32,"")</f>
        <v/>
      </c>
      <c r="AX61" s="32" t="str">
        <f>IF(AND(AX$30,$O61),$E$32,"")</f>
        <v/>
      </c>
      <c r="AY61" s="54" t="str">
        <f>IF(AND(AY$30,$O61),$F$32,"")</f>
        <v/>
      </c>
      <c r="AZ61" s="31">
        <f>IF(AND(AZ$30,$O61),$C$32,"")</f>
        <v>19.3</v>
      </c>
      <c r="BA61" s="32" t="str">
        <f>IF(AND(BA$30,$O61),$D$32,"")</f>
        <v/>
      </c>
      <c r="BB61" s="32" t="str">
        <f>IF(AND(BB$30,$O61),$E$32,"")</f>
        <v/>
      </c>
      <c r="BC61" s="54">
        <f>IF(AND(BC$30,$O61),$F$32,"")</f>
        <v>25.5</v>
      </c>
      <c r="BD61" s="31">
        <f>IF(AND(BD$30,$O61),$C$32,"")</f>
        <v>19.3</v>
      </c>
      <c r="BE61" s="32" t="str">
        <f>IF(AND(BE$30,$O61),$D$32,"")</f>
        <v/>
      </c>
      <c r="BF61" s="32">
        <f>IF(AND(BF$30,$O61),$E$32,"")</f>
        <v>15.6</v>
      </c>
      <c r="BG61" s="54" t="str">
        <f>IF(AND(BG$30,$O61),$F$32,"")</f>
        <v/>
      </c>
      <c r="BH61" s="31">
        <f>IF(AND(BH$30,$O61),$C$32,"")</f>
        <v>19.3</v>
      </c>
      <c r="BI61" s="32" t="str">
        <f>IF(AND(BI$30,$O61),$D$32,"")</f>
        <v/>
      </c>
      <c r="BJ61" s="32">
        <f>IF(AND(BJ$30,$O61),$E$32,"")</f>
        <v>15.6</v>
      </c>
      <c r="BK61" s="54">
        <f>IF(AND(BK$30,$O61),$F$32,"")</f>
        <v>25.5</v>
      </c>
      <c r="BL61" s="31">
        <f>IF(AND(BL$30,$O61),$C$32,"")</f>
        <v>19.3</v>
      </c>
      <c r="BM61" s="32">
        <f>IF(AND(BM$30,$O61),$D$32,"")</f>
        <v>16.100000000000001</v>
      </c>
      <c r="BN61" s="32" t="str">
        <f>IF(AND(BN$30,$O61),$E$32,"")</f>
        <v/>
      </c>
      <c r="BO61" s="54" t="str">
        <f>IF(AND(BO$30,$O61),$F$32,"")</f>
        <v/>
      </c>
      <c r="BP61" s="31">
        <f>IF(AND(BP$30,$O61),$C$32,"")</f>
        <v>19.3</v>
      </c>
      <c r="BQ61" s="32">
        <f>IF(AND(BQ$30,$O61),$D$32,"")</f>
        <v>16.100000000000001</v>
      </c>
      <c r="BR61" s="32" t="str">
        <f>IF(AND(BR$30,$O61),$E$32,"")</f>
        <v/>
      </c>
      <c r="BS61" s="54">
        <f>IF(AND(BS$30,$O61),$F$32,"")</f>
        <v>25.5</v>
      </c>
      <c r="BT61" s="31">
        <f>IF(AND(BT$30,$O61),$C$32,"")</f>
        <v>19.3</v>
      </c>
      <c r="BU61" s="32">
        <f>IF(AND(BU$30,$O61),$D$32,"")</f>
        <v>16.100000000000001</v>
      </c>
      <c r="BV61" s="32">
        <f>IF(AND(BV$30,$O61),$E$32,"")</f>
        <v>15.6</v>
      </c>
      <c r="BW61" s="54" t="str">
        <f>IF(AND(BW$30,$O61),$F$32,"")</f>
        <v/>
      </c>
      <c r="BX61" s="31">
        <f>IF(AND(BX$30,$O61),$C$32,"")</f>
        <v>19.3</v>
      </c>
      <c r="BY61" s="32">
        <f>IF(AND(BY$30,$O61),$D$32,"")</f>
        <v>16.100000000000001</v>
      </c>
      <c r="BZ61" s="32">
        <f>IF(AND(BZ$30,$O61),$E$32,"")</f>
        <v>15.6</v>
      </c>
      <c r="CA61" s="54">
        <f>IF(AND(CA$30,$O61),$F$32,"")</f>
        <v>25.5</v>
      </c>
      <c r="CB61" s="31" t="str">
        <f>IF(AND(CB$30,$O61),$C$32,"")</f>
        <v/>
      </c>
      <c r="CC61" s="32" t="str">
        <f>IF(AND(CC$30,$O61),$D$32,"")</f>
        <v/>
      </c>
      <c r="CD61" s="32" t="str">
        <f>IF(AND(CD$30,$O61),$E$32,"")</f>
        <v/>
      </c>
      <c r="CE61" s="54" t="str">
        <f>IF(AND(CE$30,$O61),$F$32,"")</f>
        <v/>
      </c>
    </row>
    <row r="62" spans="12:83" ht="15.75" thickBot="1">
      <c r="L62" s="86"/>
      <c r="M62" s="37" t="str">
        <f t="shared" si="6"/>
        <v>G</v>
      </c>
      <c r="O62" s="43">
        <f>BinAnd(N59,G)</f>
        <v>1</v>
      </c>
      <c r="P62" s="55" t="str">
        <f>IF(AND(P$30,$O62),$C$33,"")</f>
        <v/>
      </c>
      <c r="Q62" s="56" t="str">
        <f>IF(AND(Q$30,$O62),$D$33,"")</f>
        <v/>
      </c>
      <c r="R62" s="56" t="str">
        <f>IF(AND(R$30,$O62),$E$33,"")</f>
        <v/>
      </c>
      <c r="S62" s="57" t="str">
        <f>IF(AND(S$30,$O62),$F$33,"")</f>
        <v/>
      </c>
      <c r="T62" s="55" t="str">
        <f>IF(AND(T$30,$O62),$C$33,"")</f>
        <v/>
      </c>
      <c r="U62" s="56" t="str">
        <f>IF(AND(U$30,$O62),$D$33,"")</f>
        <v/>
      </c>
      <c r="V62" s="56" t="str">
        <f>IF(AND(V$30,$O62),$E$33,"")</f>
        <v/>
      </c>
      <c r="W62" s="57">
        <f>IF(AND(W$30,$O62),$F$33,"")</f>
        <v>15.6</v>
      </c>
      <c r="X62" s="55" t="str">
        <f>IF(AND(X$30,$O62),$C$33,"")</f>
        <v/>
      </c>
      <c r="Y62" s="56" t="str">
        <f>IF(AND(Y$30,$O62),$D$33,"")</f>
        <v/>
      </c>
      <c r="Z62" s="56">
        <f>IF(AND(Z$30,$O62),$E$33,"")</f>
        <v>28.4</v>
      </c>
      <c r="AA62" s="57" t="str">
        <f>IF(AND(AA$30,$O62),$F$33,"")</f>
        <v/>
      </c>
      <c r="AB62" s="55" t="str">
        <f>IF(AND(AB$30,$O62),$C$33,"")</f>
        <v/>
      </c>
      <c r="AC62" s="56" t="str">
        <f>IF(AND(AC$30,$O62),$D$33,"")</f>
        <v/>
      </c>
      <c r="AD62" s="56">
        <f>IF(AND(AD$30,$O62),$E$33,"")</f>
        <v>28.4</v>
      </c>
      <c r="AE62" s="57">
        <f>IF(AND(AE$30,$O62),$F$33,"")</f>
        <v>15.6</v>
      </c>
      <c r="AF62" s="55" t="str">
        <f>IF(AND(AF$30,$O62),$C$33,"")</f>
        <v/>
      </c>
      <c r="AG62" s="56">
        <f>IF(AND(AG$30,$O62),$D$33,"")</f>
        <v>23</v>
      </c>
      <c r="AH62" s="56" t="str">
        <f>IF(AND(AH$30,$O62),$E$33,"")</f>
        <v/>
      </c>
      <c r="AI62" s="57" t="str">
        <f>IF(AND(AI$30,$O62),$F$33,"")</f>
        <v/>
      </c>
      <c r="AJ62" s="55" t="str">
        <f>IF(AND(AJ$30,$O62),$C$33,"")</f>
        <v/>
      </c>
      <c r="AK62" s="56">
        <f>IF(AND(AK$30,$O62),$D$33,"")</f>
        <v>23</v>
      </c>
      <c r="AL62" s="56" t="str">
        <f>IF(AND(AL$30,$O62),$E$33,"")</f>
        <v/>
      </c>
      <c r="AM62" s="57">
        <f>IF(AND(AM$30,$O62),$F$33,"")</f>
        <v>15.6</v>
      </c>
      <c r="AN62" s="55" t="str">
        <f>IF(AND(AN$30,$O62),$C$33,"")</f>
        <v/>
      </c>
      <c r="AO62" s="56">
        <f>IF(AND(AO$30,$O62),$D$33,"")</f>
        <v>23</v>
      </c>
      <c r="AP62" s="56">
        <f>IF(AND(AP$30,$O62),$E$33,"")</f>
        <v>28.4</v>
      </c>
      <c r="AQ62" s="57" t="str">
        <f>IF(AND(AQ$30,$O62),$F$33,"")</f>
        <v/>
      </c>
      <c r="AR62" s="55" t="str">
        <f>IF(AND(AR$30,$O62),$C$33,"")</f>
        <v/>
      </c>
      <c r="AS62" s="56">
        <f>IF(AND(AS$30,$O62),$D$33,"")</f>
        <v>23</v>
      </c>
      <c r="AT62" s="56">
        <f>IF(AND(AT$30,$O62),$E$33,"")</f>
        <v>28.4</v>
      </c>
      <c r="AU62" s="57">
        <f>IF(AND(AU$30,$O62),$F$33,"")</f>
        <v>15.6</v>
      </c>
      <c r="AV62" s="55">
        <f>IF(AND(AV$30,$O62),$C$33,"")</f>
        <v>20.3</v>
      </c>
      <c r="AW62" s="56" t="str">
        <f>IF(AND(AW$30,$O62),$D$33,"")</f>
        <v/>
      </c>
      <c r="AX62" s="56" t="str">
        <f>IF(AND(AX$30,$O62),$E$33,"")</f>
        <v/>
      </c>
      <c r="AY62" s="57" t="str">
        <f>IF(AND(AY$30,$O62),$F$33,"")</f>
        <v/>
      </c>
      <c r="AZ62" s="55">
        <f>IF(AND(AZ$30,$O62),$C$33,"")</f>
        <v>20.3</v>
      </c>
      <c r="BA62" s="56" t="str">
        <f>IF(AND(BA$30,$O62),$D$33,"")</f>
        <v/>
      </c>
      <c r="BB62" s="56" t="str">
        <f>IF(AND(BB$30,$O62),$E$33,"")</f>
        <v/>
      </c>
      <c r="BC62" s="57">
        <f>IF(AND(BC$30,$O62),$F$33,"")</f>
        <v>15.6</v>
      </c>
      <c r="BD62" s="55">
        <f>IF(AND(BD$30,$O62),$C$33,"")</f>
        <v>20.3</v>
      </c>
      <c r="BE62" s="56" t="str">
        <f>IF(AND(BE$30,$O62),$D$33,"")</f>
        <v/>
      </c>
      <c r="BF62" s="56">
        <f>IF(AND(BF$30,$O62),$E$33,"")</f>
        <v>28.4</v>
      </c>
      <c r="BG62" s="57" t="str">
        <f>IF(AND(BG$30,$O62),$F$33,"")</f>
        <v/>
      </c>
      <c r="BH62" s="55">
        <f>IF(AND(BH$30,$O62),$C$33,"")</f>
        <v>20.3</v>
      </c>
      <c r="BI62" s="56" t="str">
        <f>IF(AND(BI$30,$O62),$D$33,"")</f>
        <v/>
      </c>
      <c r="BJ62" s="56">
        <f>IF(AND(BJ$30,$O62),$E$33,"")</f>
        <v>28.4</v>
      </c>
      <c r="BK62" s="57">
        <f>IF(AND(BK$30,$O62),$F$33,"")</f>
        <v>15.6</v>
      </c>
      <c r="BL62" s="55">
        <f>IF(AND(BL$30,$O62),$C$33,"")</f>
        <v>20.3</v>
      </c>
      <c r="BM62" s="56">
        <f>IF(AND(BM$30,$O62),$D$33,"")</f>
        <v>23</v>
      </c>
      <c r="BN62" s="56" t="str">
        <f>IF(AND(BN$30,$O62),$E$33,"")</f>
        <v/>
      </c>
      <c r="BO62" s="57" t="str">
        <f>IF(AND(BO$30,$O62),$F$33,"")</f>
        <v/>
      </c>
      <c r="BP62" s="55">
        <f>IF(AND(BP$30,$O62),$C$33,"")</f>
        <v>20.3</v>
      </c>
      <c r="BQ62" s="56">
        <f>IF(AND(BQ$30,$O62),$D$33,"")</f>
        <v>23</v>
      </c>
      <c r="BR62" s="56" t="str">
        <f>IF(AND(BR$30,$O62),$E$33,"")</f>
        <v/>
      </c>
      <c r="BS62" s="57">
        <f>IF(AND(BS$30,$O62),$F$33,"")</f>
        <v>15.6</v>
      </c>
      <c r="BT62" s="55">
        <f>IF(AND(BT$30,$O62),$C$33,"")</f>
        <v>20.3</v>
      </c>
      <c r="BU62" s="56">
        <f>IF(AND(BU$30,$O62),$D$33,"")</f>
        <v>23</v>
      </c>
      <c r="BV62" s="56">
        <f>IF(AND(BV$30,$O62),$E$33,"")</f>
        <v>28.4</v>
      </c>
      <c r="BW62" s="57" t="str">
        <f>IF(AND(BW$30,$O62),$F$33,"")</f>
        <v/>
      </c>
      <c r="BX62" s="55">
        <f>IF(AND(BX$30,$O62),$C$33,"")</f>
        <v>20.3</v>
      </c>
      <c r="BY62" s="56">
        <f>IF(AND(BY$30,$O62),$D$33,"")</f>
        <v>23</v>
      </c>
      <c r="BZ62" s="56">
        <f>IF(AND(BZ$30,$O62),$E$33,"")</f>
        <v>28.4</v>
      </c>
      <c r="CA62" s="57">
        <f>IF(AND(CA$30,$O62),$F$33,"")</f>
        <v>15.6</v>
      </c>
      <c r="CB62" s="55" t="str">
        <f>IF(AND(CB$30,$O62),$C$33,"")</f>
        <v/>
      </c>
      <c r="CC62" s="56" t="str">
        <f>IF(AND(CC$30,$O62),$D$33,"")</f>
        <v/>
      </c>
      <c r="CD62" s="56" t="str">
        <f>IF(AND(CD$30,$O62),$E$33,"")</f>
        <v/>
      </c>
      <c r="CE62" s="57" t="str">
        <f>IF(AND(CE$30,$O62),$F$33,"")</f>
        <v/>
      </c>
    </row>
    <row r="63" spans="12:83">
      <c r="L63" s="83" t="str">
        <f>MID(CodDegElegir,N63+1,1)</f>
        <v>A</v>
      </c>
      <c r="M63" s="85" t="str">
        <f t="shared" si="6"/>
        <v>A</v>
      </c>
      <c r="N63">
        <v>8</v>
      </c>
      <c r="O63" s="81">
        <f>BinAnd(N63,A)</f>
        <v>8</v>
      </c>
      <c r="P63" s="29" t="str">
        <f>IF(AND(P$30,$O63),$C$30,"")</f>
        <v/>
      </c>
      <c r="Q63" s="30" t="str">
        <f>IF(AND(Q$30,$O63),$D$30,"")</f>
        <v/>
      </c>
      <c r="R63" s="30" t="str">
        <f>IF(AND(R$30,$O63),$E$30,"")</f>
        <v/>
      </c>
      <c r="S63" s="53" t="str">
        <f>IF(AND(S$30,$O63),$F$30,"")</f>
        <v/>
      </c>
      <c r="T63" s="29" t="str">
        <f>IF(AND(T$30,$O63),$C$30,"")</f>
        <v/>
      </c>
      <c r="U63" s="30" t="str">
        <f>IF(AND(U$30,$O63),$D$30,"")</f>
        <v/>
      </c>
      <c r="V63" s="30" t="str">
        <f>IF(AND(V$30,$O63),$E$30,"")</f>
        <v/>
      </c>
      <c r="W63" s="53">
        <f>IF(AND(W$30,$O63),$F$30,"")</f>
        <v>16.100000000000001</v>
      </c>
      <c r="X63" s="29" t="str">
        <f>IF(AND(X$30,$O63),$C$30,"")</f>
        <v/>
      </c>
      <c r="Y63" s="30" t="str">
        <f>IF(AND(Y$30,$O63),$D$30,"")</f>
        <v/>
      </c>
      <c r="Z63" s="30">
        <f>IF(AND(Z$30,$O63),$E$30,"")</f>
        <v>23</v>
      </c>
      <c r="AA63" s="53" t="str">
        <f>IF(AND(AA$30,$O63),$F$30,"")</f>
        <v/>
      </c>
      <c r="AB63" s="29" t="str">
        <f>IF(AND(AB$30,$O63),$C$30,"")</f>
        <v/>
      </c>
      <c r="AC63" s="30" t="str">
        <f>IF(AND(AC$30,$O63),$D$30,"")</f>
        <v/>
      </c>
      <c r="AD63" s="30">
        <f>IF(AND(AD$30,$O63),$E$30,"")</f>
        <v>23</v>
      </c>
      <c r="AE63" s="53">
        <f>IF(AND(AE$30,$O63),$F$30,"")</f>
        <v>16.100000000000001</v>
      </c>
      <c r="AF63" s="29" t="str">
        <f>IF(AND(AF$30,$O63),$C$30,"")</f>
        <v/>
      </c>
      <c r="AG63" s="30">
        <f>IF(AND(AG$30,$O63),$D$30,"")</f>
        <v>18.8</v>
      </c>
      <c r="AH63" s="30" t="str">
        <f>IF(AND(AH$30,$O63),$E$30,"")</f>
        <v/>
      </c>
      <c r="AI63" s="53" t="str">
        <f>IF(AND(AI$30,$O63),$F$30,"")</f>
        <v/>
      </c>
      <c r="AJ63" s="29" t="str">
        <f>IF(AND(AJ$30,$O63),$C$30,"")</f>
        <v/>
      </c>
      <c r="AK63" s="30">
        <f>IF(AND(AK$30,$O63),$D$30,"")</f>
        <v>18.8</v>
      </c>
      <c r="AL63" s="30" t="str">
        <f>IF(AND(AL$30,$O63),$E$30,"")</f>
        <v/>
      </c>
      <c r="AM63" s="53">
        <f>IF(AND(AM$30,$O63),$F$30,"")</f>
        <v>16.100000000000001</v>
      </c>
      <c r="AN63" s="29" t="str">
        <f>IF(AND(AN$30,$O63),$C$30,"")</f>
        <v/>
      </c>
      <c r="AO63" s="30">
        <f>IF(AND(AO$30,$O63),$D$30,"")</f>
        <v>18.8</v>
      </c>
      <c r="AP63" s="30">
        <f>IF(AND(AP$30,$O63),$E$30,"")</f>
        <v>23</v>
      </c>
      <c r="AQ63" s="53" t="str">
        <f>IF(AND(AQ$30,$O63),$F$30,"")</f>
        <v/>
      </c>
      <c r="AR63" s="29" t="str">
        <f>IF(AND(AR$30,$O63),$C$30,"")</f>
        <v/>
      </c>
      <c r="AS63" s="30">
        <f>IF(AND(AS$30,$O63),$D$30,"")</f>
        <v>18.8</v>
      </c>
      <c r="AT63" s="30">
        <f>IF(AND(AT$30,$O63),$E$30,"")</f>
        <v>23</v>
      </c>
      <c r="AU63" s="53">
        <f>IF(AND(AU$30,$O63),$F$30,"")</f>
        <v>16.100000000000001</v>
      </c>
      <c r="AV63" s="29">
        <f>IF(AND(AV$30,$O63),$C$30,"")</f>
        <v>23.6</v>
      </c>
      <c r="AW63" s="30" t="str">
        <f>IF(AND(AW$30,$O63),$D$30,"")</f>
        <v/>
      </c>
      <c r="AX63" s="30" t="str">
        <f>IF(AND(AX$30,$O63),$E$30,"")</f>
        <v/>
      </c>
      <c r="AY63" s="53" t="str">
        <f>IF(AND(AY$30,$O63),$F$30,"")</f>
        <v/>
      </c>
      <c r="AZ63" s="29">
        <f>IF(AND(AZ$30,$O63),$C$30,"")</f>
        <v>23.6</v>
      </c>
      <c r="BA63" s="30" t="str">
        <f>IF(AND(BA$30,$O63),$D$30,"")</f>
        <v/>
      </c>
      <c r="BB63" s="30" t="str">
        <f>IF(AND(BB$30,$O63),$E$30,"")</f>
        <v/>
      </c>
      <c r="BC63" s="53">
        <f>IF(AND(BC$30,$O63),$F$30,"")</f>
        <v>16.100000000000001</v>
      </c>
      <c r="BD63" s="29">
        <f>IF(AND(BD$30,$O63),$C$30,"")</f>
        <v>23.6</v>
      </c>
      <c r="BE63" s="30" t="str">
        <f>IF(AND(BE$30,$O63),$D$30,"")</f>
        <v/>
      </c>
      <c r="BF63" s="30">
        <f>IF(AND(BF$30,$O63),$E$30,"")</f>
        <v>23</v>
      </c>
      <c r="BG63" s="53" t="str">
        <f>IF(AND(BG$30,$O63),$F$30,"")</f>
        <v/>
      </c>
      <c r="BH63" s="29">
        <f>IF(AND(BH$30,$O63),$C$30,"")</f>
        <v>23.6</v>
      </c>
      <c r="BI63" s="30" t="str">
        <f>IF(AND(BI$30,$O63),$D$30,"")</f>
        <v/>
      </c>
      <c r="BJ63" s="30">
        <f>IF(AND(BJ$30,$O63),$E$30,"")</f>
        <v>23</v>
      </c>
      <c r="BK63" s="53">
        <f>IF(AND(BK$30,$O63),$F$30,"")</f>
        <v>16.100000000000001</v>
      </c>
      <c r="BL63" s="29">
        <f>IF(AND(BL$30,$O63),$C$30,"")</f>
        <v>23.6</v>
      </c>
      <c r="BM63" s="30">
        <f>IF(AND(BM$30,$O63),$D$30,"")</f>
        <v>18.8</v>
      </c>
      <c r="BN63" s="30" t="str">
        <f>IF(AND(BN$30,$O63),$E$30,"")</f>
        <v/>
      </c>
      <c r="BO63" s="53" t="str">
        <f>IF(AND(BO$30,$O63),$F$30,"")</f>
        <v/>
      </c>
      <c r="BP63" s="29">
        <f>IF(AND(BP$30,$O63),$C$30,"")</f>
        <v>23.6</v>
      </c>
      <c r="BQ63" s="30">
        <f>IF(AND(BQ$30,$O63),$D$30,"")</f>
        <v>18.8</v>
      </c>
      <c r="BR63" s="30" t="str">
        <f>IF(AND(BR$30,$O63),$E$30,"")</f>
        <v/>
      </c>
      <c r="BS63" s="53">
        <f>IF(AND(BS$30,$O63),$F$30,"")</f>
        <v>16.100000000000001</v>
      </c>
      <c r="BT63" s="29">
        <f>IF(AND(BT$30,$O63),$C$30,"")</f>
        <v>23.6</v>
      </c>
      <c r="BU63" s="30">
        <f>IF(AND(BU$30,$O63),$D$30,"")</f>
        <v>18.8</v>
      </c>
      <c r="BV63" s="30">
        <f>IF(AND(BV$30,$O63),$E$30,"")</f>
        <v>23</v>
      </c>
      <c r="BW63" s="53" t="str">
        <f>IF(AND(BW$30,$O63),$F$30,"")</f>
        <v/>
      </c>
      <c r="BX63" s="29">
        <f>IF(AND(BX$30,$O63),$C$30,"")</f>
        <v>23.6</v>
      </c>
      <c r="BY63" s="30">
        <f>IF(AND(BY$30,$O63),$D$30,"")</f>
        <v>18.8</v>
      </c>
      <c r="BZ63" s="30">
        <f>IF(AND(BZ$30,$O63),$E$30,"")</f>
        <v>23</v>
      </c>
      <c r="CA63" s="53">
        <f>IF(AND(CA$30,$O63),$F$30,"")</f>
        <v>16.100000000000001</v>
      </c>
      <c r="CB63" s="29" t="str">
        <f>IF(AND(CB$30,$O63),$C$30,"")</f>
        <v/>
      </c>
      <c r="CC63" s="30" t="str">
        <f>IF(AND(CC$30,$O63),$D$30,"")</f>
        <v/>
      </c>
      <c r="CD63" s="30" t="str">
        <f>IF(AND(CD$30,$O63),$E$30,"")</f>
        <v/>
      </c>
      <c r="CE63" s="53" t="str">
        <f>IF(AND(CE$30,$O63),$F$30,"")</f>
        <v/>
      </c>
    </row>
    <row r="64" spans="12:83">
      <c r="L64" s="87"/>
      <c r="M64" s="36" t="str">
        <f t="shared" ref="M64:M98" si="7">MID(CodDegElegir,O64+1,1)</f>
        <v>-</v>
      </c>
      <c r="O64" s="82">
        <f>BinAnd(N63,T)</f>
        <v>0</v>
      </c>
      <c r="P64" s="31" t="str">
        <f>IF(AND(P$30,$O64),$C$31,"")</f>
        <v/>
      </c>
      <c r="Q64" s="32" t="str">
        <f>IF(AND(Q$30,$O64),$D$31,"")</f>
        <v/>
      </c>
      <c r="R64" s="32" t="str">
        <f>IF(AND(R$30,$O64),$E$31,"")</f>
        <v/>
      </c>
      <c r="S64" s="54" t="str">
        <f>IF(AND(S$30,$O64),$F$31,"")</f>
        <v/>
      </c>
      <c r="T64" s="31" t="str">
        <f>IF(AND(T$30,$O64),$C$31,"")</f>
        <v/>
      </c>
      <c r="U64" s="32" t="str">
        <f>IF(AND(U$30,$O64),$D$31,"")</f>
        <v/>
      </c>
      <c r="V64" s="32" t="str">
        <f>IF(AND(V$30,$O64),$E$31,"")</f>
        <v/>
      </c>
      <c r="W64" s="54" t="str">
        <f>IF(AND(W$30,$O64),$F$31,"")</f>
        <v/>
      </c>
      <c r="X64" s="31" t="str">
        <f>IF(AND(X$30,$O64),$C$31,"")</f>
        <v/>
      </c>
      <c r="Y64" s="32" t="str">
        <f>IF(AND(Y$30,$O64),$D$31,"")</f>
        <v/>
      </c>
      <c r="Z64" s="32" t="str">
        <f>IF(AND(Z$30,$O64),$E$31,"")</f>
        <v/>
      </c>
      <c r="AA64" s="54" t="str">
        <f>IF(AND(AA$30,$O64),$F$31,"")</f>
        <v/>
      </c>
      <c r="AB64" s="31" t="str">
        <f>IF(AND(AB$30,$O64),$C$31,"")</f>
        <v/>
      </c>
      <c r="AC64" s="32" t="str">
        <f>IF(AND(AC$30,$O64),$D$31,"")</f>
        <v/>
      </c>
      <c r="AD64" s="32" t="str">
        <f>IF(AND(AD$30,$O64),$E$31,"")</f>
        <v/>
      </c>
      <c r="AE64" s="54" t="str">
        <f>IF(AND(AE$30,$O64),$F$31,"")</f>
        <v/>
      </c>
      <c r="AF64" s="31" t="str">
        <f>IF(AND(AF$30,$O64),$C$31,"")</f>
        <v/>
      </c>
      <c r="AG64" s="32" t="str">
        <f>IF(AND(AG$30,$O64),$D$31,"")</f>
        <v/>
      </c>
      <c r="AH64" s="32" t="str">
        <f>IF(AND(AH$30,$O64),$E$31,"")</f>
        <v/>
      </c>
      <c r="AI64" s="54" t="str">
        <f>IF(AND(AI$30,$O64),$F$31,"")</f>
        <v/>
      </c>
      <c r="AJ64" s="31" t="str">
        <f>IF(AND(AJ$30,$O64),$C$31,"")</f>
        <v/>
      </c>
      <c r="AK64" s="32" t="str">
        <f>IF(AND(AK$30,$O64),$D$31,"")</f>
        <v/>
      </c>
      <c r="AL64" s="32" t="str">
        <f>IF(AND(AL$30,$O64),$E$31,"")</f>
        <v/>
      </c>
      <c r="AM64" s="54" t="str">
        <f>IF(AND(AM$30,$O64),$F$31,"")</f>
        <v/>
      </c>
      <c r="AN64" s="31" t="str">
        <f>IF(AND(AN$30,$O64),$C$31,"")</f>
        <v/>
      </c>
      <c r="AO64" s="32" t="str">
        <f>IF(AND(AO$30,$O64),$D$31,"")</f>
        <v/>
      </c>
      <c r="AP64" s="32" t="str">
        <f>IF(AND(AP$30,$O64),$E$31,"")</f>
        <v/>
      </c>
      <c r="AQ64" s="54" t="str">
        <f>IF(AND(AQ$30,$O64),$F$31,"")</f>
        <v/>
      </c>
      <c r="AR64" s="31" t="str">
        <f>IF(AND(AR$30,$O64),$C$31,"")</f>
        <v/>
      </c>
      <c r="AS64" s="32" t="str">
        <f>IF(AND(AS$30,$O64),$D$31,"")</f>
        <v/>
      </c>
      <c r="AT64" s="32" t="str">
        <f>IF(AND(AT$30,$O64),$E$31,"")</f>
        <v/>
      </c>
      <c r="AU64" s="54" t="str">
        <f>IF(AND(AU$30,$O64),$F$31,"")</f>
        <v/>
      </c>
      <c r="AV64" s="31" t="str">
        <f>IF(AND(AV$30,$O64),$C$31,"")</f>
        <v/>
      </c>
      <c r="AW64" s="32" t="str">
        <f>IF(AND(AW$30,$O64),$D$31,"")</f>
        <v/>
      </c>
      <c r="AX64" s="32" t="str">
        <f>IF(AND(AX$30,$O64),$E$31,"")</f>
        <v/>
      </c>
      <c r="AY64" s="54" t="str">
        <f>IF(AND(AY$30,$O64),$F$31,"")</f>
        <v/>
      </c>
      <c r="AZ64" s="31" t="str">
        <f>IF(AND(AZ$30,$O64),$C$31,"")</f>
        <v/>
      </c>
      <c r="BA64" s="32" t="str">
        <f>IF(AND(BA$30,$O64),$D$31,"")</f>
        <v/>
      </c>
      <c r="BB64" s="32" t="str">
        <f>IF(AND(BB$30,$O64),$E$31,"")</f>
        <v/>
      </c>
      <c r="BC64" s="54" t="str">
        <f>IF(AND(BC$30,$O64),$F$31,"")</f>
        <v/>
      </c>
      <c r="BD64" s="31" t="str">
        <f>IF(AND(BD$30,$O64),$C$31,"")</f>
        <v/>
      </c>
      <c r="BE64" s="32" t="str">
        <f>IF(AND(BE$30,$O64),$D$31,"")</f>
        <v/>
      </c>
      <c r="BF64" s="32" t="str">
        <f>IF(AND(BF$30,$O64),$E$31,"")</f>
        <v/>
      </c>
      <c r="BG64" s="54" t="str">
        <f>IF(AND(BG$30,$O64),$F$31,"")</f>
        <v/>
      </c>
      <c r="BH64" s="31" t="str">
        <f>IF(AND(BH$30,$O64),$C$31,"")</f>
        <v/>
      </c>
      <c r="BI64" s="32" t="str">
        <f>IF(AND(BI$30,$O64),$D$31,"")</f>
        <v/>
      </c>
      <c r="BJ64" s="32" t="str">
        <f>IF(AND(BJ$30,$O64),$E$31,"")</f>
        <v/>
      </c>
      <c r="BK64" s="54" t="str">
        <f>IF(AND(BK$30,$O64),$F$31,"")</f>
        <v/>
      </c>
      <c r="BL64" s="31" t="str">
        <f>IF(AND(BL$30,$O64),$C$31,"")</f>
        <v/>
      </c>
      <c r="BM64" s="32" t="str">
        <f>IF(AND(BM$30,$O64),$D$31,"")</f>
        <v/>
      </c>
      <c r="BN64" s="32" t="str">
        <f>IF(AND(BN$30,$O64),$E$31,"")</f>
        <v/>
      </c>
      <c r="BO64" s="54" t="str">
        <f>IF(AND(BO$30,$O64),$F$31,"")</f>
        <v/>
      </c>
      <c r="BP64" s="31" t="str">
        <f>IF(AND(BP$30,$O64),$C$31,"")</f>
        <v/>
      </c>
      <c r="BQ64" s="32" t="str">
        <f>IF(AND(BQ$30,$O64),$D$31,"")</f>
        <v/>
      </c>
      <c r="BR64" s="32" t="str">
        <f>IF(AND(BR$30,$O64),$E$31,"")</f>
        <v/>
      </c>
      <c r="BS64" s="54" t="str">
        <f>IF(AND(BS$30,$O64),$F$31,"")</f>
        <v/>
      </c>
      <c r="BT64" s="31" t="str">
        <f>IF(AND(BT$30,$O64),$C$31,"")</f>
        <v/>
      </c>
      <c r="BU64" s="32" t="str">
        <f>IF(AND(BU$30,$O64),$D$31,"")</f>
        <v/>
      </c>
      <c r="BV64" s="32" t="str">
        <f>IF(AND(BV$30,$O64),$E$31,"")</f>
        <v/>
      </c>
      <c r="BW64" s="54" t="str">
        <f>IF(AND(BW$30,$O64),$F$31,"")</f>
        <v/>
      </c>
      <c r="BX64" s="31" t="str">
        <f>IF(AND(BX$30,$O64),$C$31,"")</f>
        <v/>
      </c>
      <c r="BY64" s="32" t="str">
        <f>IF(AND(BY$30,$O64),$D$31,"")</f>
        <v/>
      </c>
      <c r="BZ64" s="32" t="str">
        <f>IF(AND(BZ$30,$O64),$E$31,"")</f>
        <v/>
      </c>
      <c r="CA64" s="54" t="str">
        <f>IF(AND(CA$30,$O64),$F$31,"")</f>
        <v/>
      </c>
      <c r="CB64" s="31" t="str">
        <f>IF(AND(CB$30,$O64),$C$31,"")</f>
        <v/>
      </c>
      <c r="CC64" s="32" t="str">
        <f>IF(AND(CC$30,$O64),$D$31,"")</f>
        <v/>
      </c>
      <c r="CD64" s="32" t="str">
        <f>IF(AND(CD$30,$O64),$E$31,"")</f>
        <v/>
      </c>
      <c r="CE64" s="54" t="str">
        <f>IF(AND(CE$30,$O64),$F$31,"")</f>
        <v/>
      </c>
    </row>
    <row r="65" spans="12:83">
      <c r="L65" s="87"/>
      <c r="M65" s="36" t="str">
        <f t="shared" si="7"/>
        <v>-</v>
      </c>
      <c r="O65" s="82">
        <f>BinAnd(N63,Ce)</f>
        <v>0</v>
      </c>
      <c r="P65" s="31" t="str">
        <f>IF(AND(P$30,$O65),$C$32,"")</f>
        <v/>
      </c>
      <c r="Q65" s="32" t="str">
        <f>IF(AND(Q$30,$O65),$D$32,"")</f>
        <v/>
      </c>
      <c r="R65" s="32" t="str">
        <f>IF(AND(R$30,$O65),$E$32,"")</f>
        <v/>
      </c>
      <c r="S65" s="54" t="str">
        <f>IF(AND(S$30,$O65),$F$32,"")</f>
        <v/>
      </c>
      <c r="T65" s="31" t="str">
        <f>IF(AND(T$30,$O65),$C$32,"")</f>
        <v/>
      </c>
      <c r="U65" s="32" t="str">
        <f>IF(AND(U$30,$O65),$D$32,"")</f>
        <v/>
      </c>
      <c r="V65" s="32" t="str">
        <f>IF(AND(V$30,$O65),$E$32,"")</f>
        <v/>
      </c>
      <c r="W65" s="54" t="str">
        <f>IF(AND(W$30,$O65),$F$32,"")</f>
        <v/>
      </c>
      <c r="X65" s="31" t="str">
        <f>IF(AND(X$30,$O65),$C$32,"")</f>
        <v/>
      </c>
      <c r="Y65" s="32" t="str">
        <f>IF(AND(Y$30,$O65),$D$32,"")</f>
        <v/>
      </c>
      <c r="Z65" s="32" t="str">
        <f>IF(AND(Z$30,$O65),$E$32,"")</f>
        <v/>
      </c>
      <c r="AA65" s="54" t="str">
        <f>IF(AND(AA$30,$O65),$F$32,"")</f>
        <v/>
      </c>
      <c r="AB65" s="31" t="str">
        <f>IF(AND(AB$30,$O65),$C$32,"")</f>
        <v/>
      </c>
      <c r="AC65" s="32" t="str">
        <f>IF(AND(AC$30,$O65),$D$32,"")</f>
        <v/>
      </c>
      <c r="AD65" s="32" t="str">
        <f>IF(AND(AD$30,$O65),$E$32,"")</f>
        <v/>
      </c>
      <c r="AE65" s="54" t="str">
        <f>IF(AND(AE$30,$O65),$F$32,"")</f>
        <v/>
      </c>
      <c r="AF65" s="31" t="str">
        <f>IF(AND(AF$30,$O65),$C$32,"")</f>
        <v/>
      </c>
      <c r="AG65" s="32" t="str">
        <f>IF(AND(AG$30,$O65),$D$32,"")</f>
        <v/>
      </c>
      <c r="AH65" s="32" t="str">
        <f>IF(AND(AH$30,$O65),$E$32,"")</f>
        <v/>
      </c>
      <c r="AI65" s="54" t="str">
        <f>IF(AND(AI$30,$O65),$F$32,"")</f>
        <v/>
      </c>
      <c r="AJ65" s="31" t="str">
        <f>IF(AND(AJ$30,$O65),$C$32,"")</f>
        <v/>
      </c>
      <c r="AK65" s="32" t="str">
        <f>IF(AND(AK$30,$O65),$D$32,"")</f>
        <v/>
      </c>
      <c r="AL65" s="32" t="str">
        <f>IF(AND(AL$30,$O65),$E$32,"")</f>
        <v/>
      </c>
      <c r="AM65" s="54" t="str">
        <f>IF(AND(AM$30,$O65),$F$32,"")</f>
        <v/>
      </c>
      <c r="AN65" s="31" t="str">
        <f>IF(AND(AN$30,$O65),$C$32,"")</f>
        <v/>
      </c>
      <c r="AO65" s="32" t="str">
        <f>IF(AND(AO$30,$O65),$D$32,"")</f>
        <v/>
      </c>
      <c r="AP65" s="32" t="str">
        <f>IF(AND(AP$30,$O65),$E$32,"")</f>
        <v/>
      </c>
      <c r="AQ65" s="54" t="str">
        <f>IF(AND(AQ$30,$O65),$F$32,"")</f>
        <v/>
      </c>
      <c r="AR65" s="31" t="str">
        <f>IF(AND(AR$30,$O65),$C$32,"")</f>
        <v/>
      </c>
      <c r="AS65" s="32" t="str">
        <f>IF(AND(AS$30,$O65),$D$32,"")</f>
        <v/>
      </c>
      <c r="AT65" s="32" t="str">
        <f>IF(AND(AT$30,$O65),$E$32,"")</f>
        <v/>
      </c>
      <c r="AU65" s="54" t="str">
        <f>IF(AND(AU$30,$O65),$F$32,"")</f>
        <v/>
      </c>
      <c r="AV65" s="31" t="str">
        <f>IF(AND(AV$30,$O65),$C$32,"")</f>
        <v/>
      </c>
      <c r="AW65" s="32" t="str">
        <f>IF(AND(AW$30,$O65),$D$32,"")</f>
        <v/>
      </c>
      <c r="AX65" s="32" t="str">
        <f>IF(AND(AX$30,$O65),$E$32,"")</f>
        <v/>
      </c>
      <c r="AY65" s="54" t="str">
        <f>IF(AND(AY$30,$O65),$F$32,"")</f>
        <v/>
      </c>
      <c r="AZ65" s="31" t="str">
        <f>IF(AND(AZ$30,$O65),$C$32,"")</f>
        <v/>
      </c>
      <c r="BA65" s="32" t="str">
        <f>IF(AND(BA$30,$O65),$D$32,"")</f>
        <v/>
      </c>
      <c r="BB65" s="32" t="str">
        <f>IF(AND(BB$30,$O65),$E$32,"")</f>
        <v/>
      </c>
      <c r="BC65" s="54" t="str">
        <f>IF(AND(BC$30,$O65),$F$32,"")</f>
        <v/>
      </c>
      <c r="BD65" s="31" t="str">
        <f>IF(AND(BD$30,$O65),$C$32,"")</f>
        <v/>
      </c>
      <c r="BE65" s="32" t="str">
        <f>IF(AND(BE$30,$O65),$D$32,"")</f>
        <v/>
      </c>
      <c r="BF65" s="32" t="str">
        <f>IF(AND(BF$30,$O65),$E$32,"")</f>
        <v/>
      </c>
      <c r="BG65" s="54" t="str">
        <f>IF(AND(BG$30,$O65),$F$32,"")</f>
        <v/>
      </c>
      <c r="BH65" s="31" t="str">
        <f>IF(AND(BH$30,$O65),$C$32,"")</f>
        <v/>
      </c>
      <c r="BI65" s="32" t="str">
        <f>IF(AND(BI$30,$O65),$D$32,"")</f>
        <v/>
      </c>
      <c r="BJ65" s="32" t="str">
        <f>IF(AND(BJ$30,$O65),$E$32,"")</f>
        <v/>
      </c>
      <c r="BK65" s="54" t="str">
        <f>IF(AND(BK$30,$O65),$F$32,"")</f>
        <v/>
      </c>
      <c r="BL65" s="31" t="str">
        <f>IF(AND(BL$30,$O65),$C$32,"")</f>
        <v/>
      </c>
      <c r="BM65" s="32" t="str">
        <f>IF(AND(BM$30,$O65),$D$32,"")</f>
        <v/>
      </c>
      <c r="BN65" s="32" t="str">
        <f>IF(AND(BN$30,$O65),$E$32,"")</f>
        <v/>
      </c>
      <c r="BO65" s="54" t="str">
        <f>IF(AND(BO$30,$O65),$F$32,"")</f>
        <v/>
      </c>
      <c r="BP65" s="31" t="str">
        <f>IF(AND(BP$30,$O65),$C$32,"")</f>
        <v/>
      </c>
      <c r="BQ65" s="32" t="str">
        <f>IF(AND(BQ$30,$O65),$D$32,"")</f>
        <v/>
      </c>
      <c r="BR65" s="32" t="str">
        <f>IF(AND(BR$30,$O65),$E$32,"")</f>
        <v/>
      </c>
      <c r="BS65" s="54" t="str">
        <f>IF(AND(BS$30,$O65),$F$32,"")</f>
        <v/>
      </c>
      <c r="BT65" s="31" t="str">
        <f>IF(AND(BT$30,$O65),$C$32,"")</f>
        <v/>
      </c>
      <c r="BU65" s="32" t="str">
        <f>IF(AND(BU$30,$O65),$D$32,"")</f>
        <v/>
      </c>
      <c r="BV65" s="32" t="str">
        <f>IF(AND(BV$30,$O65),$E$32,"")</f>
        <v/>
      </c>
      <c r="BW65" s="54" t="str">
        <f>IF(AND(BW$30,$O65),$F$32,"")</f>
        <v/>
      </c>
      <c r="BX65" s="31" t="str">
        <f>IF(AND(BX$30,$O65),$C$32,"")</f>
        <v/>
      </c>
      <c r="BY65" s="32" t="str">
        <f>IF(AND(BY$30,$O65),$D$32,"")</f>
        <v/>
      </c>
      <c r="BZ65" s="32" t="str">
        <f>IF(AND(BZ$30,$O65),$E$32,"")</f>
        <v/>
      </c>
      <c r="CA65" s="54" t="str">
        <f>IF(AND(CA$30,$O65),$F$32,"")</f>
        <v/>
      </c>
      <c r="CB65" s="31" t="str">
        <f>IF(AND(CB$30,$O65),$C$32,"")</f>
        <v/>
      </c>
      <c r="CC65" s="32" t="str">
        <f>IF(AND(CC$30,$O65),$D$32,"")</f>
        <v/>
      </c>
      <c r="CD65" s="32" t="str">
        <f>IF(AND(CD$30,$O65),$E$32,"")</f>
        <v/>
      </c>
      <c r="CE65" s="54" t="str">
        <f>IF(AND(CE$30,$O65),$F$32,"")</f>
        <v/>
      </c>
    </row>
    <row r="66" spans="12:83" ht="15.75" thickBot="1">
      <c r="L66" s="86"/>
      <c r="M66" s="37" t="str">
        <f t="shared" si="7"/>
        <v>-</v>
      </c>
      <c r="O66" s="43">
        <f>BinAnd(N63,G)</f>
        <v>0</v>
      </c>
      <c r="P66" s="55" t="str">
        <f>IF(AND(P$30,$O66),$C$33,"")</f>
        <v/>
      </c>
      <c r="Q66" s="56" t="str">
        <f>IF(AND(Q$30,$O66),$D$33,"")</f>
        <v/>
      </c>
      <c r="R66" s="56" t="str">
        <f>IF(AND(R$30,$O66),$E$33,"")</f>
        <v/>
      </c>
      <c r="S66" s="57" t="str">
        <f>IF(AND(S$30,$O66),$F$33,"")</f>
        <v/>
      </c>
      <c r="T66" s="55" t="str">
        <f>IF(AND(T$30,$O66),$C$33,"")</f>
        <v/>
      </c>
      <c r="U66" s="56" t="str">
        <f>IF(AND(U$30,$O66),$D$33,"")</f>
        <v/>
      </c>
      <c r="V66" s="56" t="str">
        <f>IF(AND(V$30,$O66),$E$33,"")</f>
        <v/>
      </c>
      <c r="W66" s="57" t="str">
        <f>IF(AND(W$30,$O66),$F$33,"")</f>
        <v/>
      </c>
      <c r="X66" s="55" t="str">
        <f>IF(AND(X$30,$O66),$C$33,"")</f>
        <v/>
      </c>
      <c r="Y66" s="56" t="str">
        <f>IF(AND(Y$30,$O66),$D$33,"")</f>
        <v/>
      </c>
      <c r="Z66" s="56" t="str">
        <f>IF(AND(Z$30,$O66),$E$33,"")</f>
        <v/>
      </c>
      <c r="AA66" s="57" t="str">
        <f>IF(AND(AA$30,$O66),$F$33,"")</f>
        <v/>
      </c>
      <c r="AB66" s="55" t="str">
        <f>IF(AND(AB$30,$O66),$C$33,"")</f>
        <v/>
      </c>
      <c r="AC66" s="56" t="str">
        <f>IF(AND(AC$30,$O66),$D$33,"")</f>
        <v/>
      </c>
      <c r="AD66" s="56" t="str">
        <f>IF(AND(AD$30,$O66),$E$33,"")</f>
        <v/>
      </c>
      <c r="AE66" s="57" t="str">
        <f>IF(AND(AE$30,$O66),$F$33,"")</f>
        <v/>
      </c>
      <c r="AF66" s="55" t="str">
        <f>IF(AND(AF$30,$O66),$C$33,"")</f>
        <v/>
      </c>
      <c r="AG66" s="56" t="str">
        <f>IF(AND(AG$30,$O66),$D$33,"")</f>
        <v/>
      </c>
      <c r="AH66" s="56" t="str">
        <f>IF(AND(AH$30,$O66),$E$33,"")</f>
        <v/>
      </c>
      <c r="AI66" s="57" t="str">
        <f>IF(AND(AI$30,$O66),$F$33,"")</f>
        <v/>
      </c>
      <c r="AJ66" s="55" t="str">
        <f>IF(AND(AJ$30,$O66),$C$33,"")</f>
        <v/>
      </c>
      <c r="AK66" s="56" t="str">
        <f>IF(AND(AK$30,$O66),$D$33,"")</f>
        <v/>
      </c>
      <c r="AL66" s="56" t="str">
        <f>IF(AND(AL$30,$O66),$E$33,"")</f>
        <v/>
      </c>
      <c r="AM66" s="57" t="str">
        <f>IF(AND(AM$30,$O66),$F$33,"")</f>
        <v/>
      </c>
      <c r="AN66" s="55" t="str">
        <f>IF(AND(AN$30,$O66),$C$33,"")</f>
        <v/>
      </c>
      <c r="AO66" s="56" t="str">
        <f>IF(AND(AO$30,$O66),$D$33,"")</f>
        <v/>
      </c>
      <c r="AP66" s="56" t="str">
        <f>IF(AND(AP$30,$O66),$E$33,"")</f>
        <v/>
      </c>
      <c r="AQ66" s="57" t="str">
        <f>IF(AND(AQ$30,$O66),$F$33,"")</f>
        <v/>
      </c>
      <c r="AR66" s="55" t="str">
        <f>IF(AND(AR$30,$O66),$C$33,"")</f>
        <v/>
      </c>
      <c r="AS66" s="56" t="str">
        <f>IF(AND(AS$30,$O66),$D$33,"")</f>
        <v/>
      </c>
      <c r="AT66" s="56" t="str">
        <f>IF(AND(AT$30,$O66),$E$33,"")</f>
        <v/>
      </c>
      <c r="AU66" s="57" t="str">
        <f>IF(AND(AU$30,$O66),$F$33,"")</f>
        <v/>
      </c>
      <c r="AV66" s="55" t="str">
        <f>IF(AND(AV$30,$O66),$C$33,"")</f>
        <v/>
      </c>
      <c r="AW66" s="56" t="str">
        <f>IF(AND(AW$30,$O66),$D$33,"")</f>
        <v/>
      </c>
      <c r="AX66" s="56" t="str">
        <f>IF(AND(AX$30,$O66),$E$33,"")</f>
        <v/>
      </c>
      <c r="AY66" s="57" t="str">
        <f>IF(AND(AY$30,$O66),$F$33,"")</f>
        <v/>
      </c>
      <c r="AZ66" s="55" t="str">
        <f>IF(AND(AZ$30,$O66),$C$33,"")</f>
        <v/>
      </c>
      <c r="BA66" s="56" t="str">
        <f>IF(AND(BA$30,$O66),$D$33,"")</f>
        <v/>
      </c>
      <c r="BB66" s="56" t="str">
        <f>IF(AND(BB$30,$O66),$E$33,"")</f>
        <v/>
      </c>
      <c r="BC66" s="57" t="str">
        <f>IF(AND(BC$30,$O66),$F$33,"")</f>
        <v/>
      </c>
      <c r="BD66" s="55" t="str">
        <f>IF(AND(BD$30,$O66),$C$33,"")</f>
        <v/>
      </c>
      <c r="BE66" s="56" t="str">
        <f>IF(AND(BE$30,$O66),$D$33,"")</f>
        <v/>
      </c>
      <c r="BF66" s="56" t="str">
        <f>IF(AND(BF$30,$O66),$E$33,"")</f>
        <v/>
      </c>
      <c r="BG66" s="57" t="str">
        <f>IF(AND(BG$30,$O66),$F$33,"")</f>
        <v/>
      </c>
      <c r="BH66" s="55" t="str">
        <f>IF(AND(BH$30,$O66),$C$33,"")</f>
        <v/>
      </c>
      <c r="BI66" s="56" t="str">
        <f>IF(AND(BI$30,$O66),$D$33,"")</f>
        <v/>
      </c>
      <c r="BJ66" s="56" t="str">
        <f>IF(AND(BJ$30,$O66),$E$33,"")</f>
        <v/>
      </c>
      <c r="BK66" s="57" t="str">
        <f>IF(AND(BK$30,$O66),$F$33,"")</f>
        <v/>
      </c>
      <c r="BL66" s="55" t="str">
        <f>IF(AND(BL$30,$O66),$C$33,"")</f>
        <v/>
      </c>
      <c r="BM66" s="56" t="str">
        <f>IF(AND(BM$30,$O66),$D$33,"")</f>
        <v/>
      </c>
      <c r="BN66" s="56" t="str">
        <f>IF(AND(BN$30,$O66),$E$33,"")</f>
        <v/>
      </c>
      <c r="BO66" s="57" t="str">
        <f>IF(AND(BO$30,$O66),$F$33,"")</f>
        <v/>
      </c>
      <c r="BP66" s="55" t="str">
        <f>IF(AND(BP$30,$O66),$C$33,"")</f>
        <v/>
      </c>
      <c r="BQ66" s="56" t="str">
        <f>IF(AND(BQ$30,$O66),$D$33,"")</f>
        <v/>
      </c>
      <c r="BR66" s="56" t="str">
        <f>IF(AND(BR$30,$O66),$E$33,"")</f>
        <v/>
      </c>
      <c r="BS66" s="57" t="str">
        <f>IF(AND(BS$30,$O66),$F$33,"")</f>
        <v/>
      </c>
      <c r="BT66" s="55" t="str">
        <f>IF(AND(BT$30,$O66),$C$33,"")</f>
        <v/>
      </c>
      <c r="BU66" s="56" t="str">
        <f>IF(AND(BU$30,$O66),$D$33,"")</f>
        <v/>
      </c>
      <c r="BV66" s="56" t="str">
        <f>IF(AND(BV$30,$O66),$E$33,"")</f>
        <v/>
      </c>
      <c r="BW66" s="57" t="str">
        <f>IF(AND(BW$30,$O66),$F$33,"")</f>
        <v/>
      </c>
      <c r="BX66" s="55" t="str">
        <f>IF(AND(BX$30,$O66),$C$33,"")</f>
        <v/>
      </c>
      <c r="BY66" s="56" t="str">
        <f>IF(AND(BY$30,$O66),$D$33,"")</f>
        <v/>
      </c>
      <c r="BZ66" s="56" t="str">
        <f>IF(AND(BZ$30,$O66),$E$33,"")</f>
        <v/>
      </c>
      <c r="CA66" s="57" t="str">
        <f>IF(AND(CA$30,$O66),$F$33,"")</f>
        <v/>
      </c>
      <c r="CB66" s="55" t="str">
        <f>IF(AND(CB$30,$O66),$C$33,"")</f>
        <v/>
      </c>
      <c r="CC66" s="56" t="str">
        <f>IF(AND(CC$30,$O66),$D$33,"")</f>
        <v/>
      </c>
      <c r="CD66" s="56" t="str">
        <f>IF(AND(CD$30,$O66),$E$33,"")</f>
        <v/>
      </c>
      <c r="CE66" s="57" t="str">
        <f>IF(AND(CE$30,$O66),$F$33,"")</f>
        <v/>
      </c>
    </row>
    <row r="67" spans="12:83">
      <c r="L67" s="83" t="str">
        <f>MID(CodDegElegir,N67+1,1)</f>
        <v>R</v>
      </c>
      <c r="M67" s="85" t="str">
        <f t="shared" si="7"/>
        <v>A</v>
      </c>
      <c r="N67">
        <v>9</v>
      </c>
      <c r="O67" s="81">
        <f>BinAnd(N67,A)</f>
        <v>8</v>
      </c>
      <c r="P67" s="29" t="str">
        <f>IF(AND(P$30,$O67),$C$30,"")</f>
        <v/>
      </c>
      <c r="Q67" s="30" t="str">
        <f>IF(AND(Q$30,$O67),$D$30,"")</f>
        <v/>
      </c>
      <c r="R67" s="30" t="str">
        <f>IF(AND(R$30,$O67),$E$30,"")</f>
        <v/>
      </c>
      <c r="S67" s="53" t="str">
        <f>IF(AND(S$30,$O67),$F$30,"")</f>
        <v/>
      </c>
      <c r="T67" s="29" t="str">
        <f>IF(AND(T$30,$O67),$C$30,"")</f>
        <v/>
      </c>
      <c r="U67" s="30" t="str">
        <f>IF(AND(U$30,$O67),$D$30,"")</f>
        <v/>
      </c>
      <c r="V67" s="30" t="str">
        <f>IF(AND(V$30,$O67),$E$30,"")</f>
        <v/>
      </c>
      <c r="W67" s="53">
        <f>IF(AND(W$30,$O67),$F$30,"")</f>
        <v>16.100000000000001</v>
      </c>
      <c r="X67" s="29" t="str">
        <f>IF(AND(X$30,$O67),$C$30,"")</f>
        <v/>
      </c>
      <c r="Y67" s="30" t="str">
        <f>IF(AND(Y$30,$O67),$D$30,"")</f>
        <v/>
      </c>
      <c r="Z67" s="30">
        <f>IF(AND(Z$30,$O67),$E$30,"")</f>
        <v>23</v>
      </c>
      <c r="AA67" s="53" t="str">
        <f>IF(AND(AA$30,$O67),$F$30,"")</f>
        <v/>
      </c>
      <c r="AB67" s="29" t="str">
        <f>IF(AND(AB$30,$O67),$C$30,"")</f>
        <v/>
      </c>
      <c r="AC67" s="30" t="str">
        <f>IF(AND(AC$30,$O67),$D$30,"")</f>
        <v/>
      </c>
      <c r="AD67" s="30">
        <f>IF(AND(AD$30,$O67),$E$30,"")</f>
        <v>23</v>
      </c>
      <c r="AE67" s="53">
        <f>IF(AND(AE$30,$O67),$F$30,"")</f>
        <v>16.100000000000001</v>
      </c>
      <c r="AF67" s="29" t="str">
        <f>IF(AND(AF$30,$O67),$C$30,"")</f>
        <v/>
      </c>
      <c r="AG67" s="30">
        <f>IF(AND(AG$30,$O67),$D$30,"")</f>
        <v>18.8</v>
      </c>
      <c r="AH67" s="30" t="str">
        <f>IF(AND(AH$30,$O67),$E$30,"")</f>
        <v/>
      </c>
      <c r="AI67" s="53" t="str">
        <f>IF(AND(AI$30,$O67),$F$30,"")</f>
        <v/>
      </c>
      <c r="AJ67" s="29" t="str">
        <f>IF(AND(AJ$30,$O67),$C$30,"")</f>
        <v/>
      </c>
      <c r="AK67" s="30">
        <f>IF(AND(AK$30,$O67),$D$30,"")</f>
        <v>18.8</v>
      </c>
      <c r="AL67" s="30" t="str">
        <f>IF(AND(AL$30,$O67),$E$30,"")</f>
        <v/>
      </c>
      <c r="AM67" s="53">
        <f>IF(AND(AM$30,$O67),$F$30,"")</f>
        <v>16.100000000000001</v>
      </c>
      <c r="AN67" s="29" t="str">
        <f>IF(AND(AN$30,$O67),$C$30,"")</f>
        <v/>
      </c>
      <c r="AO67" s="30">
        <f>IF(AND(AO$30,$O67),$D$30,"")</f>
        <v>18.8</v>
      </c>
      <c r="AP67" s="30">
        <f>IF(AND(AP$30,$O67),$E$30,"")</f>
        <v>23</v>
      </c>
      <c r="AQ67" s="53" t="str">
        <f>IF(AND(AQ$30,$O67),$F$30,"")</f>
        <v/>
      </c>
      <c r="AR67" s="29" t="str">
        <f>IF(AND(AR$30,$O67),$C$30,"")</f>
        <v/>
      </c>
      <c r="AS67" s="30">
        <f>IF(AND(AS$30,$O67),$D$30,"")</f>
        <v>18.8</v>
      </c>
      <c r="AT67" s="30">
        <f>IF(AND(AT$30,$O67),$E$30,"")</f>
        <v>23</v>
      </c>
      <c r="AU67" s="53">
        <f>IF(AND(AU$30,$O67),$F$30,"")</f>
        <v>16.100000000000001</v>
      </c>
      <c r="AV67" s="29">
        <f>IF(AND(AV$30,$O67),$C$30,"")</f>
        <v>23.6</v>
      </c>
      <c r="AW67" s="30" t="str">
        <f>IF(AND(AW$30,$O67),$D$30,"")</f>
        <v/>
      </c>
      <c r="AX67" s="30" t="str">
        <f>IF(AND(AX$30,$O67),$E$30,"")</f>
        <v/>
      </c>
      <c r="AY67" s="53" t="str">
        <f>IF(AND(AY$30,$O67),$F$30,"")</f>
        <v/>
      </c>
      <c r="AZ67" s="29">
        <f>IF(AND(AZ$30,$O67),$C$30,"")</f>
        <v>23.6</v>
      </c>
      <c r="BA67" s="30" t="str">
        <f>IF(AND(BA$30,$O67),$D$30,"")</f>
        <v/>
      </c>
      <c r="BB67" s="30" t="str">
        <f>IF(AND(BB$30,$O67),$E$30,"")</f>
        <v/>
      </c>
      <c r="BC67" s="53">
        <f>IF(AND(BC$30,$O67),$F$30,"")</f>
        <v>16.100000000000001</v>
      </c>
      <c r="BD67" s="29">
        <f>IF(AND(BD$30,$O67),$C$30,"")</f>
        <v>23.6</v>
      </c>
      <c r="BE67" s="30" t="str">
        <f>IF(AND(BE$30,$O67),$D$30,"")</f>
        <v/>
      </c>
      <c r="BF67" s="30">
        <f>IF(AND(BF$30,$O67),$E$30,"")</f>
        <v>23</v>
      </c>
      <c r="BG67" s="53" t="str">
        <f>IF(AND(BG$30,$O67),$F$30,"")</f>
        <v/>
      </c>
      <c r="BH67" s="29">
        <f>IF(AND(BH$30,$O67),$C$30,"")</f>
        <v>23.6</v>
      </c>
      <c r="BI67" s="30" t="str">
        <f>IF(AND(BI$30,$O67),$D$30,"")</f>
        <v/>
      </c>
      <c r="BJ67" s="30">
        <f>IF(AND(BJ$30,$O67),$E$30,"")</f>
        <v>23</v>
      </c>
      <c r="BK67" s="53">
        <f>IF(AND(BK$30,$O67),$F$30,"")</f>
        <v>16.100000000000001</v>
      </c>
      <c r="BL67" s="29">
        <f>IF(AND(BL$30,$O67),$C$30,"")</f>
        <v>23.6</v>
      </c>
      <c r="BM67" s="30">
        <f>IF(AND(BM$30,$O67),$D$30,"")</f>
        <v>18.8</v>
      </c>
      <c r="BN67" s="30" t="str">
        <f>IF(AND(BN$30,$O67),$E$30,"")</f>
        <v/>
      </c>
      <c r="BO67" s="53" t="str">
        <f>IF(AND(BO$30,$O67),$F$30,"")</f>
        <v/>
      </c>
      <c r="BP67" s="29">
        <f>IF(AND(BP$30,$O67),$C$30,"")</f>
        <v>23.6</v>
      </c>
      <c r="BQ67" s="30">
        <f>IF(AND(BQ$30,$O67),$D$30,"")</f>
        <v>18.8</v>
      </c>
      <c r="BR67" s="30" t="str">
        <f>IF(AND(BR$30,$O67),$E$30,"")</f>
        <v/>
      </c>
      <c r="BS67" s="53">
        <f>IF(AND(BS$30,$O67),$F$30,"")</f>
        <v>16.100000000000001</v>
      </c>
      <c r="BT67" s="29">
        <f>IF(AND(BT$30,$O67),$C$30,"")</f>
        <v>23.6</v>
      </c>
      <c r="BU67" s="30">
        <f>IF(AND(BU$30,$O67),$D$30,"")</f>
        <v>18.8</v>
      </c>
      <c r="BV67" s="30">
        <f>IF(AND(BV$30,$O67),$E$30,"")</f>
        <v>23</v>
      </c>
      <c r="BW67" s="53" t="str">
        <f>IF(AND(BW$30,$O67),$F$30,"")</f>
        <v/>
      </c>
      <c r="BX67" s="29">
        <f>IF(AND(BX$30,$O67),$C$30,"")</f>
        <v>23.6</v>
      </c>
      <c r="BY67" s="30">
        <f>IF(AND(BY$30,$O67),$D$30,"")</f>
        <v>18.8</v>
      </c>
      <c r="BZ67" s="30">
        <f>IF(AND(BZ$30,$O67),$E$30,"")</f>
        <v>23</v>
      </c>
      <c r="CA67" s="53">
        <f>IF(AND(CA$30,$O67),$F$30,"")</f>
        <v>16.100000000000001</v>
      </c>
      <c r="CB67" s="29" t="str">
        <f>IF(AND(CB$30,$O67),$C$30,"")</f>
        <v/>
      </c>
      <c r="CC67" s="30" t="str">
        <f>IF(AND(CC$30,$O67),$D$30,"")</f>
        <v/>
      </c>
      <c r="CD67" s="30" t="str">
        <f>IF(AND(CD$30,$O67),$E$30,"")</f>
        <v/>
      </c>
      <c r="CE67" s="53" t="str">
        <f>IF(AND(CE$30,$O67),$F$30,"")</f>
        <v/>
      </c>
    </row>
    <row r="68" spans="12:83">
      <c r="L68" s="87"/>
      <c r="M68" s="36" t="str">
        <f t="shared" si="7"/>
        <v>-</v>
      </c>
      <c r="O68" s="82">
        <f>BinAnd(N67,T)</f>
        <v>0</v>
      </c>
      <c r="P68" s="31" t="str">
        <f>IF(AND(P$30,$O68),$C$31,"")</f>
        <v/>
      </c>
      <c r="Q68" s="32" t="str">
        <f>IF(AND(Q$30,$O68),$D$31,"")</f>
        <v/>
      </c>
      <c r="R68" s="32" t="str">
        <f>IF(AND(R$30,$O68),$E$31,"")</f>
        <v/>
      </c>
      <c r="S68" s="54" t="str">
        <f>IF(AND(S$30,$O68),$F$31,"")</f>
        <v/>
      </c>
      <c r="T68" s="31" t="str">
        <f>IF(AND(T$30,$O68),$C$31,"")</f>
        <v/>
      </c>
      <c r="U68" s="32" t="str">
        <f>IF(AND(U$30,$O68),$D$31,"")</f>
        <v/>
      </c>
      <c r="V68" s="32" t="str">
        <f>IF(AND(V$30,$O68),$E$31,"")</f>
        <v/>
      </c>
      <c r="W68" s="54" t="str">
        <f>IF(AND(W$30,$O68),$F$31,"")</f>
        <v/>
      </c>
      <c r="X68" s="31" t="str">
        <f>IF(AND(X$30,$O68),$C$31,"")</f>
        <v/>
      </c>
      <c r="Y68" s="32" t="str">
        <f>IF(AND(Y$30,$O68),$D$31,"")</f>
        <v/>
      </c>
      <c r="Z68" s="32" t="str">
        <f>IF(AND(Z$30,$O68),$E$31,"")</f>
        <v/>
      </c>
      <c r="AA68" s="54" t="str">
        <f>IF(AND(AA$30,$O68),$F$31,"")</f>
        <v/>
      </c>
      <c r="AB68" s="31" t="str">
        <f>IF(AND(AB$30,$O68),$C$31,"")</f>
        <v/>
      </c>
      <c r="AC68" s="32" t="str">
        <f>IF(AND(AC$30,$O68),$D$31,"")</f>
        <v/>
      </c>
      <c r="AD68" s="32" t="str">
        <f>IF(AND(AD$30,$O68),$E$31,"")</f>
        <v/>
      </c>
      <c r="AE68" s="54" t="str">
        <f>IF(AND(AE$30,$O68),$F$31,"")</f>
        <v/>
      </c>
      <c r="AF68" s="31" t="str">
        <f>IF(AND(AF$30,$O68),$C$31,"")</f>
        <v/>
      </c>
      <c r="AG68" s="32" t="str">
        <f>IF(AND(AG$30,$O68),$D$31,"")</f>
        <v/>
      </c>
      <c r="AH68" s="32" t="str">
        <f>IF(AND(AH$30,$O68),$E$31,"")</f>
        <v/>
      </c>
      <c r="AI68" s="54" t="str">
        <f>IF(AND(AI$30,$O68),$F$31,"")</f>
        <v/>
      </c>
      <c r="AJ68" s="31" t="str">
        <f>IF(AND(AJ$30,$O68),$C$31,"")</f>
        <v/>
      </c>
      <c r="AK68" s="32" t="str">
        <f>IF(AND(AK$30,$O68),$D$31,"")</f>
        <v/>
      </c>
      <c r="AL68" s="32" t="str">
        <f>IF(AND(AL$30,$O68),$E$31,"")</f>
        <v/>
      </c>
      <c r="AM68" s="54" t="str">
        <f>IF(AND(AM$30,$O68),$F$31,"")</f>
        <v/>
      </c>
      <c r="AN68" s="31" t="str">
        <f>IF(AND(AN$30,$O68),$C$31,"")</f>
        <v/>
      </c>
      <c r="AO68" s="32" t="str">
        <f>IF(AND(AO$30,$O68),$D$31,"")</f>
        <v/>
      </c>
      <c r="AP68" s="32" t="str">
        <f>IF(AND(AP$30,$O68),$E$31,"")</f>
        <v/>
      </c>
      <c r="AQ68" s="54" t="str">
        <f>IF(AND(AQ$30,$O68),$F$31,"")</f>
        <v/>
      </c>
      <c r="AR68" s="31" t="str">
        <f>IF(AND(AR$30,$O68),$C$31,"")</f>
        <v/>
      </c>
      <c r="AS68" s="32" t="str">
        <f>IF(AND(AS$30,$O68),$D$31,"")</f>
        <v/>
      </c>
      <c r="AT68" s="32" t="str">
        <f>IF(AND(AT$30,$O68),$E$31,"")</f>
        <v/>
      </c>
      <c r="AU68" s="54" t="str">
        <f>IF(AND(AU$30,$O68),$F$31,"")</f>
        <v/>
      </c>
      <c r="AV68" s="31" t="str">
        <f>IF(AND(AV$30,$O68),$C$31,"")</f>
        <v/>
      </c>
      <c r="AW68" s="32" t="str">
        <f>IF(AND(AW$30,$O68),$D$31,"")</f>
        <v/>
      </c>
      <c r="AX68" s="32" t="str">
        <f>IF(AND(AX$30,$O68),$E$31,"")</f>
        <v/>
      </c>
      <c r="AY68" s="54" t="str">
        <f>IF(AND(AY$30,$O68),$F$31,"")</f>
        <v/>
      </c>
      <c r="AZ68" s="31" t="str">
        <f>IF(AND(AZ$30,$O68),$C$31,"")</f>
        <v/>
      </c>
      <c r="BA68" s="32" t="str">
        <f>IF(AND(BA$30,$O68),$D$31,"")</f>
        <v/>
      </c>
      <c r="BB68" s="32" t="str">
        <f>IF(AND(BB$30,$O68),$E$31,"")</f>
        <v/>
      </c>
      <c r="BC68" s="54" t="str">
        <f>IF(AND(BC$30,$O68),$F$31,"")</f>
        <v/>
      </c>
      <c r="BD68" s="31" t="str">
        <f>IF(AND(BD$30,$O68),$C$31,"")</f>
        <v/>
      </c>
      <c r="BE68" s="32" t="str">
        <f>IF(AND(BE$30,$O68),$D$31,"")</f>
        <v/>
      </c>
      <c r="BF68" s="32" t="str">
        <f>IF(AND(BF$30,$O68),$E$31,"")</f>
        <v/>
      </c>
      <c r="BG68" s="54" t="str">
        <f>IF(AND(BG$30,$O68),$F$31,"")</f>
        <v/>
      </c>
      <c r="BH68" s="31" t="str">
        <f>IF(AND(BH$30,$O68),$C$31,"")</f>
        <v/>
      </c>
      <c r="BI68" s="32" t="str">
        <f>IF(AND(BI$30,$O68),$D$31,"")</f>
        <v/>
      </c>
      <c r="BJ68" s="32" t="str">
        <f>IF(AND(BJ$30,$O68),$E$31,"")</f>
        <v/>
      </c>
      <c r="BK68" s="54" t="str">
        <f>IF(AND(BK$30,$O68),$F$31,"")</f>
        <v/>
      </c>
      <c r="BL68" s="31" t="str">
        <f>IF(AND(BL$30,$O68),$C$31,"")</f>
        <v/>
      </c>
      <c r="BM68" s="32" t="str">
        <f>IF(AND(BM$30,$O68),$D$31,"")</f>
        <v/>
      </c>
      <c r="BN68" s="32" t="str">
        <f>IF(AND(BN$30,$O68),$E$31,"")</f>
        <v/>
      </c>
      <c r="BO68" s="54" t="str">
        <f>IF(AND(BO$30,$O68),$F$31,"")</f>
        <v/>
      </c>
      <c r="BP68" s="31" t="str">
        <f>IF(AND(BP$30,$O68),$C$31,"")</f>
        <v/>
      </c>
      <c r="BQ68" s="32" t="str">
        <f>IF(AND(BQ$30,$O68),$D$31,"")</f>
        <v/>
      </c>
      <c r="BR68" s="32" t="str">
        <f>IF(AND(BR$30,$O68),$E$31,"")</f>
        <v/>
      </c>
      <c r="BS68" s="54" t="str">
        <f>IF(AND(BS$30,$O68),$F$31,"")</f>
        <v/>
      </c>
      <c r="BT68" s="31" t="str">
        <f>IF(AND(BT$30,$O68),$C$31,"")</f>
        <v/>
      </c>
      <c r="BU68" s="32" t="str">
        <f>IF(AND(BU$30,$O68),$D$31,"")</f>
        <v/>
      </c>
      <c r="BV68" s="32" t="str">
        <f>IF(AND(BV$30,$O68),$E$31,"")</f>
        <v/>
      </c>
      <c r="BW68" s="54" t="str">
        <f>IF(AND(BW$30,$O68),$F$31,"")</f>
        <v/>
      </c>
      <c r="BX68" s="31" t="str">
        <f>IF(AND(BX$30,$O68),$C$31,"")</f>
        <v/>
      </c>
      <c r="BY68" s="32" t="str">
        <f>IF(AND(BY$30,$O68),$D$31,"")</f>
        <v/>
      </c>
      <c r="BZ68" s="32" t="str">
        <f>IF(AND(BZ$30,$O68),$E$31,"")</f>
        <v/>
      </c>
      <c r="CA68" s="54" t="str">
        <f>IF(AND(CA$30,$O68),$F$31,"")</f>
        <v/>
      </c>
      <c r="CB68" s="31" t="str">
        <f>IF(AND(CB$30,$O68),$C$31,"")</f>
        <v/>
      </c>
      <c r="CC68" s="32" t="str">
        <f>IF(AND(CC$30,$O68),$D$31,"")</f>
        <v/>
      </c>
      <c r="CD68" s="32" t="str">
        <f>IF(AND(CD$30,$O68),$E$31,"")</f>
        <v/>
      </c>
      <c r="CE68" s="54" t="str">
        <f>IF(AND(CE$30,$O68),$F$31,"")</f>
        <v/>
      </c>
    </row>
    <row r="69" spans="12:83">
      <c r="L69" s="87"/>
      <c r="M69" s="36" t="str">
        <f t="shared" si="7"/>
        <v>-</v>
      </c>
      <c r="O69" s="82">
        <f>BinAnd(N67,Ce)</f>
        <v>0</v>
      </c>
      <c r="P69" s="31" t="str">
        <f>IF(AND(P$30,$O69),$C$32,"")</f>
        <v/>
      </c>
      <c r="Q69" s="32" t="str">
        <f>IF(AND(Q$30,$O69),$D$32,"")</f>
        <v/>
      </c>
      <c r="R69" s="32" t="str">
        <f>IF(AND(R$30,$O69),$E$32,"")</f>
        <v/>
      </c>
      <c r="S69" s="54" t="str">
        <f>IF(AND(S$30,$O69),$F$32,"")</f>
        <v/>
      </c>
      <c r="T69" s="31" t="str">
        <f>IF(AND(T$30,$O69),$C$32,"")</f>
        <v/>
      </c>
      <c r="U69" s="32" t="str">
        <f>IF(AND(U$30,$O69),$D$32,"")</f>
        <v/>
      </c>
      <c r="V69" s="32" t="str">
        <f>IF(AND(V$30,$O69),$E$32,"")</f>
        <v/>
      </c>
      <c r="W69" s="54" t="str">
        <f>IF(AND(W$30,$O69),$F$32,"")</f>
        <v/>
      </c>
      <c r="X69" s="31" t="str">
        <f>IF(AND(X$30,$O69),$C$32,"")</f>
        <v/>
      </c>
      <c r="Y69" s="32" t="str">
        <f>IF(AND(Y$30,$O69),$D$32,"")</f>
        <v/>
      </c>
      <c r="Z69" s="32" t="str">
        <f>IF(AND(Z$30,$O69),$E$32,"")</f>
        <v/>
      </c>
      <c r="AA69" s="54" t="str">
        <f>IF(AND(AA$30,$O69),$F$32,"")</f>
        <v/>
      </c>
      <c r="AB69" s="31" t="str">
        <f>IF(AND(AB$30,$O69),$C$32,"")</f>
        <v/>
      </c>
      <c r="AC69" s="32" t="str">
        <f>IF(AND(AC$30,$O69),$D$32,"")</f>
        <v/>
      </c>
      <c r="AD69" s="32" t="str">
        <f>IF(AND(AD$30,$O69),$E$32,"")</f>
        <v/>
      </c>
      <c r="AE69" s="54" t="str">
        <f>IF(AND(AE$30,$O69),$F$32,"")</f>
        <v/>
      </c>
      <c r="AF69" s="31" t="str">
        <f>IF(AND(AF$30,$O69),$C$32,"")</f>
        <v/>
      </c>
      <c r="AG69" s="32" t="str">
        <f>IF(AND(AG$30,$O69),$D$32,"")</f>
        <v/>
      </c>
      <c r="AH69" s="32" t="str">
        <f>IF(AND(AH$30,$O69),$E$32,"")</f>
        <v/>
      </c>
      <c r="AI69" s="54" t="str">
        <f>IF(AND(AI$30,$O69),$F$32,"")</f>
        <v/>
      </c>
      <c r="AJ69" s="31" t="str">
        <f>IF(AND(AJ$30,$O69),$C$32,"")</f>
        <v/>
      </c>
      <c r="AK69" s="32" t="str">
        <f>IF(AND(AK$30,$O69),$D$32,"")</f>
        <v/>
      </c>
      <c r="AL69" s="32" t="str">
        <f>IF(AND(AL$30,$O69),$E$32,"")</f>
        <v/>
      </c>
      <c r="AM69" s="54" t="str">
        <f>IF(AND(AM$30,$O69),$F$32,"")</f>
        <v/>
      </c>
      <c r="AN69" s="31" t="str">
        <f>IF(AND(AN$30,$O69),$C$32,"")</f>
        <v/>
      </c>
      <c r="AO69" s="32" t="str">
        <f>IF(AND(AO$30,$O69),$D$32,"")</f>
        <v/>
      </c>
      <c r="AP69" s="32" t="str">
        <f>IF(AND(AP$30,$O69),$E$32,"")</f>
        <v/>
      </c>
      <c r="AQ69" s="54" t="str">
        <f>IF(AND(AQ$30,$O69),$F$32,"")</f>
        <v/>
      </c>
      <c r="AR69" s="31" t="str">
        <f>IF(AND(AR$30,$O69),$C$32,"")</f>
        <v/>
      </c>
      <c r="AS69" s="32" t="str">
        <f>IF(AND(AS$30,$O69),$D$32,"")</f>
        <v/>
      </c>
      <c r="AT69" s="32" t="str">
        <f>IF(AND(AT$30,$O69),$E$32,"")</f>
        <v/>
      </c>
      <c r="AU69" s="54" t="str">
        <f>IF(AND(AU$30,$O69),$F$32,"")</f>
        <v/>
      </c>
      <c r="AV69" s="31" t="str">
        <f>IF(AND(AV$30,$O69),$C$32,"")</f>
        <v/>
      </c>
      <c r="AW69" s="32" t="str">
        <f>IF(AND(AW$30,$O69),$D$32,"")</f>
        <v/>
      </c>
      <c r="AX69" s="32" t="str">
        <f>IF(AND(AX$30,$O69),$E$32,"")</f>
        <v/>
      </c>
      <c r="AY69" s="54" t="str">
        <f>IF(AND(AY$30,$O69),$F$32,"")</f>
        <v/>
      </c>
      <c r="AZ69" s="31" t="str">
        <f>IF(AND(AZ$30,$O69),$C$32,"")</f>
        <v/>
      </c>
      <c r="BA69" s="32" t="str">
        <f>IF(AND(BA$30,$O69),$D$32,"")</f>
        <v/>
      </c>
      <c r="BB69" s="32" t="str">
        <f>IF(AND(BB$30,$O69),$E$32,"")</f>
        <v/>
      </c>
      <c r="BC69" s="54" t="str">
        <f>IF(AND(BC$30,$O69),$F$32,"")</f>
        <v/>
      </c>
      <c r="BD69" s="31" t="str">
        <f>IF(AND(BD$30,$O69),$C$32,"")</f>
        <v/>
      </c>
      <c r="BE69" s="32" t="str">
        <f>IF(AND(BE$30,$O69),$D$32,"")</f>
        <v/>
      </c>
      <c r="BF69" s="32" t="str">
        <f>IF(AND(BF$30,$O69),$E$32,"")</f>
        <v/>
      </c>
      <c r="BG69" s="54" t="str">
        <f>IF(AND(BG$30,$O69),$F$32,"")</f>
        <v/>
      </c>
      <c r="BH69" s="31" t="str">
        <f>IF(AND(BH$30,$O69),$C$32,"")</f>
        <v/>
      </c>
      <c r="BI69" s="32" t="str">
        <f>IF(AND(BI$30,$O69),$D$32,"")</f>
        <v/>
      </c>
      <c r="BJ69" s="32" t="str">
        <f>IF(AND(BJ$30,$O69),$E$32,"")</f>
        <v/>
      </c>
      <c r="BK69" s="54" t="str">
        <f>IF(AND(BK$30,$O69),$F$32,"")</f>
        <v/>
      </c>
      <c r="BL69" s="31" t="str">
        <f>IF(AND(BL$30,$O69),$C$32,"")</f>
        <v/>
      </c>
      <c r="BM69" s="32" t="str">
        <f>IF(AND(BM$30,$O69),$D$32,"")</f>
        <v/>
      </c>
      <c r="BN69" s="32" t="str">
        <f>IF(AND(BN$30,$O69),$E$32,"")</f>
        <v/>
      </c>
      <c r="BO69" s="54" t="str">
        <f>IF(AND(BO$30,$O69),$F$32,"")</f>
        <v/>
      </c>
      <c r="BP69" s="31" t="str">
        <f>IF(AND(BP$30,$O69),$C$32,"")</f>
        <v/>
      </c>
      <c r="BQ69" s="32" t="str">
        <f>IF(AND(BQ$30,$O69),$D$32,"")</f>
        <v/>
      </c>
      <c r="BR69" s="32" t="str">
        <f>IF(AND(BR$30,$O69),$E$32,"")</f>
        <v/>
      </c>
      <c r="BS69" s="54" t="str">
        <f>IF(AND(BS$30,$O69),$F$32,"")</f>
        <v/>
      </c>
      <c r="BT69" s="31" t="str">
        <f>IF(AND(BT$30,$O69),$C$32,"")</f>
        <v/>
      </c>
      <c r="BU69" s="32" t="str">
        <f>IF(AND(BU$30,$O69),$D$32,"")</f>
        <v/>
      </c>
      <c r="BV69" s="32" t="str">
        <f>IF(AND(BV$30,$O69),$E$32,"")</f>
        <v/>
      </c>
      <c r="BW69" s="54" t="str">
        <f>IF(AND(BW$30,$O69),$F$32,"")</f>
        <v/>
      </c>
      <c r="BX69" s="31" t="str">
        <f>IF(AND(BX$30,$O69),$C$32,"")</f>
        <v/>
      </c>
      <c r="BY69" s="32" t="str">
        <f>IF(AND(BY$30,$O69),$D$32,"")</f>
        <v/>
      </c>
      <c r="BZ69" s="32" t="str">
        <f>IF(AND(BZ$30,$O69),$E$32,"")</f>
        <v/>
      </c>
      <c r="CA69" s="54" t="str">
        <f>IF(AND(CA$30,$O69),$F$32,"")</f>
        <v/>
      </c>
      <c r="CB69" s="31" t="str">
        <f>IF(AND(CB$30,$O69),$C$32,"")</f>
        <v/>
      </c>
      <c r="CC69" s="32" t="str">
        <f>IF(AND(CC$30,$O69),$D$32,"")</f>
        <v/>
      </c>
      <c r="CD69" s="32" t="str">
        <f>IF(AND(CD$30,$O69),$E$32,"")</f>
        <v/>
      </c>
      <c r="CE69" s="54" t="str">
        <f>IF(AND(CE$30,$O69),$F$32,"")</f>
        <v/>
      </c>
    </row>
    <row r="70" spans="12:83" ht="15.75" thickBot="1">
      <c r="L70" s="86"/>
      <c r="M70" s="37" t="str">
        <f t="shared" si="7"/>
        <v>G</v>
      </c>
      <c r="O70" s="43">
        <f>BinAnd(N67,G)</f>
        <v>1</v>
      </c>
      <c r="P70" s="55" t="str">
        <f>IF(AND(P$30,$O70),$C$33,"")</f>
        <v/>
      </c>
      <c r="Q70" s="56" t="str">
        <f>IF(AND(Q$30,$O70),$D$33,"")</f>
        <v/>
      </c>
      <c r="R70" s="56" t="str">
        <f>IF(AND(R$30,$O70),$E$33,"")</f>
        <v/>
      </c>
      <c r="S70" s="57" t="str">
        <f>IF(AND(S$30,$O70),$F$33,"")</f>
        <v/>
      </c>
      <c r="T70" s="55" t="str">
        <f>IF(AND(T$30,$O70),$C$33,"")</f>
        <v/>
      </c>
      <c r="U70" s="56" t="str">
        <f>IF(AND(U$30,$O70),$D$33,"")</f>
        <v/>
      </c>
      <c r="V70" s="56" t="str">
        <f>IF(AND(V$30,$O70),$E$33,"")</f>
        <v/>
      </c>
      <c r="W70" s="57">
        <f>IF(AND(W$30,$O70),$F$33,"")</f>
        <v>15.6</v>
      </c>
      <c r="X70" s="55" t="str">
        <f>IF(AND(X$30,$O70),$C$33,"")</f>
        <v/>
      </c>
      <c r="Y70" s="56" t="str">
        <f>IF(AND(Y$30,$O70),$D$33,"")</f>
        <v/>
      </c>
      <c r="Z70" s="56">
        <f>IF(AND(Z$30,$O70),$E$33,"")</f>
        <v>28.4</v>
      </c>
      <c r="AA70" s="57" t="str">
        <f>IF(AND(AA$30,$O70),$F$33,"")</f>
        <v/>
      </c>
      <c r="AB70" s="55" t="str">
        <f>IF(AND(AB$30,$O70),$C$33,"")</f>
        <v/>
      </c>
      <c r="AC70" s="56" t="str">
        <f>IF(AND(AC$30,$O70),$D$33,"")</f>
        <v/>
      </c>
      <c r="AD70" s="56">
        <f>IF(AND(AD$30,$O70),$E$33,"")</f>
        <v>28.4</v>
      </c>
      <c r="AE70" s="57">
        <f>IF(AND(AE$30,$O70),$F$33,"")</f>
        <v>15.6</v>
      </c>
      <c r="AF70" s="55" t="str">
        <f>IF(AND(AF$30,$O70),$C$33,"")</f>
        <v/>
      </c>
      <c r="AG70" s="56">
        <f>IF(AND(AG$30,$O70),$D$33,"")</f>
        <v>23</v>
      </c>
      <c r="AH70" s="56" t="str">
        <f>IF(AND(AH$30,$O70),$E$33,"")</f>
        <v/>
      </c>
      <c r="AI70" s="57" t="str">
        <f>IF(AND(AI$30,$O70),$F$33,"")</f>
        <v/>
      </c>
      <c r="AJ70" s="55" t="str">
        <f>IF(AND(AJ$30,$O70),$C$33,"")</f>
        <v/>
      </c>
      <c r="AK70" s="56">
        <f>IF(AND(AK$30,$O70),$D$33,"")</f>
        <v>23</v>
      </c>
      <c r="AL70" s="56" t="str">
        <f>IF(AND(AL$30,$O70),$E$33,"")</f>
        <v/>
      </c>
      <c r="AM70" s="57">
        <f>IF(AND(AM$30,$O70),$F$33,"")</f>
        <v>15.6</v>
      </c>
      <c r="AN70" s="55" t="str">
        <f>IF(AND(AN$30,$O70),$C$33,"")</f>
        <v/>
      </c>
      <c r="AO70" s="56">
        <f>IF(AND(AO$30,$O70),$D$33,"")</f>
        <v>23</v>
      </c>
      <c r="AP70" s="56">
        <f>IF(AND(AP$30,$O70),$E$33,"")</f>
        <v>28.4</v>
      </c>
      <c r="AQ70" s="57" t="str">
        <f>IF(AND(AQ$30,$O70),$F$33,"")</f>
        <v/>
      </c>
      <c r="AR70" s="55" t="str">
        <f>IF(AND(AR$30,$O70),$C$33,"")</f>
        <v/>
      </c>
      <c r="AS70" s="56">
        <f>IF(AND(AS$30,$O70),$D$33,"")</f>
        <v>23</v>
      </c>
      <c r="AT70" s="56">
        <f>IF(AND(AT$30,$O70),$E$33,"")</f>
        <v>28.4</v>
      </c>
      <c r="AU70" s="57">
        <f>IF(AND(AU$30,$O70),$F$33,"")</f>
        <v>15.6</v>
      </c>
      <c r="AV70" s="55">
        <f>IF(AND(AV$30,$O70),$C$33,"")</f>
        <v>20.3</v>
      </c>
      <c r="AW70" s="56" t="str">
        <f>IF(AND(AW$30,$O70),$D$33,"")</f>
        <v/>
      </c>
      <c r="AX70" s="56" t="str">
        <f>IF(AND(AX$30,$O70),$E$33,"")</f>
        <v/>
      </c>
      <c r="AY70" s="57" t="str">
        <f>IF(AND(AY$30,$O70),$F$33,"")</f>
        <v/>
      </c>
      <c r="AZ70" s="55">
        <f>IF(AND(AZ$30,$O70),$C$33,"")</f>
        <v>20.3</v>
      </c>
      <c r="BA70" s="56" t="str">
        <f>IF(AND(BA$30,$O70),$D$33,"")</f>
        <v/>
      </c>
      <c r="BB70" s="56" t="str">
        <f>IF(AND(BB$30,$O70),$E$33,"")</f>
        <v/>
      </c>
      <c r="BC70" s="57">
        <f>IF(AND(BC$30,$O70),$F$33,"")</f>
        <v>15.6</v>
      </c>
      <c r="BD70" s="55">
        <f>IF(AND(BD$30,$O70),$C$33,"")</f>
        <v>20.3</v>
      </c>
      <c r="BE70" s="56" t="str">
        <f>IF(AND(BE$30,$O70),$D$33,"")</f>
        <v/>
      </c>
      <c r="BF70" s="56">
        <f>IF(AND(BF$30,$O70),$E$33,"")</f>
        <v>28.4</v>
      </c>
      <c r="BG70" s="57" t="str">
        <f>IF(AND(BG$30,$O70),$F$33,"")</f>
        <v/>
      </c>
      <c r="BH70" s="55">
        <f>IF(AND(BH$30,$O70),$C$33,"")</f>
        <v>20.3</v>
      </c>
      <c r="BI70" s="56" t="str">
        <f>IF(AND(BI$30,$O70),$D$33,"")</f>
        <v/>
      </c>
      <c r="BJ70" s="56">
        <f>IF(AND(BJ$30,$O70),$E$33,"")</f>
        <v>28.4</v>
      </c>
      <c r="BK70" s="57">
        <f>IF(AND(BK$30,$O70),$F$33,"")</f>
        <v>15.6</v>
      </c>
      <c r="BL70" s="55">
        <f>IF(AND(BL$30,$O70),$C$33,"")</f>
        <v>20.3</v>
      </c>
      <c r="BM70" s="56">
        <f>IF(AND(BM$30,$O70),$D$33,"")</f>
        <v>23</v>
      </c>
      <c r="BN70" s="56" t="str">
        <f>IF(AND(BN$30,$O70),$E$33,"")</f>
        <v/>
      </c>
      <c r="BO70" s="57" t="str">
        <f>IF(AND(BO$30,$O70),$F$33,"")</f>
        <v/>
      </c>
      <c r="BP70" s="55">
        <f>IF(AND(BP$30,$O70),$C$33,"")</f>
        <v>20.3</v>
      </c>
      <c r="BQ70" s="56">
        <f>IF(AND(BQ$30,$O70),$D$33,"")</f>
        <v>23</v>
      </c>
      <c r="BR70" s="56" t="str">
        <f>IF(AND(BR$30,$O70),$E$33,"")</f>
        <v/>
      </c>
      <c r="BS70" s="57">
        <f>IF(AND(BS$30,$O70),$F$33,"")</f>
        <v>15.6</v>
      </c>
      <c r="BT70" s="55">
        <f>IF(AND(BT$30,$O70),$C$33,"")</f>
        <v>20.3</v>
      </c>
      <c r="BU70" s="56">
        <f>IF(AND(BU$30,$O70),$D$33,"")</f>
        <v>23</v>
      </c>
      <c r="BV70" s="56">
        <f>IF(AND(BV$30,$O70),$E$33,"")</f>
        <v>28.4</v>
      </c>
      <c r="BW70" s="57" t="str">
        <f>IF(AND(BW$30,$O70),$F$33,"")</f>
        <v/>
      </c>
      <c r="BX70" s="55">
        <f>IF(AND(BX$30,$O70),$C$33,"")</f>
        <v>20.3</v>
      </c>
      <c r="BY70" s="56">
        <f>IF(AND(BY$30,$O70),$D$33,"")</f>
        <v>23</v>
      </c>
      <c r="BZ70" s="56">
        <f>IF(AND(BZ$30,$O70),$E$33,"")</f>
        <v>28.4</v>
      </c>
      <c r="CA70" s="57">
        <f>IF(AND(CA$30,$O70),$F$33,"")</f>
        <v>15.6</v>
      </c>
      <c r="CB70" s="55" t="str">
        <f>IF(AND(CB$30,$O70),$C$33,"")</f>
        <v/>
      </c>
      <c r="CC70" s="56" t="str">
        <f>IF(AND(CC$30,$O70),$D$33,"")</f>
        <v/>
      </c>
      <c r="CD70" s="56" t="str">
        <f>IF(AND(CD$30,$O70),$E$33,"")</f>
        <v/>
      </c>
      <c r="CE70" s="57" t="str">
        <f>IF(AND(CE$30,$O70),$F$33,"")</f>
        <v/>
      </c>
    </row>
    <row r="71" spans="12:83">
      <c r="L71" s="83" t="str">
        <f>MID(CodDegElegir,N71+1,1)</f>
        <v>M</v>
      </c>
      <c r="M71" s="85" t="str">
        <f t="shared" si="7"/>
        <v>A</v>
      </c>
      <c r="N71">
        <v>10</v>
      </c>
      <c r="O71" s="81">
        <f>BinAnd(N71,A)</f>
        <v>8</v>
      </c>
      <c r="P71" s="29" t="str">
        <f>IF(AND(P$30,$O71),$C$30,"")</f>
        <v/>
      </c>
      <c r="Q71" s="30" t="str">
        <f>IF(AND(Q$30,$O71),$D$30,"")</f>
        <v/>
      </c>
      <c r="R71" s="30" t="str">
        <f>IF(AND(R$30,$O71),$E$30,"")</f>
        <v/>
      </c>
      <c r="S71" s="53" t="str">
        <f>IF(AND(S$30,$O71),$F$30,"")</f>
        <v/>
      </c>
      <c r="T71" s="29" t="str">
        <f>IF(AND(T$30,$O71),$C$30,"")</f>
        <v/>
      </c>
      <c r="U71" s="30" t="str">
        <f>IF(AND(U$30,$O71),$D$30,"")</f>
        <v/>
      </c>
      <c r="V71" s="30" t="str">
        <f>IF(AND(V$30,$O71),$E$30,"")</f>
        <v/>
      </c>
      <c r="W71" s="53">
        <f>IF(AND(W$30,$O71),$F$30,"")</f>
        <v>16.100000000000001</v>
      </c>
      <c r="X71" s="29" t="str">
        <f>IF(AND(X$30,$O71),$C$30,"")</f>
        <v/>
      </c>
      <c r="Y71" s="30" t="str">
        <f>IF(AND(Y$30,$O71),$D$30,"")</f>
        <v/>
      </c>
      <c r="Z71" s="30">
        <f>IF(AND(Z$30,$O71),$E$30,"")</f>
        <v>23</v>
      </c>
      <c r="AA71" s="53" t="str">
        <f>IF(AND(AA$30,$O71),$F$30,"")</f>
        <v/>
      </c>
      <c r="AB71" s="29" t="str">
        <f>IF(AND(AB$30,$O71),$C$30,"")</f>
        <v/>
      </c>
      <c r="AC71" s="30" t="str">
        <f>IF(AND(AC$30,$O71),$D$30,"")</f>
        <v/>
      </c>
      <c r="AD71" s="30">
        <f>IF(AND(AD$30,$O71),$E$30,"")</f>
        <v>23</v>
      </c>
      <c r="AE71" s="53">
        <f>IF(AND(AE$30,$O71),$F$30,"")</f>
        <v>16.100000000000001</v>
      </c>
      <c r="AF71" s="29" t="str">
        <f>IF(AND(AF$30,$O71),$C$30,"")</f>
        <v/>
      </c>
      <c r="AG71" s="30">
        <f>IF(AND(AG$30,$O71),$D$30,"")</f>
        <v>18.8</v>
      </c>
      <c r="AH71" s="30" t="str">
        <f>IF(AND(AH$30,$O71),$E$30,"")</f>
        <v/>
      </c>
      <c r="AI71" s="53" t="str">
        <f>IF(AND(AI$30,$O71),$F$30,"")</f>
        <v/>
      </c>
      <c r="AJ71" s="29" t="str">
        <f>IF(AND(AJ$30,$O71),$C$30,"")</f>
        <v/>
      </c>
      <c r="AK71" s="30">
        <f>IF(AND(AK$30,$O71),$D$30,"")</f>
        <v>18.8</v>
      </c>
      <c r="AL71" s="30" t="str">
        <f>IF(AND(AL$30,$O71),$E$30,"")</f>
        <v/>
      </c>
      <c r="AM71" s="53">
        <f>IF(AND(AM$30,$O71),$F$30,"")</f>
        <v>16.100000000000001</v>
      </c>
      <c r="AN71" s="29" t="str">
        <f>IF(AND(AN$30,$O71),$C$30,"")</f>
        <v/>
      </c>
      <c r="AO71" s="30">
        <f>IF(AND(AO$30,$O71),$D$30,"")</f>
        <v>18.8</v>
      </c>
      <c r="AP71" s="30">
        <f>IF(AND(AP$30,$O71),$E$30,"")</f>
        <v>23</v>
      </c>
      <c r="AQ71" s="53" t="str">
        <f>IF(AND(AQ$30,$O71),$F$30,"")</f>
        <v/>
      </c>
      <c r="AR71" s="29" t="str">
        <f>IF(AND(AR$30,$O71),$C$30,"")</f>
        <v/>
      </c>
      <c r="AS71" s="30">
        <f>IF(AND(AS$30,$O71),$D$30,"")</f>
        <v>18.8</v>
      </c>
      <c r="AT71" s="30">
        <f>IF(AND(AT$30,$O71),$E$30,"")</f>
        <v>23</v>
      </c>
      <c r="AU71" s="53">
        <f>IF(AND(AU$30,$O71),$F$30,"")</f>
        <v>16.100000000000001</v>
      </c>
      <c r="AV71" s="29">
        <f>IF(AND(AV$30,$O71),$C$30,"")</f>
        <v>23.6</v>
      </c>
      <c r="AW71" s="30" t="str">
        <f>IF(AND(AW$30,$O71),$D$30,"")</f>
        <v/>
      </c>
      <c r="AX71" s="30" t="str">
        <f>IF(AND(AX$30,$O71),$E$30,"")</f>
        <v/>
      </c>
      <c r="AY71" s="53" t="str">
        <f>IF(AND(AY$30,$O71),$F$30,"")</f>
        <v/>
      </c>
      <c r="AZ71" s="29">
        <f>IF(AND(AZ$30,$O71),$C$30,"")</f>
        <v>23.6</v>
      </c>
      <c r="BA71" s="30" t="str">
        <f>IF(AND(BA$30,$O71),$D$30,"")</f>
        <v/>
      </c>
      <c r="BB71" s="30" t="str">
        <f>IF(AND(BB$30,$O71),$E$30,"")</f>
        <v/>
      </c>
      <c r="BC71" s="53">
        <f>IF(AND(BC$30,$O71),$F$30,"")</f>
        <v>16.100000000000001</v>
      </c>
      <c r="BD71" s="29">
        <f>IF(AND(BD$30,$O71),$C$30,"")</f>
        <v>23.6</v>
      </c>
      <c r="BE71" s="30" t="str">
        <f>IF(AND(BE$30,$O71),$D$30,"")</f>
        <v/>
      </c>
      <c r="BF71" s="30">
        <f>IF(AND(BF$30,$O71),$E$30,"")</f>
        <v>23</v>
      </c>
      <c r="BG71" s="53" t="str">
        <f>IF(AND(BG$30,$O71),$F$30,"")</f>
        <v/>
      </c>
      <c r="BH71" s="29">
        <f>IF(AND(BH$30,$O71),$C$30,"")</f>
        <v>23.6</v>
      </c>
      <c r="BI71" s="30" t="str">
        <f>IF(AND(BI$30,$O71),$D$30,"")</f>
        <v/>
      </c>
      <c r="BJ71" s="30">
        <f>IF(AND(BJ$30,$O71),$E$30,"")</f>
        <v>23</v>
      </c>
      <c r="BK71" s="53">
        <f>IF(AND(BK$30,$O71),$F$30,"")</f>
        <v>16.100000000000001</v>
      </c>
      <c r="BL71" s="29">
        <f>IF(AND(BL$30,$O71),$C$30,"")</f>
        <v>23.6</v>
      </c>
      <c r="BM71" s="30">
        <f>IF(AND(BM$30,$O71),$D$30,"")</f>
        <v>18.8</v>
      </c>
      <c r="BN71" s="30" t="str">
        <f>IF(AND(BN$30,$O71),$E$30,"")</f>
        <v/>
      </c>
      <c r="BO71" s="53" t="str">
        <f>IF(AND(BO$30,$O71),$F$30,"")</f>
        <v/>
      </c>
      <c r="BP71" s="29">
        <f>IF(AND(BP$30,$O71),$C$30,"")</f>
        <v>23.6</v>
      </c>
      <c r="BQ71" s="30">
        <f>IF(AND(BQ$30,$O71),$D$30,"")</f>
        <v>18.8</v>
      </c>
      <c r="BR71" s="30" t="str">
        <f>IF(AND(BR$30,$O71),$E$30,"")</f>
        <v/>
      </c>
      <c r="BS71" s="53">
        <f>IF(AND(BS$30,$O71),$F$30,"")</f>
        <v>16.100000000000001</v>
      </c>
      <c r="BT71" s="29">
        <f>IF(AND(BT$30,$O71),$C$30,"")</f>
        <v>23.6</v>
      </c>
      <c r="BU71" s="30">
        <f>IF(AND(BU$30,$O71),$D$30,"")</f>
        <v>18.8</v>
      </c>
      <c r="BV71" s="30">
        <f>IF(AND(BV$30,$O71),$E$30,"")</f>
        <v>23</v>
      </c>
      <c r="BW71" s="53" t="str">
        <f>IF(AND(BW$30,$O71),$F$30,"")</f>
        <v/>
      </c>
      <c r="BX71" s="29">
        <f>IF(AND(BX$30,$O71),$C$30,"")</f>
        <v>23.6</v>
      </c>
      <c r="BY71" s="30">
        <f>IF(AND(BY$30,$O71),$D$30,"")</f>
        <v>18.8</v>
      </c>
      <c r="BZ71" s="30">
        <f>IF(AND(BZ$30,$O71),$E$30,"")</f>
        <v>23</v>
      </c>
      <c r="CA71" s="53">
        <f>IF(AND(CA$30,$O71),$F$30,"")</f>
        <v>16.100000000000001</v>
      </c>
      <c r="CB71" s="29" t="str">
        <f>IF(AND(CB$30,$O71),$C$30,"")</f>
        <v/>
      </c>
      <c r="CC71" s="30" t="str">
        <f>IF(AND(CC$30,$O71),$D$30,"")</f>
        <v/>
      </c>
      <c r="CD71" s="30" t="str">
        <f>IF(AND(CD$30,$O71),$E$30,"")</f>
        <v/>
      </c>
      <c r="CE71" s="53" t="str">
        <f>IF(AND(CE$30,$O71),$F$30,"")</f>
        <v/>
      </c>
    </row>
    <row r="72" spans="12:83">
      <c r="L72" s="87"/>
      <c r="M72" s="36" t="str">
        <f t="shared" si="7"/>
        <v>-</v>
      </c>
      <c r="O72" s="82">
        <f>BinAnd(N71,T)</f>
        <v>0</v>
      </c>
      <c r="P72" s="31" t="str">
        <f>IF(AND(P$30,$O72),$C$31,"")</f>
        <v/>
      </c>
      <c r="Q72" s="32" t="str">
        <f>IF(AND(Q$30,$O72),$D$31,"")</f>
        <v/>
      </c>
      <c r="R72" s="32" t="str">
        <f>IF(AND(R$30,$O72),$E$31,"")</f>
        <v/>
      </c>
      <c r="S72" s="54" t="str">
        <f>IF(AND(S$30,$O72),$F$31,"")</f>
        <v/>
      </c>
      <c r="T72" s="31" t="str">
        <f>IF(AND(T$30,$O72),$C$31,"")</f>
        <v/>
      </c>
      <c r="U72" s="32" t="str">
        <f>IF(AND(U$30,$O72),$D$31,"")</f>
        <v/>
      </c>
      <c r="V72" s="32" t="str">
        <f>IF(AND(V$30,$O72),$E$31,"")</f>
        <v/>
      </c>
      <c r="W72" s="54" t="str">
        <f>IF(AND(W$30,$O72),$F$31,"")</f>
        <v/>
      </c>
      <c r="X72" s="31" t="str">
        <f>IF(AND(X$30,$O72),$C$31,"")</f>
        <v/>
      </c>
      <c r="Y72" s="32" t="str">
        <f>IF(AND(Y$30,$O72),$D$31,"")</f>
        <v/>
      </c>
      <c r="Z72" s="32" t="str">
        <f>IF(AND(Z$30,$O72),$E$31,"")</f>
        <v/>
      </c>
      <c r="AA72" s="54" t="str">
        <f>IF(AND(AA$30,$O72),$F$31,"")</f>
        <v/>
      </c>
      <c r="AB72" s="31" t="str">
        <f>IF(AND(AB$30,$O72),$C$31,"")</f>
        <v/>
      </c>
      <c r="AC72" s="32" t="str">
        <f>IF(AND(AC$30,$O72),$D$31,"")</f>
        <v/>
      </c>
      <c r="AD72" s="32" t="str">
        <f>IF(AND(AD$30,$O72),$E$31,"")</f>
        <v/>
      </c>
      <c r="AE72" s="54" t="str">
        <f>IF(AND(AE$30,$O72),$F$31,"")</f>
        <v/>
      </c>
      <c r="AF72" s="31" t="str">
        <f>IF(AND(AF$30,$O72),$C$31,"")</f>
        <v/>
      </c>
      <c r="AG72" s="32" t="str">
        <f>IF(AND(AG$30,$O72),$D$31,"")</f>
        <v/>
      </c>
      <c r="AH72" s="32" t="str">
        <f>IF(AND(AH$30,$O72),$E$31,"")</f>
        <v/>
      </c>
      <c r="AI72" s="54" t="str">
        <f>IF(AND(AI$30,$O72),$F$31,"")</f>
        <v/>
      </c>
      <c r="AJ72" s="31" t="str">
        <f>IF(AND(AJ$30,$O72),$C$31,"")</f>
        <v/>
      </c>
      <c r="AK72" s="32" t="str">
        <f>IF(AND(AK$30,$O72),$D$31,"")</f>
        <v/>
      </c>
      <c r="AL72" s="32" t="str">
        <f>IF(AND(AL$30,$O72),$E$31,"")</f>
        <v/>
      </c>
      <c r="AM72" s="54" t="str">
        <f>IF(AND(AM$30,$O72),$F$31,"")</f>
        <v/>
      </c>
      <c r="AN72" s="31" t="str">
        <f>IF(AND(AN$30,$O72),$C$31,"")</f>
        <v/>
      </c>
      <c r="AO72" s="32" t="str">
        <f>IF(AND(AO$30,$O72),$D$31,"")</f>
        <v/>
      </c>
      <c r="AP72" s="32" t="str">
        <f>IF(AND(AP$30,$O72),$E$31,"")</f>
        <v/>
      </c>
      <c r="AQ72" s="54" t="str">
        <f>IF(AND(AQ$30,$O72),$F$31,"")</f>
        <v/>
      </c>
      <c r="AR72" s="31" t="str">
        <f>IF(AND(AR$30,$O72),$C$31,"")</f>
        <v/>
      </c>
      <c r="AS72" s="32" t="str">
        <f>IF(AND(AS$30,$O72),$D$31,"")</f>
        <v/>
      </c>
      <c r="AT72" s="32" t="str">
        <f>IF(AND(AT$30,$O72),$E$31,"")</f>
        <v/>
      </c>
      <c r="AU72" s="54" t="str">
        <f>IF(AND(AU$30,$O72),$F$31,"")</f>
        <v/>
      </c>
      <c r="AV72" s="31" t="str">
        <f>IF(AND(AV$30,$O72),$C$31,"")</f>
        <v/>
      </c>
      <c r="AW72" s="32" t="str">
        <f>IF(AND(AW$30,$O72),$D$31,"")</f>
        <v/>
      </c>
      <c r="AX72" s="32" t="str">
        <f>IF(AND(AX$30,$O72),$E$31,"")</f>
        <v/>
      </c>
      <c r="AY72" s="54" t="str">
        <f>IF(AND(AY$30,$O72),$F$31,"")</f>
        <v/>
      </c>
      <c r="AZ72" s="31" t="str">
        <f>IF(AND(AZ$30,$O72),$C$31,"")</f>
        <v/>
      </c>
      <c r="BA72" s="32" t="str">
        <f>IF(AND(BA$30,$O72),$D$31,"")</f>
        <v/>
      </c>
      <c r="BB72" s="32" t="str">
        <f>IF(AND(BB$30,$O72),$E$31,"")</f>
        <v/>
      </c>
      <c r="BC72" s="54" t="str">
        <f>IF(AND(BC$30,$O72),$F$31,"")</f>
        <v/>
      </c>
      <c r="BD72" s="31" t="str">
        <f>IF(AND(BD$30,$O72),$C$31,"")</f>
        <v/>
      </c>
      <c r="BE72" s="32" t="str">
        <f>IF(AND(BE$30,$O72),$D$31,"")</f>
        <v/>
      </c>
      <c r="BF72" s="32" t="str">
        <f>IF(AND(BF$30,$O72),$E$31,"")</f>
        <v/>
      </c>
      <c r="BG72" s="54" t="str">
        <f>IF(AND(BG$30,$O72),$F$31,"")</f>
        <v/>
      </c>
      <c r="BH72" s="31" t="str">
        <f>IF(AND(BH$30,$O72),$C$31,"")</f>
        <v/>
      </c>
      <c r="BI72" s="32" t="str">
        <f>IF(AND(BI$30,$O72),$D$31,"")</f>
        <v/>
      </c>
      <c r="BJ72" s="32" t="str">
        <f>IF(AND(BJ$30,$O72),$E$31,"")</f>
        <v/>
      </c>
      <c r="BK72" s="54" t="str">
        <f>IF(AND(BK$30,$O72),$F$31,"")</f>
        <v/>
      </c>
      <c r="BL72" s="31" t="str">
        <f>IF(AND(BL$30,$O72),$C$31,"")</f>
        <v/>
      </c>
      <c r="BM72" s="32" t="str">
        <f>IF(AND(BM$30,$O72),$D$31,"")</f>
        <v/>
      </c>
      <c r="BN72" s="32" t="str">
        <f>IF(AND(BN$30,$O72),$E$31,"")</f>
        <v/>
      </c>
      <c r="BO72" s="54" t="str">
        <f>IF(AND(BO$30,$O72),$F$31,"")</f>
        <v/>
      </c>
      <c r="BP72" s="31" t="str">
        <f>IF(AND(BP$30,$O72),$C$31,"")</f>
        <v/>
      </c>
      <c r="BQ72" s="32" t="str">
        <f>IF(AND(BQ$30,$O72),$D$31,"")</f>
        <v/>
      </c>
      <c r="BR72" s="32" t="str">
        <f>IF(AND(BR$30,$O72),$E$31,"")</f>
        <v/>
      </c>
      <c r="BS72" s="54" t="str">
        <f>IF(AND(BS$30,$O72),$F$31,"")</f>
        <v/>
      </c>
      <c r="BT72" s="31" t="str">
        <f>IF(AND(BT$30,$O72),$C$31,"")</f>
        <v/>
      </c>
      <c r="BU72" s="32" t="str">
        <f>IF(AND(BU$30,$O72),$D$31,"")</f>
        <v/>
      </c>
      <c r="BV72" s="32" t="str">
        <f>IF(AND(BV$30,$O72),$E$31,"")</f>
        <v/>
      </c>
      <c r="BW72" s="54" t="str">
        <f>IF(AND(BW$30,$O72),$F$31,"")</f>
        <v/>
      </c>
      <c r="BX72" s="31" t="str">
        <f>IF(AND(BX$30,$O72),$C$31,"")</f>
        <v/>
      </c>
      <c r="BY72" s="32" t="str">
        <f>IF(AND(BY$30,$O72),$D$31,"")</f>
        <v/>
      </c>
      <c r="BZ72" s="32" t="str">
        <f>IF(AND(BZ$30,$O72),$E$31,"")</f>
        <v/>
      </c>
      <c r="CA72" s="54" t="str">
        <f>IF(AND(CA$30,$O72),$F$31,"")</f>
        <v/>
      </c>
      <c r="CB72" s="31" t="str">
        <f>IF(AND(CB$30,$O72),$C$31,"")</f>
        <v/>
      </c>
      <c r="CC72" s="32" t="str">
        <f>IF(AND(CC$30,$O72),$D$31,"")</f>
        <v/>
      </c>
      <c r="CD72" s="32" t="str">
        <f>IF(AND(CD$30,$O72),$E$31,"")</f>
        <v/>
      </c>
      <c r="CE72" s="54" t="str">
        <f>IF(AND(CE$30,$O72),$F$31,"")</f>
        <v/>
      </c>
    </row>
    <row r="73" spans="12:83">
      <c r="L73" s="87"/>
      <c r="M73" s="36" t="str">
        <f t="shared" si="7"/>
        <v>C</v>
      </c>
      <c r="O73" s="82">
        <f>BinAnd(N71,Ce)</f>
        <v>2</v>
      </c>
      <c r="P73" s="31" t="str">
        <f>IF(AND(P$30,$O73),$C$32,"")</f>
        <v/>
      </c>
      <c r="Q73" s="32" t="str">
        <f>IF(AND(Q$30,$O73),$D$32,"")</f>
        <v/>
      </c>
      <c r="R73" s="32" t="str">
        <f>IF(AND(R$30,$O73),$E$32,"")</f>
        <v/>
      </c>
      <c r="S73" s="54" t="str">
        <f>IF(AND(S$30,$O73),$F$32,"")</f>
        <v/>
      </c>
      <c r="T73" s="31" t="str">
        <f>IF(AND(T$30,$O73),$C$32,"")</f>
        <v/>
      </c>
      <c r="U73" s="32" t="str">
        <f>IF(AND(U$30,$O73),$D$32,"")</f>
        <v/>
      </c>
      <c r="V73" s="32" t="str">
        <f>IF(AND(V$30,$O73),$E$32,"")</f>
        <v/>
      </c>
      <c r="W73" s="54">
        <f>IF(AND(W$30,$O73),$F$32,"")</f>
        <v>25.5</v>
      </c>
      <c r="X73" s="31" t="str">
        <f>IF(AND(X$30,$O73),$C$32,"")</f>
        <v/>
      </c>
      <c r="Y73" s="32" t="str">
        <f>IF(AND(Y$30,$O73),$D$32,"")</f>
        <v/>
      </c>
      <c r="Z73" s="32">
        <f>IF(AND(Z$30,$O73),$E$32,"")</f>
        <v>15.6</v>
      </c>
      <c r="AA73" s="54" t="str">
        <f>IF(AND(AA$30,$O73),$F$32,"")</f>
        <v/>
      </c>
      <c r="AB73" s="31" t="str">
        <f>IF(AND(AB$30,$O73),$C$32,"")</f>
        <v/>
      </c>
      <c r="AC73" s="32" t="str">
        <f>IF(AND(AC$30,$O73),$D$32,"")</f>
        <v/>
      </c>
      <c r="AD73" s="32">
        <f>IF(AND(AD$30,$O73),$E$32,"")</f>
        <v>15.6</v>
      </c>
      <c r="AE73" s="54">
        <f>IF(AND(AE$30,$O73),$F$32,"")</f>
        <v>25.5</v>
      </c>
      <c r="AF73" s="31" t="str">
        <f>IF(AND(AF$30,$O73),$C$32,"")</f>
        <v/>
      </c>
      <c r="AG73" s="32">
        <f>IF(AND(AG$30,$O73),$D$32,"")</f>
        <v>16.100000000000001</v>
      </c>
      <c r="AH73" s="32" t="str">
        <f>IF(AND(AH$30,$O73),$E$32,"")</f>
        <v/>
      </c>
      <c r="AI73" s="54" t="str">
        <f>IF(AND(AI$30,$O73),$F$32,"")</f>
        <v/>
      </c>
      <c r="AJ73" s="31" t="str">
        <f>IF(AND(AJ$30,$O73),$C$32,"")</f>
        <v/>
      </c>
      <c r="AK73" s="32">
        <f>IF(AND(AK$30,$O73),$D$32,"")</f>
        <v>16.100000000000001</v>
      </c>
      <c r="AL73" s="32" t="str">
        <f>IF(AND(AL$30,$O73),$E$32,"")</f>
        <v/>
      </c>
      <c r="AM73" s="54">
        <f>IF(AND(AM$30,$O73),$F$32,"")</f>
        <v>25.5</v>
      </c>
      <c r="AN73" s="31" t="str">
        <f>IF(AND(AN$30,$O73),$C$32,"")</f>
        <v/>
      </c>
      <c r="AO73" s="32">
        <f>IF(AND(AO$30,$O73),$D$32,"")</f>
        <v>16.100000000000001</v>
      </c>
      <c r="AP73" s="32">
        <f>IF(AND(AP$30,$O73),$E$32,"")</f>
        <v>15.6</v>
      </c>
      <c r="AQ73" s="54" t="str">
        <f>IF(AND(AQ$30,$O73),$F$32,"")</f>
        <v/>
      </c>
      <c r="AR73" s="31" t="str">
        <f>IF(AND(AR$30,$O73),$C$32,"")</f>
        <v/>
      </c>
      <c r="AS73" s="32">
        <f>IF(AND(AS$30,$O73),$D$32,"")</f>
        <v>16.100000000000001</v>
      </c>
      <c r="AT73" s="32">
        <f>IF(AND(AT$30,$O73),$E$32,"")</f>
        <v>15.6</v>
      </c>
      <c r="AU73" s="54">
        <f>IF(AND(AU$30,$O73),$F$32,"")</f>
        <v>25.5</v>
      </c>
      <c r="AV73" s="31">
        <f>IF(AND(AV$30,$O73),$C$32,"")</f>
        <v>19.3</v>
      </c>
      <c r="AW73" s="32" t="str">
        <f>IF(AND(AW$30,$O73),$D$32,"")</f>
        <v/>
      </c>
      <c r="AX73" s="32" t="str">
        <f>IF(AND(AX$30,$O73),$E$32,"")</f>
        <v/>
      </c>
      <c r="AY73" s="54" t="str">
        <f>IF(AND(AY$30,$O73),$F$32,"")</f>
        <v/>
      </c>
      <c r="AZ73" s="31">
        <f>IF(AND(AZ$30,$O73),$C$32,"")</f>
        <v>19.3</v>
      </c>
      <c r="BA73" s="32" t="str">
        <f>IF(AND(BA$30,$O73),$D$32,"")</f>
        <v/>
      </c>
      <c r="BB73" s="32" t="str">
        <f>IF(AND(BB$30,$O73),$E$32,"")</f>
        <v/>
      </c>
      <c r="BC73" s="54">
        <f>IF(AND(BC$30,$O73),$F$32,"")</f>
        <v>25.5</v>
      </c>
      <c r="BD73" s="31">
        <f>IF(AND(BD$30,$O73),$C$32,"")</f>
        <v>19.3</v>
      </c>
      <c r="BE73" s="32" t="str">
        <f>IF(AND(BE$30,$O73),$D$32,"")</f>
        <v/>
      </c>
      <c r="BF73" s="32">
        <f>IF(AND(BF$30,$O73),$E$32,"")</f>
        <v>15.6</v>
      </c>
      <c r="BG73" s="54" t="str">
        <f>IF(AND(BG$30,$O73),$F$32,"")</f>
        <v/>
      </c>
      <c r="BH73" s="31">
        <f>IF(AND(BH$30,$O73),$C$32,"")</f>
        <v>19.3</v>
      </c>
      <c r="BI73" s="32" t="str">
        <f>IF(AND(BI$30,$O73),$D$32,"")</f>
        <v/>
      </c>
      <c r="BJ73" s="32">
        <f>IF(AND(BJ$30,$O73),$E$32,"")</f>
        <v>15.6</v>
      </c>
      <c r="BK73" s="54">
        <f>IF(AND(BK$30,$O73),$F$32,"")</f>
        <v>25.5</v>
      </c>
      <c r="BL73" s="31">
        <f>IF(AND(BL$30,$O73),$C$32,"")</f>
        <v>19.3</v>
      </c>
      <c r="BM73" s="32">
        <f>IF(AND(BM$30,$O73),$D$32,"")</f>
        <v>16.100000000000001</v>
      </c>
      <c r="BN73" s="32" t="str">
        <f>IF(AND(BN$30,$O73),$E$32,"")</f>
        <v/>
      </c>
      <c r="BO73" s="54" t="str">
        <f>IF(AND(BO$30,$O73),$F$32,"")</f>
        <v/>
      </c>
      <c r="BP73" s="31">
        <f>IF(AND(BP$30,$O73),$C$32,"")</f>
        <v>19.3</v>
      </c>
      <c r="BQ73" s="32">
        <f>IF(AND(BQ$30,$O73),$D$32,"")</f>
        <v>16.100000000000001</v>
      </c>
      <c r="BR73" s="32" t="str">
        <f>IF(AND(BR$30,$O73),$E$32,"")</f>
        <v/>
      </c>
      <c r="BS73" s="54">
        <f>IF(AND(BS$30,$O73),$F$32,"")</f>
        <v>25.5</v>
      </c>
      <c r="BT73" s="31">
        <f>IF(AND(BT$30,$O73),$C$32,"")</f>
        <v>19.3</v>
      </c>
      <c r="BU73" s="32">
        <f>IF(AND(BU$30,$O73),$D$32,"")</f>
        <v>16.100000000000001</v>
      </c>
      <c r="BV73" s="32">
        <f>IF(AND(BV$30,$O73),$E$32,"")</f>
        <v>15.6</v>
      </c>
      <c r="BW73" s="54" t="str">
        <f>IF(AND(BW$30,$O73),$F$32,"")</f>
        <v/>
      </c>
      <c r="BX73" s="31">
        <f>IF(AND(BX$30,$O73),$C$32,"")</f>
        <v>19.3</v>
      </c>
      <c r="BY73" s="32">
        <f>IF(AND(BY$30,$O73),$D$32,"")</f>
        <v>16.100000000000001</v>
      </c>
      <c r="BZ73" s="32">
        <f>IF(AND(BZ$30,$O73),$E$32,"")</f>
        <v>15.6</v>
      </c>
      <c r="CA73" s="54">
        <f>IF(AND(CA$30,$O73),$F$32,"")</f>
        <v>25.5</v>
      </c>
      <c r="CB73" s="31" t="str">
        <f>IF(AND(CB$30,$O73),$C$32,"")</f>
        <v/>
      </c>
      <c r="CC73" s="32" t="str">
        <f>IF(AND(CC$30,$O73),$D$32,"")</f>
        <v/>
      </c>
      <c r="CD73" s="32" t="str">
        <f>IF(AND(CD$30,$O73),$E$32,"")</f>
        <v/>
      </c>
      <c r="CE73" s="54" t="str">
        <f>IF(AND(CE$30,$O73),$F$32,"")</f>
        <v/>
      </c>
    </row>
    <row r="74" spans="12:83" ht="15.75" thickBot="1">
      <c r="L74" s="86"/>
      <c r="M74" s="37" t="str">
        <f t="shared" si="7"/>
        <v>-</v>
      </c>
      <c r="O74" s="43">
        <f>BinAnd(N71,G)</f>
        <v>0</v>
      </c>
      <c r="P74" s="55" t="str">
        <f>IF(AND(P$30,$O74),$C$33,"")</f>
        <v/>
      </c>
      <c r="Q74" s="56" t="str">
        <f>IF(AND(Q$30,$O74),$D$33,"")</f>
        <v/>
      </c>
      <c r="R74" s="56" t="str">
        <f>IF(AND(R$30,$O74),$E$33,"")</f>
        <v/>
      </c>
      <c r="S74" s="57" t="str">
        <f>IF(AND(S$30,$O74),$F$33,"")</f>
        <v/>
      </c>
      <c r="T74" s="55" t="str">
        <f>IF(AND(T$30,$O74),$C$33,"")</f>
        <v/>
      </c>
      <c r="U74" s="56" t="str">
        <f>IF(AND(U$30,$O74),$D$33,"")</f>
        <v/>
      </c>
      <c r="V74" s="56" t="str">
        <f>IF(AND(V$30,$O74),$E$33,"")</f>
        <v/>
      </c>
      <c r="W74" s="57" t="str">
        <f>IF(AND(W$30,$O74),$F$33,"")</f>
        <v/>
      </c>
      <c r="X74" s="55" t="str">
        <f>IF(AND(X$30,$O74),$C$33,"")</f>
        <v/>
      </c>
      <c r="Y74" s="56" t="str">
        <f>IF(AND(Y$30,$O74),$D$33,"")</f>
        <v/>
      </c>
      <c r="Z74" s="56" t="str">
        <f>IF(AND(Z$30,$O74),$E$33,"")</f>
        <v/>
      </c>
      <c r="AA74" s="57" t="str">
        <f>IF(AND(AA$30,$O74),$F$33,"")</f>
        <v/>
      </c>
      <c r="AB74" s="55" t="str">
        <f>IF(AND(AB$30,$O74),$C$33,"")</f>
        <v/>
      </c>
      <c r="AC74" s="56" t="str">
        <f>IF(AND(AC$30,$O74),$D$33,"")</f>
        <v/>
      </c>
      <c r="AD74" s="56" t="str">
        <f>IF(AND(AD$30,$O74),$E$33,"")</f>
        <v/>
      </c>
      <c r="AE74" s="57" t="str">
        <f>IF(AND(AE$30,$O74),$F$33,"")</f>
        <v/>
      </c>
      <c r="AF74" s="55" t="str">
        <f>IF(AND(AF$30,$O74),$C$33,"")</f>
        <v/>
      </c>
      <c r="AG74" s="56" t="str">
        <f>IF(AND(AG$30,$O74),$D$33,"")</f>
        <v/>
      </c>
      <c r="AH74" s="56" t="str">
        <f>IF(AND(AH$30,$O74),$E$33,"")</f>
        <v/>
      </c>
      <c r="AI74" s="57" t="str">
        <f>IF(AND(AI$30,$O74),$F$33,"")</f>
        <v/>
      </c>
      <c r="AJ74" s="55" t="str">
        <f>IF(AND(AJ$30,$O74),$C$33,"")</f>
        <v/>
      </c>
      <c r="AK74" s="56" t="str">
        <f>IF(AND(AK$30,$O74),$D$33,"")</f>
        <v/>
      </c>
      <c r="AL74" s="56" t="str">
        <f>IF(AND(AL$30,$O74),$E$33,"")</f>
        <v/>
      </c>
      <c r="AM74" s="57" t="str">
        <f>IF(AND(AM$30,$O74),$F$33,"")</f>
        <v/>
      </c>
      <c r="AN74" s="55" t="str">
        <f>IF(AND(AN$30,$O74),$C$33,"")</f>
        <v/>
      </c>
      <c r="AO74" s="56" t="str">
        <f>IF(AND(AO$30,$O74),$D$33,"")</f>
        <v/>
      </c>
      <c r="AP74" s="56" t="str">
        <f>IF(AND(AP$30,$O74),$E$33,"")</f>
        <v/>
      </c>
      <c r="AQ74" s="57" t="str">
        <f>IF(AND(AQ$30,$O74),$F$33,"")</f>
        <v/>
      </c>
      <c r="AR74" s="55" t="str">
        <f>IF(AND(AR$30,$O74),$C$33,"")</f>
        <v/>
      </c>
      <c r="AS74" s="56" t="str">
        <f>IF(AND(AS$30,$O74),$D$33,"")</f>
        <v/>
      </c>
      <c r="AT74" s="56" t="str">
        <f>IF(AND(AT$30,$O74),$E$33,"")</f>
        <v/>
      </c>
      <c r="AU74" s="57" t="str">
        <f>IF(AND(AU$30,$O74),$F$33,"")</f>
        <v/>
      </c>
      <c r="AV74" s="55" t="str">
        <f>IF(AND(AV$30,$O74),$C$33,"")</f>
        <v/>
      </c>
      <c r="AW74" s="56" t="str">
        <f>IF(AND(AW$30,$O74),$D$33,"")</f>
        <v/>
      </c>
      <c r="AX74" s="56" t="str">
        <f>IF(AND(AX$30,$O74),$E$33,"")</f>
        <v/>
      </c>
      <c r="AY74" s="57" t="str">
        <f>IF(AND(AY$30,$O74),$F$33,"")</f>
        <v/>
      </c>
      <c r="AZ74" s="55" t="str">
        <f>IF(AND(AZ$30,$O74),$C$33,"")</f>
        <v/>
      </c>
      <c r="BA74" s="56" t="str">
        <f>IF(AND(BA$30,$O74),$D$33,"")</f>
        <v/>
      </c>
      <c r="BB74" s="56" t="str">
        <f>IF(AND(BB$30,$O74),$E$33,"")</f>
        <v/>
      </c>
      <c r="BC74" s="57" t="str">
        <f>IF(AND(BC$30,$O74),$F$33,"")</f>
        <v/>
      </c>
      <c r="BD74" s="55" t="str">
        <f>IF(AND(BD$30,$O74),$C$33,"")</f>
        <v/>
      </c>
      <c r="BE74" s="56" t="str">
        <f>IF(AND(BE$30,$O74),$D$33,"")</f>
        <v/>
      </c>
      <c r="BF74" s="56" t="str">
        <f>IF(AND(BF$30,$O74),$E$33,"")</f>
        <v/>
      </c>
      <c r="BG74" s="57" t="str">
        <f>IF(AND(BG$30,$O74),$F$33,"")</f>
        <v/>
      </c>
      <c r="BH74" s="55" t="str">
        <f>IF(AND(BH$30,$O74),$C$33,"")</f>
        <v/>
      </c>
      <c r="BI74" s="56" t="str">
        <f>IF(AND(BI$30,$O74),$D$33,"")</f>
        <v/>
      </c>
      <c r="BJ74" s="56" t="str">
        <f>IF(AND(BJ$30,$O74),$E$33,"")</f>
        <v/>
      </c>
      <c r="BK74" s="57" t="str">
        <f>IF(AND(BK$30,$O74),$F$33,"")</f>
        <v/>
      </c>
      <c r="BL74" s="55" t="str">
        <f>IF(AND(BL$30,$O74),$C$33,"")</f>
        <v/>
      </c>
      <c r="BM74" s="56" t="str">
        <f>IF(AND(BM$30,$O74),$D$33,"")</f>
        <v/>
      </c>
      <c r="BN74" s="56" t="str">
        <f>IF(AND(BN$30,$O74),$E$33,"")</f>
        <v/>
      </c>
      <c r="BO74" s="57" t="str">
        <f>IF(AND(BO$30,$O74),$F$33,"")</f>
        <v/>
      </c>
      <c r="BP74" s="55" t="str">
        <f>IF(AND(BP$30,$O74),$C$33,"")</f>
        <v/>
      </c>
      <c r="BQ74" s="56" t="str">
        <f>IF(AND(BQ$30,$O74),$D$33,"")</f>
        <v/>
      </c>
      <c r="BR74" s="56" t="str">
        <f>IF(AND(BR$30,$O74),$E$33,"")</f>
        <v/>
      </c>
      <c r="BS74" s="57" t="str">
        <f>IF(AND(BS$30,$O74),$F$33,"")</f>
        <v/>
      </c>
      <c r="BT74" s="55" t="str">
        <f>IF(AND(BT$30,$O74),$C$33,"")</f>
        <v/>
      </c>
      <c r="BU74" s="56" t="str">
        <f>IF(AND(BU$30,$O74),$D$33,"")</f>
        <v/>
      </c>
      <c r="BV74" s="56" t="str">
        <f>IF(AND(BV$30,$O74),$E$33,"")</f>
        <v/>
      </c>
      <c r="BW74" s="57" t="str">
        <f>IF(AND(BW$30,$O74),$F$33,"")</f>
        <v/>
      </c>
      <c r="BX74" s="55" t="str">
        <f>IF(AND(BX$30,$O74),$C$33,"")</f>
        <v/>
      </c>
      <c r="BY74" s="56" t="str">
        <f>IF(AND(BY$30,$O74),$D$33,"")</f>
        <v/>
      </c>
      <c r="BZ74" s="56" t="str">
        <f>IF(AND(BZ$30,$O74),$E$33,"")</f>
        <v/>
      </c>
      <c r="CA74" s="57" t="str">
        <f>IF(AND(CA$30,$O74),$F$33,"")</f>
        <v/>
      </c>
      <c r="CB74" s="55" t="str">
        <f>IF(AND(CB$30,$O74),$C$33,"")</f>
        <v/>
      </c>
      <c r="CC74" s="56" t="str">
        <f>IF(AND(CC$30,$O74),$D$33,"")</f>
        <v/>
      </c>
      <c r="CD74" s="56" t="str">
        <f>IF(AND(CD$30,$O74),$E$33,"")</f>
        <v/>
      </c>
      <c r="CE74" s="57" t="str">
        <f>IF(AND(CE$30,$O74),$F$33,"")</f>
        <v/>
      </c>
    </row>
    <row r="75" spans="12:83">
      <c r="L75" s="83" t="str">
        <f>MID(CodDegElegir,N75+1,1)</f>
        <v>V</v>
      </c>
      <c r="M75" s="85" t="str">
        <f t="shared" si="7"/>
        <v>A</v>
      </c>
      <c r="N75">
        <v>11</v>
      </c>
      <c r="O75" s="81">
        <f>BinAnd(N75,A)</f>
        <v>8</v>
      </c>
      <c r="P75" s="29" t="str">
        <f>IF(AND(P$30,$O75),$C$30,"")</f>
        <v/>
      </c>
      <c r="Q75" s="30" t="str">
        <f>IF(AND(Q$30,$O75),$D$30,"")</f>
        <v/>
      </c>
      <c r="R75" s="30" t="str">
        <f>IF(AND(R$30,$O75),$E$30,"")</f>
        <v/>
      </c>
      <c r="S75" s="53" t="str">
        <f>IF(AND(S$30,$O75),$F$30,"")</f>
        <v/>
      </c>
      <c r="T75" s="29" t="str">
        <f>IF(AND(T$30,$O75),$C$30,"")</f>
        <v/>
      </c>
      <c r="U75" s="30" t="str">
        <f>IF(AND(U$30,$O75),$D$30,"")</f>
        <v/>
      </c>
      <c r="V75" s="30" t="str">
        <f>IF(AND(V$30,$O75),$E$30,"")</f>
        <v/>
      </c>
      <c r="W75" s="53">
        <f>IF(AND(W$30,$O75),$F$30,"")</f>
        <v>16.100000000000001</v>
      </c>
      <c r="X75" s="29" t="str">
        <f>IF(AND(X$30,$O75),$C$30,"")</f>
        <v/>
      </c>
      <c r="Y75" s="30" t="str">
        <f>IF(AND(Y$30,$O75),$D$30,"")</f>
        <v/>
      </c>
      <c r="Z75" s="30">
        <f>IF(AND(Z$30,$O75),$E$30,"")</f>
        <v>23</v>
      </c>
      <c r="AA75" s="53" t="str">
        <f>IF(AND(AA$30,$O75),$F$30,"")</f>
        <v/>
      </c>
      <c r="AB75" s="29" t="str">
        <f>IF(AND(AB$30,$O75),$C$30,"")</f>
        <v/>
      </c>
      <c r="AC75" s="30" t="str">
        <f>IF(AND(AC$30,$O75),$D$30,"")</f>
        <v/>
      </c>
      <c r="AD75" s="30">
        <f>IF(AND(AD$30,$O75),$E$30,"")</f>
        <v>23</v>
      </c>
      <c r="AE75" s="53">
        <f>IF(AND(AE$30,$O75),$F$30,"")</f>
        <v>16.100000000000001</v>
      </c>
      <c r="AF75" s="29" t="str">
        <f>IF(AND(AF$30,$O75),$C$30,"")</f>
        <v/>
      </c>
      <c r="AG75" s="30">
        <f>IF(AND(AG$30,$O75),$D$30,"")</f>
        <v>18.8</v>
      </c>
      <c r="AH75" s="30" t="str">
        <f>IF(AND(AH$30,$O75),$E$30,"")</f>
        <v/>
      </c>
      <c r="AI75" s="53" t="str">
        <f>IF(AND(AI$30,$O75),$F$30,"")</f>
        <v/>
      </c>
      <c r="AJ75" s="29" t="str">
        <f>IF(AND(AJ$30,$O75),$C$30,"")</f>
        <v/>
      </c>
      <c r="AK75" s="30">
        <f>IF(AND(AK$30,$O75),$D$30,"")</f>
        <v>18.8</v>
      </c>
      <c r="AL75" s="30" t="str">
        <f>IF(AND(AL$30,$O75),$E$30,"")</f>
        <v/>
      </c>
      <c r="AM75" s="53">
        <f>IF(AND(AM$30,$O75),$F$30,"")</f>
        <v>16.100000000000001</v>
      </c>
      <c r="AN75" s="29" t="str">
        <f>IF(AND(AN$30,$O75),$C$30,"")</f>
        <v/>
      </c>
      <c r="AO75" s="30">
        <f>IF(AND(AO$30,$O75),$D$30,"")</f>
        <v>18.8</v>
      </c>
      <c r="AP75" s="30">
        <f>IF(AND(AP$30,$O75),$E$30,"")</f>
        <v>23</v>
      </c>
      <c r="AQ75" s="53" t="str">
        <f>IF(AND(AQ$30,$O75),$F$30,"")</f>
        <v/>
      </c>
      <c r="AR75" s="29" t="str">
        <f>IF(AND(AR$30,$O75),$C$30,"")</f>
        <v/>
      </c>
      <c r="AS75" s="30">
        <f>IF(AND(AS$30,$O75),$D$30,"")</f>
        <v>18.8</v>
      </c>
      <c r="AT75" s="30">
        <f>IF(AND(AT$30,$O75),$E$30,"")</f>
        <v>23</v>
      </c>
      <c r="AU75" s="53">
        <f>IF(AND(AU$30,$O75),$F$30,"")</f>
        <v>16.100000000000001</v>
      </c>
      <c r="AV75" s="29">
        <f>IF(AND(AV$30,$O75),$C$30,"")</f>
        <v>23.6</v>
      </c>
      <c r="AW75" s="30" t="str">
        <f>IF(AND(AW$30,$O75),$D$30,"")</f>
        <v/>
      </c>
      <c r="AX75" s="30" t="str">
        <f>IF(AND(AX$30,$O75),$E$30,"")</f>
        <v/>
      </c>
      <c r="AY75" s="53" t="str">
        <f>IF(AND(AY$30,$O75),$F$30,"")</f>
        <v/>
      </c>
      <c r="AZ75" s="29">
        <f>IF(AND(AZ$30,$O75),$C$30,"")</f>
        <v>23.6</v>
      </c>
      <c r="BA75" s="30" t="str">
        <f>IF(AND(BA$30,$O75),$D$30,"")</f>
        <v/>
      </c>
      <c r="BB75" s="30" t="str">
        <f>IF(AND(BB$30,$O75),$E$30,"")</f>
        <v/>
      </c>
      <c r="BC75" s="53">
        <f>IF(AND(BC$30,$O75),$F$30,"")</f>
        <v>16.100000000000001</v>
      </c>
      <c r="BD75" s="29">
        <f>IF(AND(BD$30,$O75),$C$30,"")</f>
        <v>23.6</v>
      </c>
      <c r="BE75" s="30" t="str">
        <f>IF(AND(BE$30,$O75),$D$30,"")</f>
        <v/>
      </c>
      <c r="BF75" s="30">
        <f>IF(AND(BF$30,$O75),$E$30,"")</f>
        <v>23</v>
      </c>
      <c r="BG75" s="53" t="str">
        <f>IF(AND(BG$30,$O75),$F$30,"")</f>
        <v/>
      </c>
      <c r="BH75" s="29">
        <f>IF(AND(BH$30,$O75),$C$30,"")</f>
        <v>23.6</v>
      </c>
      <c r="BI75" s="30" t="str">
        <f>IF(AND(BI$30,$O75),$D$30,"")</f>
        <v/>
      </c>
      <c r="BJ75" s="30">
        <f>IF(AND(BJ$30,$O75),$E$30,"")</f>
        <v>23</v>
      </c>
      <c r="BK75" s="53">
        <f>IF(AND(BK$30,$O75),$F$30,"")</f>
        <v>16.100000000000001</v>
      </c>
      <c r="BL75" s="29">
        <f>IF(AND(BL$30,$O75),$C$30,"")</f>
        <v>23.6</v>
      </c>
      <c r="BM75" s="30">
        <f>IF(AND(BM$30,$O75),$D$30,"")</f>
        <v>18.8</v>
      </c>
      <c r="BN75" s="30" t="str">
        <f>IF(AND(BN$30,$O75),$E$30,"")</f>
        <v/>
      </c>
      <c r="BO75" s="53" t="str">
        <f>IF(AND(BO$30,$O75),$F$30,"")</f>
        <v/>
      </c>
      <c r="BP75" s="29">
        <f>IF(AND(BP$30,$O75),$C$30,"")</f>
        <v>23.6</v>
      </c>
      <c r="BQ75" s="30">
        <f>IF(AND(BQ$30,$O75),$D$30,"")</f>
        <v>18.8</v>
      </c>
      <c r="BR75" s="30" t="str">
        <f>IF(AND(BR$30,$O75),$E$30,"")</f>
        <v/>
      </c>
      <c r="BS75" s="53">
        <f>IF(AND(BS$30,$O75),$F$30,"")</f>
        <v>16.100000000000001</v>
      </c>
      <c r="BT75" s="29">
        <f>IF(AND(BT$30,$O75),$C$30,"")</f>
        <v>23.6</v>
      </c>
      <c r="BU75" s="30">
        <f>IF(AND(BU$30,$O75),$D$30,"")</f>
        <v>18.8</v>
      </c>
      <c r="BV75" s="30">
        <f>IF(AND(BV$30,$O75),$E$30,"")</f>
        <v>23</v>
      </c>
      <c r="BW75" s="53" t="str">
        <f>IF(AND(BW$30,$O75),$F$30,"")</f>
        <v/>
      </c>
      <c r="BX75" s="29">
        <f>IF(AND(BX$30,$O75),$C$30,"")</f>
        <v>23.6</v>
      </c>
      <c r="BY75" s="30">
        <f>IF(AND(BY$30,$O75),$D$30,"")</f>
        <v>18.8</v>
      </c>
      <c r="BZ75" s="30">
        <f>IF(AND(BZ$30,$O75),$E$30,"")</f>
        <v>23</v>
      </c>
      <c r="CA75" s="53">
        <f>IF(AND(CA$30,$O75),$F$30,"")</f>
        <v>16.100000000000001</v>
      </c>
      <c r="CB75" s="29" t="str">
        <f>IF(AND(CB$30,$O75),$C$30,"")</f>
        <v/>
      </c>
      <c r="CC75" s="30" t="str">
        <f>IF(AND(CC$30,$O75),$D$30,"")</f>
        <v/>
      </c>
      <c r="CD75" s="30" t="str">
        <f>IF(AND(CD$30,$O75),$E$30,"")</f>
        <v/>
      </c>
      <c r="CE75" s="53" t="str">
        <f>IF(AND(CE$30,$O75),$F$30,"")</f>
        <v/>
      </c>
    </row>
    <row r="76" spans="12:83">
      <c r="L76" s="87"/>
      <c r="M76" s="36" t="str">
        <f t="shared" si="7"/>
        <v>-</v>
      </c>
      <c r="O76" s="82">
        <f>BinAnd(N75,T)</f>
        <v>0</v>
      </c>
      <c r="P76" s="31" t="str">
        <f>IF(AND(P$30,$O76),$C$31,"")</f>
        <v/>
      </c>
      <c r="Q76" s="32" t="str">
        <f>IF(AND(Q$30,$O76),$D$31,"")</f>
        <v/>
      </c>
      <c r="R76" s="32" t="str">
        <f>IF(AND(R$30,$O76),$E$31,"")</f>
        <v/>
      </c>
      <c r="S76" s="54" t="str">
        <f>IF(AND(S$30,$O76),$F$31,"")</f>
        <v/>
      </c>
      <c r="T76" s="31" t="str">
        <f>IF(AND(T$30,$O76),$C$31,"")</f>
        <v/>
      </c>
      <c r="U76" s="32" t="str">
        <f>IF(AND(U$30,$O76),$D$31,"")</f>
        <v/>
      </c>
      <c r="V76" s="32" t="str">
        <f>IF(AND(V$30,$O76),$E$31,"")</f>
        <v/>
      </c>
      <c r="W76" s="54" t="str">
        <f>IF(AND(W$30,$O76),$F$31,"")</f>
        <v/>
      </c>
      <c r="X76" s="31" t="str">
        <f>IF(AND(X$30,$O76),$C$31,"")</f>
        <v/>
      </c>
      <c r="Y76" s="32" t="str">
        <f>IF(AND(Y$30,$O76),$D$31,"")</f>
        <v/>
      </c>
      <c r="Z76" s="32" t="str">
        <f>IF(AND(Z$30,$O76),$E$31,"")</f>
        <v/>
      </c>
      <c r="AA76" s="54" t="str">
        <f>IF(AND(AA$30,$O76),$F$31,"")</f>
        <v/>
      </c>
      <c r="AB76" s="31" t="str">
        <f>IF(AND(AB$30,$O76),$C$31,"")</f>
        <v/>
      </c>
      <c r="AC76" s="32" t="str">
        <f>IF(AND(AC$30,$O76),$D$31,"")</f>
        <v/>
      </c>
      <c r="AD76" s="32" t="str">
        <f>IF(AND(AD$30,$O76),$E$31,"")</f>
        <v/>
      </c>
      <c r="AE76" s="54" t="str">
        <f>IF(AND(AE$30,$O76),$F$31,"")</f>
        <v/>
      </c>
      <c r="AF76" s="31" t="str">
        <f>IF(AND(AF$30,$O76),$C$31,"")</f>
        <v/>
      </c>
      <c r="AG76" s="32" t="str">
        <f>IF(AND(AG$30,$O76),$D$31,"")</f>
        <v/>
      </c>
      <c r="AH76" s="32" t="str">
        <f>IF(AND(AH$30,$O76),$E$31,"")</f>
        <v/>
      </c>
      <c r="AI76" s="54" t="str">
        <f>IF(AND(AI$30,$O76),$F$31,"")</f>
        <v/>
      </c>
      <c r="AJ76" s="31" t="str">
        <f>IF(AND(AJ$30,$O76),$C$31,"")</f>
        <v/>
      </c>
      <c r="AK76" s="32" t="str">
        <f>IF(AND(AK$30,$O76),$D$31,"")</f>
        <v/>
      </c>
      <c r="AL76" s="32" t="str">
        <f>IF(AND(AL$30,$O76),$E$31,"")</f>
        <v/>
      </c>
      <c r="AM76" s="54" t="str">
        <f>IF(AND(AM$30,$O76),$F$31,"")</f>
        <v/>
      </c>
      <c r="AN76" s="31" t="str">
        <f>IF(AND(AN$30,$O76),$C$31,"")</f>
        <v/>
      </c>
      <c r="AO76" s="32" t="str">
        <f>IF(AND(AO$30,$O76),$D$31,"")</f>
        <v/>
      </c>
      <c r="AP76" s="32" t="str">
        <f>IF(AND(AP$30,$O76),$E$31,"")</f>
        <v/>
      </c>
      <c r="AQ76" s="54" t="str">
        <f>IF(AND(AQ$30,$O76),$F$31,"")</f>
        <v/>
      </c>
      <c r="AR76" s="31" t="str">
        <f>IF(AND(AR$30,$O76),$C$31,"")</f>
        <v/>
      </c>
      <c r="AS76" s="32" t="str">
        <f>IF(AND(AS$30,$O76),$D$31,"")</f>
        <v/>
      </c>
      <c r="AT76" s="32" t="str">
        <f>IF(AND(AT$30,$O76),$E$31,"")</f>
        <v/>
      </c>
      <c r="AU76" s="54" t="str">
        <f>IF(AND(AU$30,$O76),$F$31,"")</f>
        <v/>
      </c>
      <c r="AV76" s="31" t="str">
        <f>IF(AND(AV$30,$O76),$C$31,"")</f>
        <v/>
      </c>
      <c r="AW76" s="32" t="str">
        <f>IF(AND(AW$30,$O76),$D$31,"")</f>
        <v/>
      </c>
      <c r="AX76" s="32" t="str">
        <f>IF(AND(AX$30,$O76),$E$31,"")</f>
        <v/>
      </c>
      <c r="AY76" s="54" t="str">
        <f>IF(AND(AY$30,$O76),$F$31,"")</f>
        <v/>
      </c>
      <c r="AZ76" s="31" t="str">
        <f>IF(AND(AZ$30,$O76),$C$31,"")</f>
        <v/>
      </c>
      <c r="BA76" s="32" t="str">
        <f>IF(AND(BA$30,$O76),$D$31,"")</f>
        <v/>
      </c>
      <c r="BB76" s="32" t="str">
        <f>IF(AND(BB$30,$O76),$E$31,"")</f>
        <v/>
      </c>
      <c r="BC76" s="54" t="str">
        <f>IF(AND(BC$30,$O76),$F$31,"")</f>
        <v/>
      </c>
      <c r="BD76" s="31" t="str">
        <f>IF(AND(BD$30,$O76),$C$31,"")</f>
        <v/>
      </c>
      <c r="BE76" s="32" t="str">
        <f>IF(AND(BE$30,$O76),$D$31,"")</f>
        <v/>
      </c>
      <c r="BF76" s="32" t="str">
        <f>IF(AND(BF$30,$O76),$E$31,"")</f>
        <v/>
      </c>
      <c r="BG76" s="54" t="str">
        <f>IF(AND(BG$30,$O76),$F$31,"")</f>
        <v/>
      </c>
      <c r="BH76" s="31" t="str">
        <f>IF(AND(BH$30,$O76),$C$31,"")</f>
        <v/>
      </c>
      <c r="BI76" s="32" t="str">
        <f>IF(AND(BI$30,$O76),$D$31,"")</f>
        <v/>
      </c>
      <c r="BJ76" s="32" t="str">
        <f>IF(AND(BJ$30,$O76),$E$31,"")</f>
        <v/>
      </c>
      <c r="BK76" s="54" t="str">
        <f>IF(AND(BK$30,$O76),$F$31,"")</f>
        <v/>
      </c>
      <c r="BL76" s="31" t="str">
        <f>IF(AND(BL$30,$O76),$C$31,"")</f>
        <v/>
      </c>
      <c r="BM76" s="32" t="str">
        <f>IF(AND(BM$30,$O76),$D$31,"")</f>
        <v/>
      </c>
      <c r="BN76" s="32" t="str">
        <f>IF(AND(BN$30,$O76),$E$31,"")</f>
        <v/>
      </c>
      <c r="BO76" s="54" t="str">
        <f>IF(AND(BO$30,$O76),$F$31,"")</f>
        <v/>
      </c>
      <c r="BP76" s="31" t="str">
        <f>IF(AND(BP$30,$O76),$C$31,"")</f>
        <v/>
      </c>
      <c r="BQ76" s="32" t="str">
        <f>IF(AND(BQ$30,$O76),$D$31,"")</f>
        <v/>
      </c>
      <c r="BR76" s="32" t="str">
        <f>IF(AND(BR$30,$O76),$E$31,"")</f>
        <v/>
      </c>
      <c r="BS76" s="54" t="str">
        <f>IF(AND(BS$30,$O76),$F$31,"")</f>
        <v/>
      </c>
      <c r="BT76" s="31" t="str">
        <f>IF(AND(BT$30,$O76),$C$31,"")</f>
        <v/>
      </c>
      <c r="BU76" s="32" t="str">
        <f>IF(AND(BU$30,$O76),$D$31,"")</f>
        <v/>
      </c>
      <c r="BV76" s="32" t="str">
        <f>IF(AND(BV$30,$O76),$E$31,"")</f>
        <v/>
      </c>
      <c r="BW76" s="54" t="str">
        <f>IF(AND(BW$30,$O76),$F$31,"")</f>
        <v/>
      </c>
      <c r="BX76" s="31" t="str">
        <f>IF(AND(BX$30,$O76),$C$31,"")</f>
        <v/>
      </c>
      <c r="BY76" s="32" t="str">
        <f>IF(AND(BY$30,$O76),$D$31,"")</f>
        <v/>
      </c>
      <c r="BZ76" s="32" t="str">
        <f>IF(AND(BZ$30,$O76),$E$31,"")</f>
        <v/>
      </c>
      <c r="CA76" s="54" t="str">
        <f>IF(AND(CA$30,$O76),$F$31,"")</f>
        <v/>
      </c>
      <c r="CB76" s="31" t="str">
        <f>IF(AND(CB$30,$O76),$C$31,"")</f>
        <v/>
      </c>
      <c r="CC76" s="32" t="str">
        <f>IF(AND(CC$30,$O76),$D$31,"")</f>
        <v/>
      </c>
      <c r="CD76" s="32" t="str">
        <f>IF(AND(CD$30,$O76),$E$31,"")</f>
        <v/>
      </c>
      <c r="CE76" s="54" t="str">
        <f>IF(AND(CE$30,$O76),$F$31,"")</f>
        <v/>
      </c>
    </row>
    <row r="77" spans="12:83">
      <c r="L77" s="87"/>
      <c r="M77" s="36" t="str">
        <f t="shared" si="7"/>
        <v>C</v>
      </c>
      <c r="O77" s="82">
        <f>BinAnd(N75,Ce)</f>
        <v>2</v>
      </c>
      <c r="P77" s="31" t="str">
        <f>IF(AND(P$30,$O77),$C$32,"")</f>
        <v/>
      </c>
      <c r="Q77" s="32" t="str">
        <f>IF(AND(Q$30,$O77),$D$32,"")</f>
        <v/>
      </c>
      <c r="R77" s="32" t="str">
        <f>IF(AND(R$30,$O77),$E$32,"")</f>
        <v/>
      </c>
      <c r="S77" s="54" t="str">
        <f>IF(AND(S$30,$O77),$F$32,"")</f>
        <v/>
      </c>
      <c r="T77" s="31" t="str">
        <f>IF(AND(T$30,$O77),$C$32,"")</f>
        <v/>
      </c>
      <c r="U77" s="32" t="str">
        <f>IF(AND(U$30,$O77),$D$32,"")</f>
        <v/>
      </c>
      <c r="V77" s="32" t="str">
        <f>IF(AND(V$30,$O77),$E$32,"")</f>
        <v/>
      </c>
      <c r="W77" s="54">
        <f>IF(AND(W$30,$O77),$F$32,"")</f>
        <v>25.5</v>
      </c>
      <c r="X77" s="31" t="str">
        <f>IF(AND(X$30,$O77),$C$32,"")</f>
        <v/>
      </c>
      <c r="Y77" s="32" t="str">
        <f>IF(AND(Y$30,$O77),$D$32,"")</f>
        <v/>
      </c>
      <c r="Z77" s="32">
        <f>IF(AND(Z$30,$O77),$E$32,"")</f>
        <v>15.6</v>
      </c>
      <c r="AA77" s="54" t="str">
        <f>IF(AND(AA$30,$O77),$F$32,"")</f>
        <v/>
      </c>
      <c r="AB77" s="31" t="str">
        <f>IF(AND(AB$30,$O77),$C$32,"")</f>
        <v/>
      </c>
      <c r="AC77" s="32" t="str">
        <f>IF(AND(AC$30,$O77),$D$32,"")</f>
        <v/>
      </c>
      <c r="AD77" s="32">
        <f>IF(AND(AD$30,$O77),$E$32,"")</f>
        <v>15.6</v>
      </c>
      <c r="AE77" s="54">
        <f>IF(AND(AE$30,$O77),$F$32,"")</f>
        <v>25.5</v>
      </c>
      <c r="AF77" s="31" t="str">
        <f>IF(AND(AF$30,$O77),$C$32,"")</f>
        <v/>
      </c>
      <c r="AG77" s="32">
        <f>IF(AND(AG$30,$O77),$D$32,"")</f>
        <v>16.100000000000001</v>
      </c>
      <c r="AH77" s="32" t="str">
        <f>IF(AND(AH$30,$O77),$E$32,"")</f>
        <v/>
      </c>
      <c r="AI77" s="54" t="str">
        <f>IF(AND(AI$30,$O77),$F$32,"")</f>
        <v/>
      </c>
      <c r="AJ77" s="31" t="str">
        <f>IF(AND(AJ$30,$O77),$C$32,"")</f>
        <v/>
      </c>
      <c r="AK77" s="32">
        <f>IF(AND(AK$30,$O77),$D$32,"")</f>
        <v>16.100000000000001</v>
      </c>
      <c r="AL77" s="32" t="str">
        <f>IF(AND(AL$30,$O77),$E$32,"")</f>
        <v/>
      </c>
      <c r="AM77" s="54">
        <f>IF(AND(AM$30,$O77),$F$32,"")</f>
        <v>25.5</v>
      </c>
      <c r="AN77" s="31" t="str">
        <f>IF(AND(AN$30,$O77),$C$32,"")</f>
        <v/>
      </c>
      <c r="AO77" s="32">
        <f>IF(AND(AO$30,$O77),$D$32,"")</f>
        <v>16.100000000000001</v>
      </c>
      <c r="AP77" s="32">
        <f>IF(AND(AP$30,$O77),$E$32,"")</f>
        <v>15.6</v>
      </c>
      <c r="AQ77" s="54" t="str">
        <f>IF(AND(AQ$30,$O77),$F$32,"")</f>
        <v/>
      </c>
      <c r="AR77" s="31" t="str">
        <f>IF(AND(AR$30,$O77),$C$32,"")</f>
        <v/>
      </c>
      <c r="AS77" s="32">
        <f>IF(AND(AS$30,$O77),$D$32,"")</f>
        <v>16.100000000000001</v>
      </c>
      <c r="AT77" s="32">
        <f>IF(AND(AT$30,$O77),$E$32,"")</f>
        <v>15.6</v>
      </c>
      <c r="AU77" s="54">
        <f>IF(AND(AU$30,$O77),$F$32,"")</f>
        <v>25.5</v>
      </c>
      <c r="AV77" s="31">
        <f>IF(AND(AV$30,$O77),$C$32,"")</f>
        <v>19.3</v>
      </c>
      <c r="AW77" s="32" t="str">
        <f>IF(AND(AW$30,$O77),$D$32,"")</f>
        <v/>
      </c>
      <c r="AX77" s="32" t="str">
        <f>IF(AND(AX$30,$O77),$E$32,"")</f>
        <v/>
      </c>
      <c r="AY77" s="54" t="str">
        <f>IF(AND(AY$30,$O77),$F$32,"")</f>
        <v/>
      </c>
      <c r="AZ77" s="31">
        <f>IF(AND(AZ$30,$O77),$C$32,"")</f>
        <v>19.3</v>
      </c>
      <c r="BA77" s="32" t="str">
        <f>IF(AND(BA$30,$O77),$D$32,"")</f>
        <v/>
      </c>
      <c r="BB77" s="32" t="str">
        <f>IF(AND(BB$30,$O77),$E$32,"")</f>
        <v/>
      </c>
      <c r="BC77" s="54">
        <f>IF(AND(BC$30,$O77),$F$32,"")</f>
        <v>25.5</v>
      </c>
      <c r="BD77" s="31">
        <f>IF(AND(BD$30,$O77),$C$32,"")</f>
        <v>19.3</v>
      </c>
      <c r="BE77" s="32" t="str">
        <f>IF(AND(BE$30,$O77),$D$32,"")</f>
        <v/>
      </c>
      <c r="BF77" s="32">
        <f>IF(AND(BF$30,$O77),$E$32,"")</f>
        <v>15.6</v>
      </c>
      <c r="BG77" s="54" t="str">
        <f>IF(AND(BG$30,$O77),$F$32,"")</f>
        <v/>
      </c>
      <c r="BH77" s="31">
        <f>IF(AND(BH$30,$O77),$C$32,"")</f>
        <v>19.3</v>
      </c>
      <c r="BI77" s="32" t="str">
        <f>IF(AND(BI$30,$O77),$D$32,"")</f>
        <v/>
      </c>
      <c r="BJ77" s="32">
        <f>IF(AND(BJ$30,$O77),$E$32,"")</f>
        <v>15.6</v>
      </c>
      <c r="BK77" s="54">
        <f>IF(AND(BK$30,$O77),$F$32,"")</f>
        <v>25.5</v>
      </c>
      <c r="BL77" s="31">
        <f>IF(AND(BL$30,$O77),$C$32,"")</f>
        <v>19.3</v>
      </c>
      <c r="BM77" s="32">
        <f>IF(AND(BM$30,$O77),$D$32,"")</f>
        <v>16.100000000000001</v>
      </c>
      <c r="BN77" s="32" t="str">
        <f>IF(AND(BN$30,$O77),$E$32,"")</f>
        <v/>
      </c>
      <c r="BO77" s="54" t="str">
        <f>IF(AND(BO$30,$O77),$F$32,"")</f>
        <v/>
      </c>
      <c r="BP77" s="31">
        <f>IF(AND(BP$30,$O77),$C$32,"")</f>
        <v>19.3</v>
      </c>
      <c r="BQ77" s="32">
        <f>IF(AND(BQ$30,$O77),$D$32,"")</f>
        <v>16.100000000000001</v>
      </c>
      <c r="BR77" s="32" t="str">
        <f>IF(AND(BR$30,$O77),$E$32,"")</f>
        <v/>
      </c>
      <c r="BS77" s="54">
        <f>IF(AND(BS$30,$O77),$F$32,"")</f>
        <v>25.5</v>
      </c>
      <c r="BT77" s="31">
        <f>IF(AND(BT$30,$O77),$C$32,"")</f>
        <v>19.3</v>
      </c>
      <c r="BU77" s="32">
        <f>IF(AND(BU$30,$O77),$D$32,"")</f>
        <v>16.100000000000001</v>
      </c>
      <c r="BV77" s="32">
        <f>IF(AND(BV$30,$O77),$E$32,"")</f>
        <v>15.6</v>
      </c>
      <c r="BW77" s="54" t="str">
        <f>IF(AND(BW$30,$O77),$F$32,"")</f>
        <v/>
      </c>
      <c r="BX77" s="31">
        <f>IF(AND(BX$30,$O77),$C$32,"")</f>
        <v>19.3</v>
      </c>
      <c r="BY77" s="32">
        <f>IF(AND(BY$30,$O77),$D$32,"")</f>
        <v>16.100000000000001</v>
      </c>
      <c r="BZ77" s="32">
        <f>IF(AND(BZ$30,$O77),$E$32,"")</f>
        <v>15.6</v>
      </c>
      <c r="CA77" s="54">
        <f>IF(AND(CA$30,$O77),$F$32,"")</f>
        <v>25.5</v>
      </c>
      <c r="CB77" s="31" t="str">
        <f>IF(AND(CB$30,$O77),$C$32,"")</f>
        <v/>
      </c>
      <c r="CC77" s="32" t="str">
        <f>IF(AND(CC$30,$O77),$D$32,"")</f>
        <v/>
      </c>
      <c r="CD77" s="32" t="str">
        <f>IF(AND(CD$30,$O77),$E$32,"")</f>
        <v/>
      </c>
      <c r="CE77" s="54" t="str">
        <f>IF(AND(CE$30,$O77),$F$32,"")</f>
        <v/>
      </c>
    </row>
    <row r="78" spans="12:83" ht="15.75" thickBot="1">
      <c r="L78" s="86"/>
      <c r="M78" s="37" t="str">
        <f t="shared" si="7"/>
        <v>G</v>
      </c>
      <c r="O78" s="43">
        <f>BinAnd(N75,G)</f>
        <v>1</v>
      </c>
      <c r="P78" s="55" t="str">
        <f>IF(AND(P$30,$O78),$C$33,"")</f>
        <v/>
      </c>
      <c r="Q78" s="56" t="str">
        <f>IF(AND(Q$30,$O78),$D$33,"")</f>
        <v/>
      </c>
      <c r="R78" s="56" t="str">
        <f>IF(AND(R$30,$O78),$E$33,"")</f>
        <v/>
      </c>
      <c r="S78" s="57" t="str">
        <f>IF(AND(S$30,$O78),$F$33,"")</f>
        <v/>
      </c>
      <c r="T78" s="55" t="str">
        <f>IF(AND(T$30,$O78),$C$33,"")</f>
        <v/>
      </c>
      <c r="U78" s="56" t="str">
        <f>IF(AND(U$30,$O78),$D$33,"")</f>
        <v/>
      </c>
      <c r="V78" s="56" t="str">
        <f>IF(AND(V$30,$O78),$E$33,"")</f>
        <v/>
      </c>
      <c r="W78" s="57">
        <f>IF(AND(W$30,$O78),$F$33,"")</f>
        <v>15.6</v>
      </c>
      <c r="X78" s="55" t="str">
        <f>IF(AND(X$30,$O78),$C$33,"")</f>
        <v/>
      </c>
      <c r="Y78" s="56" t="str">
        <f>IF(AND(Y$30,$O78),$D$33,"")</f>
        <v/>
      </c>
      <c r="Z78" s="56">
        <f>IF(AND(Z$30,$O78),$E$33,"")</f>
        <v>28.4</v>
      </c>
      <c r="AA78" s="57" t="str">
        <f>IF(AND(AA$30,$O78),$F$33,"")</f>
        <v/>
      </c>
      <c r="AB78" s="55" t="str">
        <f>IF(AND(AB$30,$O78),$C$33,"")</f>
        <v/>
      </c>
      <c r="AC78" s="56" t="str">
        <f>IF(AND(AC$30,$O78),$D$33,"")</f>
        <v/>
      </c>
      <c r="AD78" s="56">
        <f>IF(AND(AD$30,$O78),$E$33,"")</f>
        <v>28.4</v>
      </c>
      <c r="AE78" s="57">
        <f>IF(AND(AE$30,$O78),$F$33,"")</f>
        <v>15.6</v>
      </c>
      <c r="AF78" s="55" t="str">
        <f>IF(AND(AF$30,$O78),$C$33,"")</f>
        <v/>
      </c>
      <c r="AG78" s="56">
        <f>IF(AND(AG$30,$O78),$D$33,"")</f>
        <v>23</v>
      </c>
      <c r="AH78" s="56" t="str">
        <f>IF(AND(AH$30,$O78),$E$33,"")</f>
        <v/>
      </c>
      <c r="AI78" s="57" t="str">
        <f>IF(AND(AI$30,$O78),$F$33,"")</f>
        <v/>
      </c>
      <c r="AJ78" s="55" t="str">
        <f>IF(AND(AJ$30,$O78),$C$33,"")</f>
        <v/>
      </c>
      <c r="AK78" s="56">
        <f>IF(AND(AK$30,$O78),$D$33,"")</f>
        <v>23</v>
      </c>
      <c r="AL78" s="56" t="str">
        <f>IF(AND(AL$30,$O78),$E$33,"")</f>
        <v/>
      </c>
      <c r="AM78" s="57">
        <f>IF(AND(AM$30,$O78),$F$33,"")</f>
        <v>15.6</v>
      </c>
      <c r="AN78" s="55" t="str">
        <f>IF(AND(AN$30,$O78),$C$33,"")</f>
        <v/>
      </c>
      <c r="AO78" s="56">
        <f>IF(AND(AO$30,$O78),$D$33,"")</f>
        <v>23</v>
      </c>
      <c r="AP78" s="56">
        <f>IF(AND(AP$30,$O78),$E$33,"")</f>
        <v>28.4</v>
      </c>
      <c r="AQ78" s="57" t="str">
        <f>IF(AND(AQ$30,$O78),$F$33,"")</f>
        <v/>
      </c>
      <c r="AR78" s="55" t="str">
        <f>IF(AND(AR$30,$O78),$C$33,"")</f>
        <v/>
      </c>
      <c r="AS78" s="56">
        <f>IF(AND(AS$30,$O78),$D$33,"")</f>
        <v>23</v>
      </c>
      <c r="AT78" s="56">
        <f>IF(AND(AT$30,$O78),$E$33,"")</f>
        <v>28.4</v>
      </c>
      <c r="AU78" s="57">
        <f>IF(AND(AU$30,$O78),$F$33,"")</f>
        <v>15.6</v>
      </c>
      <c r="AV78" s="55">
        <f>IF(AND(AV$30,$O78),$C$33,"")</f>
        <v>20.3</v>
      </c>
      <c r="AW78" s="56" t="str">
        <f>IF(AND(AW$30,$O78),$D$33,"")</f>
        <v/>
      </c>
      <c r="AX78" s="56" t="str">
        <f>IF(AND(AX$30,$O78),$E$33,"")</f>
        <v/>
      </c>
      <c r="AY78" s="57" t="str">
        <f>IF(AND(AY$30,$O78),$F$33,"")</f>
        <v/>
      </c>
      <c r="AZ78" s="55">
        <f>IF(AND(AZ$30,$O78),$C$33,"")</f>
        <v>20.3</v>
      </c>
      <c r="BA78" s="56" t="str">
        <f>IF(AND(BA$30,$O78),$D$33,"")</f>
        <v/>
      </c>
      <c r="BB78" s="56" t="str">
        <f>IF(AND(BB$30,$O78),$E$33,"")</f>
        <v/>
      </c>
      <c r="BC78" s="57">
        <f>IF(AND(BC$30,$O78),$F$33,"")</f>
        <v>15.6</v>
      </c>
      <c r="BD78" s="55">
        <f>IF(AND(BD$30,$O78),$C$33,"")</f>
        <v>20.3</v>
      </c>
      <c r="BE78" s="56" t="str">
        <f>IF(AND(BE$30,$O78),$D$33,"")</f>
        <v/>
      </c>
      <c r="BF78" s="56">
        <f>IF(AND(BF$30,$O78),$E$33,"")</f>
        <v>28.4</v>
      </c>
      <c r="BG78" s="57" t="str">
        <f>IF(AND(BG$30,$O78),$F$33,"")</f>
        <v/>
      </c>
      <c r="BH78" s="55">
        <f>IF(AND(BH$30,$O78),$C$33,"")</f>
        <v>20.3</v>
      </c>
      <c r="BI78" s="56" t="str">
        <f>IF(AND(BI$30,$O78),$D$33,"")</f>
        <v/>
      </c>
      <c r="BJ78" s="56">
        <f>IF(AND(BJ$30,$O78),$E$33,"")</f>
        <v>28.4</v>
      </c>
      <c r="BK78" s="57">
        <f>IF(AND(BK$30,$O78),$F$33,"")</f>
        <v>15.6</v>
      </c>
      <c r="BL78" s="55">
        <f>IF(AND(BL$30,$O78),$C$33,"")</f>
        <v>20.3</v>
      </c>
      <c r="BM78" s="56">
        <f>IF(AND(BM$30,$O78),$D$33,"")</f>
        <v>23</v>
      </c>
      <c r="BN78" s="56" t="str">
        <f>IF(AND(BN$30,$O78),$E$33,"")</f>
        <v/>
      </c>
      <c r="BO78" s="57" t="str">
        <f>IF(AND(BO$30,$O78),$F$33,"")</f>
        <v/>
      </c>
      <c r="BP78" s="55">
        <f>IF(AND(BP$30,$O78),$C$33,"")</f>
        <v>20.3</v>
      </c>
      <c r="BQ78" s="56">
        <f>IF(AND(BQ$30,$O78),$D$33,"")</f>
        <v>23</v>
      </c>
      <c r="BR78" s="56" t="str">
        <f>IF(AND(BR$30,$O78),$E$33,"")</f>
        <v/>
      </c>
      <c r="BS78" s="57">
        <f>IF(AND(BS$30,$O78),$F$33,"")</f>
        <v>15.6</v>
      </c>
      <c r="BT78" s="55">
        <f>IF(AND(BT$30,$O78),$C$33,"")</f>
        <v>20.3</v>
      </c>
      <c r="BU78" s="56">
        <f>IF(AND(BU$30,$O78),$D$33,"")</f>
        <v>23</v>
      </c>
      <c r="BV78" s="56">
        <f>IF(AND(BV$30,$O78),$E$33,"")</f>
        <v>28.4</v>
      </c>
      <c r="BW78" s="57" t="str">
        <f>IF(AND(BW$30,$O78),$F$33,"")</f>
        <v/>
      </c>
      <c r="BX78" s="55">
        <f>IF(AND(BX$30,$O78),$C$33,"")</f>
        <v>20.3</v>
      </c>
      <c r="BY78" s="56">
        <f>IF(AND(BY$30,$O78),$D$33,"")</f>
        <v>23</v>
      </c>
      <c r="BZ78" s="56">
        <f>IF(AND(BZ$30,$O78),$E$33,"")</f>
        <v>28.4</v>
      </c>
      <c r="CA78" s="57">
        <f>IF(AND(CA$30,$O78),$F$33,"")</f>
        <v>15.6</v>
      </c>
      <c r="CB78" s="55" t="str">
        <f>IF(AND(CB$30,$O78),$C$33,"")</f>
        <v/>
      </c>
      <c r="CC78" s="56" t="str">
        <f>IF(AND(CC$30,$O78),$D$33,"")</f>
        <v/>
      </c>
      <c r="CD78" s="56" t="str">
        <f>IF(AND(CD$30,$O78),$E$33,"")</f>
        <v/>
      </c>
      <c r="CE78" s="57" t="str">
        <f>IF(AND(CE$30,$O78),$F$33,"")</f>
        <v/>
      </c>
    </row>
    <row r="79" spans="12:83">
      <c r="L79" s="83" t="str">
        <f>MID(CodDegElegir,N79+1,1)</f>
        <v>W</v>
      </c>
      <c r="M79" s="85" t="str">
        <f t="shared" si="7"/>
        <v>A</v>
      </c>
      <c r="N79">
        <v>12</v>
      </c>
      <c r="O79" s="81">
        <f>BinAnd(N79,A)</f>
        <v>8</v>
      </c>
      <c r="P79" s="29" t="str">
        <f>IF(AND(P$30,$O79),$C$30,"")</f>
        <v/>
      </c>
      <c r="Q79" s="30" t="str">
        <f>IF(AND(Q$30,$O79),$D$30,"")</f>
        <v/>
      </c>
      <c r="R79" s="30" t="str">
        <f>IF(AND(R$30,$O79),$E$30,"")</f>
        <v/>
      </c>
      <c r="S79" s="53" t="str">
        <f>IF(AND(S$30,$O79),$F$30,"")</f>
        <v/>
      </c>
      <c r="T79" s="29" t="str">
        <f>IF(AND(T$30,$O79),$C$30,"")</f>
        <v/>
      </c>
      <c r="U79" s="30" t="str">
        <f>IF(AND(U$30,$O79),$D$30,"")</f>
        <v/>
      </c>
      <c r="V79" s="30" t="str">
        <f>IF(AND(V$30,$O79),$E$30,"")</f>
        <v/>
      </c>
      <c r="W79" s="53">
        <f>IF(AND(W$30,$O79),$F$30,"")</f>
        <v>16.100000000000001</v>
      </c>
      <c r="X79" s="29" t="str">
        <f>IF(AND(X$30,$O79),$C$30,"")</f>
        <v/>
      </c>
      <c r="Y79" s="30" t="str">
        <f>IF(AND(Y$30,$O79),$D$30,"")</f>
        <v/>
      </c>
      <c r="Z79" s="30">
        <f>IF(AND(Z$30,$O79),$E$30,"")</f>
        <v>23</v>
      </c>
      <c r="AA79" s="53" t="str">
        <f>IF(AND(AA$30,$O79),$F$30,"")</f>
        <v/>
      </c>
      <c r="AB79" s="29" t="str">
        <f>IF(AND(AB$30,$O79),$C$30,"")</f>
        <v/>
      </c>
      <c r="AC79" s="30" t="str">
        <f>IF(AND(AC$30,$O79),$D$30,"")</f>
        <v/>
      </c>
      <c r="AD79" s="30">
        <f>IF(AND(AD$30,$O79),$E$30,"")</f>
        <v>23</v>
      </c>
      <c r="AE79" s="53">
        <f>IF(AND(AE$30,$O79),$F$30,"")</f>
        <v>16.100000000000001</v>
      </c>
      <c r="AF79" s="29" t="str">
        <f>IF(AND(AF$30,$O79),$C$30,"")</f>
        <v/>
      </c>
      <c r="AG79" s="30">
        <f>IF(AND(AG$30,$O79),$D$30,"")</f>
        <v>18.8</v>
      </c>
      <c r="AH79" s="30" t="str">
        <f>IF(AND(AH$30,$O79),$E$30,"")</f>
        <v/>
      </c>
      <c r="AI79" s="53" t="str">
        <f>IF(AND(AI$30,$O79),$F$30,"")</f>
        <v/>
      </c>
      <c r="AJ79" s="29" t="str">
        <f>IF(AND(AJ$30,$O79),$C$30,"")</f>
        <v/>
      </c>
      <c r="AK79" s="30">
        <f>IF(AND(AK$30,$O79),$D$30,"")</f>
        <v>18.8</v>
      </c>
      <c r="AL79" s="30" t="str">
        <f>IF(AND(AL$30,$O79),$E$30,"")</f>
        <v/>
      </c>
      <c r="AM79" s="53">
        <f>IF(AND(AM$30,$O79),$F$30,"")</f>
        <v>16.100000000000001</v>
      </c>
      <c r="AN79" s="29" t="str">
        <f>IF(AND(AN$30,$O79),$C$30,"")</f>
        <v/>
      </c>
      <c r="AO79" s="30">
        <f>IF(AND(AO$30,$O79),$D$30,"")</f>
        <v>18.8</v>
      </c>
      <c r="AP79" s="30">
        <f>IF(AND(AP$30,$O79),$E$30,"")</f>
        <v>23</v>
      </c>
      <c r="AQ79" s="53" t="str">
        <f>IF(AND(AQ$30,$O79),$F$30,"")</f>
        <v/>
      </c>
      <c r="AR79" s="29" t="str">
        <f>IF(AND(AR$30,$O79),$C$30,"")</f>
        <v/>
      </c>
      <c r="AS79" s="30">
        <f>IF(AND(AS$30,$O79),$D$30,"")</f>
        <v>18.8</v>
      </c>
      <c r="AT79" s="30">
        <f>IF(AND(AT$30,$O79),$E$30,"")</f>
        <v>23</v>
      </c>
      <c r="AU79" s="53">
        <f>IF(AND(AU$30,$O79),$F$30,"")</f>
        <v>16.100000000000001</v>
      </c>
      <c r="AV79" s="29">
        <f>IF(AND(AV$30,$O79),$C$30,"")</f>
        <v>23.6</v>
      </c>
      <c r="AW79" s="30" t="str">
        <f>IF(AND(AW$30,$O79),$D$30,"")</f>
        <v/>
      </c>
      <c r="AX79" s="30" t="str">
        <f>IF(AND(AX$30,$O79),$E$30,"")</f>
        <v/>
      </c>
      <c r="AY79" s="53" t="str">
        <f>IF(AND(AY$30,$O79),$F$30,"")</f>
        <v/>
      </c>
      <c r="AZ79" s="29">
        <f>IF(AND(AZ$30,$O79),$C$30,"")</f>
        <v>23.6</v>
      </c>
      <c r="BA79" s="30" t="str">
        <f>IF(AND(BA$30,$O79),$D$30,"")</f>
        <v/>
      </c>
      <c r="BB79" s="30" t="str">
        <f>IF(AND(BB$30,$O79),$E$30,"")</f>
        <v/>
      </c>
      <c r="BC79" s="53">
        <f>IF(AND(BC$30,$O79),$F$30,"")</f>
        <v>16.100000000000001</v>
      </c>
      <c r="BD79" s="29">
        <f>IF(AND(BD$30,$O79),$C$30,"")</f>
        <v>23.6</v>
      </c>
      <c r="BE79" s="30" t="str">
        <f>IF(AND(BE$30,$O79),$D$30,"")</f>
        <v/>
      </c>
      <c r="BF79" s="30">
        <f>IF(AND(BF$30,$O79),$E$30,"")</f>
        <v>23</v>
      </c>
      <c r="BG79" s="53" t="str">
        <f>IF(AND(BG$30,$O79),$F$30,"")</f>
        <v/>
      </c>
      <c r="BH79" s="29">
        <f>IF(AND(BH$30,$O79),$C$30,"")</f>
        <v>23.6</v>
      </c>
      <c r="BI79" s="30" t="str">
        <f>IF(AND(BI$30,$O79),$D$30,"")</f>
        <v/>
      </c>
      <c r="BJ79" s="30">
        <f>IF(AND(BJ$30,$O79),$E$30,"")</f>
        <v>23</v>
      </c>
      <c r="BK79" s="53">
        <f>IF(AND(BK$30,$O79),$F$30,"")</f>
        <v>16.100000000000001</v>
      </c>
      <c r="BL79" s="29">
        <f>IF(AND(BL$30,$O79),$C$30,"")</f>
        <v>23.6</v>
      </c>
      <c r="BM79" s="30">
        <f>IF(AND(BM$30,$O79),$D$30,"")</f>
        <v>18.8</v>
      </c>
      <c r="BN79" s="30" t="str">
        <f>IF(AND(BN$30,$O79),$E$30,"")</f>
        <v/>
      </c>
      <c r="BO79" s="53" t="str">
        <f>IF(AND(BO$30,$O79),$F$30,"")</f>
        <v/>
      </c>
      <c r="BP79" s="29">
        <f>IF(AND(BP$30,$O79),$C$30,"")</f>
        <v>23.6</v>
      </c>
      <c r="BQ79" s="30">
        <f>IF(AND(BQ$30,$O79),$D$30,"")</f>
        <v>18.8</v>
      </c>
      <c r="BR79" s="30" t="str">
        <f>IF(AND(BR$30,$O79),$E$30,"")</f>
        <v/>
      </c>
      <c r="BS79" s="53">
        <f>IF(AND(BS$30,$O79),$F$30,"")</f>
        <v>16.100000000000001</v>
      </c>
      <c r="BT79" s="29">
        <f>IF(AND(BT$30,$O79),$C$30,"")</f>
        <v>23.6</v>
      </c>
      <c r="BU79" s="30">
        <f>IF(AND(BU$30,$O79),$D$30,"")</f>
        <v>18.8</v>
      </c>
      <c r="BV79" s="30">
        <f>IF(AND(BV$30,$O79),$E$30,"")</f>
        <v>23</v>
      </c>
      <c r="BW79" s="53" t="str">
        <f>IF(AND(BW$30,$O79),$F$30,"")</f>
        <v/>
      </c>
      <c r="BX79" s="29">
        <f>IF(AND(BX$30,$O79),$C$30,"")</f>
        <v>23.6</v>
      </c>
      <c r="BY79" s="30">
        <f>IF(AND(BY$30,$O79),$D$30,"")</f>
        <v>18.8</v>
      </c>
      <c r="BZ79" s="30">
        <f>IF(AND(BZ$30,$O79),$E$30,"")</f>
        <v>23</v>
      </c>
      <c r="CA79" s="53">
        <f>IF(AND(CA$30,$O79),$F$30,"")</f>
        <v>16.100000000000001</v>
      </c>
      <c r="CB79" s="29" t="str">
        <f>IF(AND(CB$30,$O79),$C$30,"")</f>
        <v/>
      </c>
      <c r="CC79" s="30" t="str">
        <f>IF(AND(CC$30,$O79),$D$30,"")</f>
        <v/>
      </c>
      <c r="CD79" s="30" t="str">
        <f>IF(AND(CD$30,$O79),$E$30,"")</f>
        <v/>
      </c>
      <c r="CE79" s="53" t="str">
        <f>IF(AND(CE$30,$O79),$F$30,"")</f>
        <v/>
      </c>
    </row>
    <row r="80" spans="12:83">
      <c r="L80" s="87"/>
      <c r="M80" s="36" t="str">
        <f t="shared" si="7"/>
        <v>T</v>
      </c>
      <c r="O80" s="82">
        <f>BinAnd(N79,T)</f>
        <v>4</v>
      </c>
      <c r="P80" s="31" t="str">
        <f>IF(AND(P$30,$O80),$C$31,"")</f>
        <v/>
      </c>
      <c r="Q80" s="32" t="str">
        <f>IF(AND(Q$30,$O80),$D$31,"")</f>
        <v/>
      </c>
      <c r="R80" s="32" t="str">
        <f>IF(AND(R$30,$O80),$E$31,"")</f>
        <v/>
      </c>
      <c r="S80" s="54" t="str">
        <f>IF(AND(S$30,$O80),$F$31,"")</f>
        <v/>
      </c>
      <c r="T80" s="31" t="str">
        <f>IF(AND(T$30,$O80),$C$31,"")</f>
        <v/>
      </c>
      <c r="U80" s="32" t="str">
        <f>IF(AND(U$30,$O80),$D$31,"")</f>
        <v/>
      </c>
      <c r="V80" s="32" t="str">
        <f>IF(AND(V$30,$O80),$E$31,"")</f>
        <v/>
      </c>
      <c r="W80" s="54">
        <f>IF(AND(W$30,$O80),$F$31,"")</f>
        <v>19.3</v>
      </c>
      <c r="X80" s="31" t="str">
        <f>IF(AND(X$30,$O80),$C$31,"")</f>
        <v/>
      </c>
      <c r="Y80" s="32" t="str">
        <f>IF(AND(Y$30,$O80),$D$31,"")</f>
        <v/>
      </c>
      <c r="Z80" s="32">
        <f>IF(AND(Z$30,$O80),$E$31,"")</f>
        <v>20.3</v>
      </c>
      <c r="AA80" s="54" t="str">
        <f>IF(AND(AA$30,$O80),$F$31,"")</f>
        <v/>
      </c>
      <c r="AB80" s="31" t="str">
        <f>IF(AND(AB$30,$O80),$C$31,"")</f>
        <v/>
      </c>
      <c r="AC80" s="32" t="str">
        <f>IF(AND(AC$30,$O80),$D$31,"")</f>
        <v/>
      </c>
      <c r="AD80" s="32">
        <f>IF(AND(AD$30,$O80),$E$31,"")</f>
        <v>20.3</v>
      </c>
      <c r="AE80" s="54">
        <f>IF(AND(AE$30,$O80),$F$31,"")</f>
        <v>19.3</v>
      </c>
      <c r="AF80" s="31" t="str">
        <f>IF(AND(AF$30,$O80),$C$31,"")</f>
        <v/>
      </c>
      <c r="AG80" s="32">
        <f>IF(AND(AG$30,$O80),$D$31,"")</f>
        <v>23.6</v>
      </c>
      <c r="AH80" s="32" t="str">
        <f>IF(AND(AH$30,$O80),$E$31,"")</f>
        <v/>
      </c>
      <c r="AI80" s="54" t="str">
        <f>IF(AND(AI$30,$O80),$F$31,"")</f>
        <v/>
      </c>
      <c r="AJ80" s="31" t="str">
        <f>IF(AND(AJ$30,$O80),$C$31,"")</f>
        <v/>
      </c>
      <c r="AK80" s="32">
        <f>IF(AND(AK$30,$O80),$D$31,"")</f>
        <v>23.6</v>
      </c>
      <c r="AL80" s="32" t="str">
        <f>IF(AND(AL$30,$O80),$E$31,"")</f>
        <v/>
      </c>
      <c r="AM80" s="54">
        <f>IF(AND(AM$30,$O80),$F$31,"")</f>
        <v>19.3</v>
      </c>
      <c r="AN80" s="31" t="str">
        <f>IF(AND(AN$30,$O80),$C$31,"")</f>
        <v/>
      </c>
      <c r="AO80" s="32">
        <f>IF(AND(AO$30,$O80),$D$31,"")</f>
        <v>23.6</v>
      </c>
      <c r="AP80" s="32">
        <f>IF(AND(AP$30,$O80),$E$31,"")</f>
        <v>20.3</v>
      </c>
      <c r="AQ80" s="54" t="str">
        <f>IF(AND(AQ$30,$O80),$F$31,"")</f>
        <v/>
      </c>
      <c r="AR80" s="31" t="str">
        <f>IF(AND(AR$30,$O80),$C$31,"")</f>
        <v/>
      </c>
      <c r="AS80" s="32">
        <f>IF(AND(AS$30,$O80),$D$31,"")</f>
        <v>23.6</v>
      </c>
      <c r="AT80" s="32">
        <f>IF(AND(AT$30,$O80),$E$31,"")</f>
        <v>20.3</v>
      </c>
      <c r="AU80" s="54">
        <f>IF(AND(AU$30,$O80),$F$31,"")</f>
        <v>19.3</v>
      </c>
      <c r="AV80" s="31">
        <f>IF(AND(AV$30,$O80),$C$31,"")</f>
        <v>18.5</v>
      </c>
      <c r="AW80" s="32" t="str">
        <f>IF(AND(AW$30,$O80),$D$31,"")</f>
        <v/>
      </c>
      <c r="AX80" s="32" t="str">
        <f>IF(AND(AX$30,$O80),$E$31,"")</f>
        <v/>
      </c>
      <c r="AY80" s="54" t="str">
        <f>IF(AND(AY$30,$O80),$F$31,"")</f>
        <v/>
      </c>
      <c r="AZ80" s="31">
        <f>IF(AND(AZ$30,$O80),$C$31,"")</f>
        <v>18.5</v>
      </c>
      <c r="BA80" s="32" t="str">
        <f>IF(AND(BA$30,$O80),$D$31,"")</f>
        <v/>
      </c>
      <c r="BB80" s="32" t="str">
        <f>IF(AND(BB$30,$O80),$E$31,"")</f>
        <v/>
      </c>
      <c r="BC80" s="54">
        <f>IF(AND(BC$30,$O80),$F$31,"")</f>
        <v>19.3</v>
      </c>
      <c r="BD80" s="31">
        <f>IF(AND(BD$30,$O80),$C$31,"")</f>
        <v>18.5</v>
      </c>
      <c r="BE80" s="32" t="str">
        <f>IF(AND(BE$30,$O80),$D$31,"")</f>
        <v/>
      </c>
      <c r="BF80" s="32">
        <f>IF(AND(BF$30,$O80),$E$31,"")</f>
        <v>20.3</v>
      </c>
      <c r="BG80" s="54" t="str">
        <f>IF(AND(BG$30,$O80),$F$31,"")</f>
        <v/>
      </c>
      <c r="BH80" s="31">
        <f>IF(AND(BH$30,$O80),$C$31,"")</f>
        <v>18.5</v>
      </c>
      <c r="BI80" s="32" t="str">
        <f>IF(AND(BI$30,$O80),$D$31,"")</f>
        <v/>
      </c>
      <c r="BJ80" s="32">
        <f>IF(AND(BJ$30,$O80),$E$31,"")</f>
        <v>20.3</v>
      </c>
      <c r="BK80" s="54">
        <f>IF(AND(BK$30,$O80),$F$31,"")</f>
        <v>19.3</v>
      </c>
      <c r="BL80" s="31">
        <f>IF(AND(BL$30,$O80),$C$31,"")</f>
        <v>18.5</v>
      </c>
      <c r="BM80" s="32">
        <f>IF(AND(BM$30,$O80),$D$31,"")</f>
        <v>23.6</v>
      </c>
      <c r="BN80" s="32" t="str">
        <f>IF(AND(BN$30,$O80),$E$31,"")</f>
        <v/>
      </c>
      <c r="BO80" s="54" t="str">
        <f>IF(AND(BO$30,$O80),$F$31,"")</f>
        <v/>
      </c>
      <c r="BP80" s="31">
        <f>IF(AND(BP$30,$O80),$C$31,"")</f>
        <v>18.5</v>
      </c>
      <c r="BQ80" s="32">
        <f>IF(AND(BQ$30,$O80),$D$31,"")</f>
        <v>23.6</v>
      </c>
      <c r="BR80" s="32" t="str">
        <f>IF(AND(BR$30,$O80),$E$31,"")</f>
        <v/>
      </c>
      <c r="BS80" s="54">
        <f>IF(AND(BS$30,$O80),$F$31,"")</f>
        <v>19.3</v>
      </c>
      <c r="BT80" s="31">
        <f>IF(AND(BT$30,$O80),$C$31,"")</f>
        <v>18.5</v>
      </c>
      <c r="BU80" s="32">
        <f>IF(AND(BU$30,$O80),$D$31,"")</f>
        <v>23.6</v>
      </c>
      <c r="BV80" s="32">
        <f>IF(AND(BV$30,$O80),$E$31,"")</f>
        <v>20.3</v>
      </c>
      <c r="BW80" s="54" t="str">
        <f>IF(AND(BW$30,$O80),$F$31,"")</f>
        <v/>
      </c>
      <c r="BX80" s="31">
        <f>IF(AND(BX$30,$O80),$C$31,"")</f>
        <v>18.5</v>
      </c>
      <c r="BY80" s="32">
        <f>IF(AND(BY$30,$O80),$D$31,"")</f>
        <v>23.6</v>
      </c>
      <c r="BZ80" s="32">
        <f>IF(AND(BZ$30,$O80),$E$31,"")</f>
        <v>20.3</v>
      </c>
      <c r="CA80" s="54">
        <f>IF(AND(CA$30,$O80),$F$31,"")</f>
        <v>19.3</v>
      </c>
      <c r="CB80" s="31" t="str">
        <f>IF(AND(CB$30,$O80),$C$31,"")</f>
        <v/>
      </c>
      <c r="CC80" s="32" t="str">
        <f>IF(AND(CC$30,$O80),$D$31,"")</f>
        <v/>
      </c>
      <c r="CD80" s="32" t="str">
        <f>IF(AND(CD$30,$O80),$E$31,"")</f>
        <v/>
      </c>
      <c r="CE80" s="54" t="str">
        <f>IF(AND(CE$30,$O80),$F$31,"")</f>
        <v/>
      </c>
    </row>
    <row r="81" spans="12:83">
      <c r="L81" s="87"/>
      <c r="M81" s="36" t="str">
        <f t="shared" si="7"/>
        <v>-</v>
      </c>
      <c r="O81" s="82">
        <f>BinAnd(N79,Ce)</f>
        <v>0</v>
      </c>
      <c r="P81" s="31" t="str">
        <f>IF(AND(P$30,$O81),$C$32,"")</f>
        <v/>
      </c>
      <c r="Q81" s="32" t="str">
        <f>IF(AND(Q$30,$O81),$D$32,"")</f>
        <v/>
      </c>
      <c r="R81" s="32" t="str">
        <f>IF(AND(R$30,$O81),$E$32,"")</f>
        <v/>
      </c>
      <c r="S81" s="54" t="str">
        <f>IF(AND(S$30,$O81),$F$32,"")</f>
        <v/>
      </c>
      <c r="T81" s="31" t="str">
        <f>IF(AND(T$30,$O81),$C$32,"")</f>
        <v/>
      </c>
      <c r="U81" s="32" t="str">
        <f>IF(AND(U$30,$O81),$D$32,"")</f>
        <v/>
      </c>
      <c r="V81" s="32" t="str">
        <f>IF(AND(V$30,$O81),$E$32,"")</f>
        <v/>
      </c>
      <c r="W81" s="54" t="str">
        <f>IF(AND(W$30,$O81),$F$32,"")</f>
        <v/>
      </c>
      <c r="X81" s="31" t="str">
        <f>IF(AND(X$30,$O81),$C$32,"")</f>
        <v/>
      </c>
      <c r="Y81" s="32" t="str">
        <f>IF(AND(Y$30,$O81),$D$32,"")</f>
        <v/>
      </c>
      <c r="Z81" s="32" t="str">
        <f>IF(AND(Z$30,$O81),$E$32,"")</f>
        <v/>
      </c>
      <c r="AA81" s="54" t="str">
        <f>IF(AND(AA$30,$O81),$F$32,"")</f>
        <v/>
      </c>
      <c r="AB81" s="31" t="str">
        <f>IF(AND(AB$30,$O81),$C$32,"")</f>
        <v/>
      </c>
      <c r="AC81" s="32" t="str">
        <f>IF(AND(AC$30,$O81),$D$32,"")</f>
        <v/>
      </c>
      <c r="AD81" s="32" t="str">
        <f>IF(AND(AD$30,$O81),$E$32,"")</f>
        <v/>
      </c>
      <c r="AE81" s="54" t="str">
        <f>IF(AND(AE$30,$O81),$F$32,"")</f>
        <v/>
      </c>
      <c r="AF81" s="31" t="str">
        <f>IF(AND(AF$30,$O81),$C$32,"")</f>
        <v/>
      </c>
      <c r="AG81" s="32" t="str">
        <f>IF(AND(AG$30,$O81),$D$32,"")</f>
        <v/>
      </c>
      <c r="AH81" s="32" t="str">
        <f>IF(AND(AH$30,$O81),$E$32,"")</f>
        <v/>
      </c>
      <c r="AI81" s="54" t="str">
        <f>IF(AND(AI$30,$O81),$F$32,"")</f>
        <v/>
      </c>
      <c r="AJ81" s="31" t="str">
        <f>IF(AND(AJ$30,$O81),$C$32,"")</f>
        <v/>
      </c>
      <c r="AK81" s="32" t="str">
        <f>IF(AND(AK$30,$O81),$D$32,"")</f>
        <v/>
      </c>
      <c r="AL81" s="32" t="str">
        <f>IF(AND(AL$30,$O81),$E$32,"")</f>
        <v/>
      </c>
      <c r="AM81" s="54" t="str">
        <f>IF(AND(AM$30,$O81),$F$32,"")</f>
        <v/>
      </c>
      <c r="AN81" s="31" t="str">
        <f>IF(AND(AN$30,$O81),$C$32,"")</f>
        <v/>
      </c>
      <c r="AO81" s="32" t="str">
        <f>IF(AND(AO$30,$O81),$D$32,"")</f>
        <v/>
      </c>
      <c r="AP81" s="32" t="str">
        <f>IF(AND(AP$30,$O81),$E$32,"")</f>
        <v/>
      </c>
      <c r="AQ81" s="54" t="str">
        <f>IF(AND(AQ$30,$O81),$F$32,"")</f>
        <v/>
      </c>
      <c r="AR81" s="31" t="str">
        <f>IF(AND(AR$30,$O81),$C$32,"")</f>
        <v/>
      </c>
      <c r="AS81" s="32" t="str">
        <f>IF(AND(AS$30,$O81),$D$32,"")</f>
        <v/>
      </c>
      <c r="AT81" s="32" t="str">
        <f>IF(AND(AT$30,$O81),$E$32,"")</f>
        <v/>
      </c>
      <c r="AU81" s="54" t="str">
        <f>IF(AND(AU$30,$O81),$F$32,"")</f>
        <v/>
      </c>
      <c r="AV81" s="31" t="str">
        <f>IF(AND(AV$30,$O81),$C$32,"")</f>
        <v/>
      </c>
      <c r="AW81" s="32" t="str">
        <f>IF(AND(AW$30,$O81),$D$32,"")</f>
        <v/>
      </c>
      <c r="AX81" s="32" t="str">
        <f>IF(AND(AX$30,$O81),$E$32,"")</f>
        <v/>
      </c>
      <c r="AY81" s="54" t="str">
        <f>IF(AND(AY$30,$O81),$F$32,"")</f>
        <v/>
      </c>
      <c r="AZ81" s="31" t="str">
        <f>IF(AND(AZ$30,$O81),$C$32,"")</f>
        <v/>
      </c>
      <c r="BA81" s="32" t="str">
        <f>IF(AND(BA$30,$O81),$D$32,"")</f>
        <v/>
      </c>
      <c r="BB81" s="32" t="str">
        <f>IF(AND(BB$30,$O81),$E$32,"")</f>
        <v/>
      </c>
      <c r="BC81" s="54" t="str">
        <f>IF(AND(BC$30,$O81),$F$32,"")</f>
        <v/>
      </c>
      <c r="BD81" s="31" t="str">
        <f>IF(AND(BD$30,$O81),$C$32,"")</f>
        <v/>
      </c>
      <c r="BE81" s="32" t="str">
        <f>IF(AND(BE$30,$O81),$D$32,"")</f>
        <v/>
      </c>
      <c r="BF81" s="32" t="str">
        <f>IF(AND(BF$30,$O81),$E$32,"")</f>
        <v/>
      </c>
      <c r="BG81" s="54" t="str">
        <f>IF(AND(BG$30,$O81),$F$32,"")</f>
        <v/>
      </c>
      <c r="BH81" s="31" t="str">
        <f>IF(AND(BH$30,$O81),$C$32,"")</f>
        <v/>
      </c>
      <c r="BI81" s="32" t="str">
        <f>IF(AND(BI$30,$O81),$D$32,"")</f>
        <v/>
      </c>
      <c r="BJ81" s="32" t="str">
        <f>IF(AND(BJ$30,$O81),$E$32,"")</f>
        <v/>
      </c>
      <c r="BK81" s="54" t="str">
        <f>IF(AND(BK$30,$O81),$F$32,"")</f>
        <v/>
      </c>
      <c r="BL81" s="31" t="str">
        <f>IF(AND(BL$30,$O81),$C$32,"")</f>
        <v/>
      </c>
      <c r="BM81" s="32" t="str">
        <f>IF(AND(BM$30,$O81),$D$32,"")</f>
        <v/>
      </c>
      <c r="BN81" s="32" t="str">
        <f>IF(AND(BN$30,$O81),$E$32,"")</f>
        <v/>
      </c>
      <c r="BO81" s="54" t="str">
        <f>IF(AND(BO$30,$O81),$F$32,"")</f>
        <v/>
      </c>
      <c r="BP81" s="31" t="str">
        <f>IF(AND(BP$30,$O81),$C$32,"")</f>
        <v/>
      </c>
      <c r="BQ81" s="32" t="str">
        <f>IF(AND(BQ$30,$O81),$D$32,"")</f>
        <v/>
      </c>
      <c r="BR81" s="32" t="str">
        <f>IF(AND(BR$30,$O81),$E$32,"")</f>
        <v/>
      </c>
      <c r="BS81" s="54" t="str">
        <f>IF(AND(BS$30,$O81),$F$32,"")</f>
        <v/>
      </c>
      <c r="BT81" s="31" t="str">
        <f>IF(AND(BT$30,$O81),$C$32,"")</f>
        <v/>
      </c>
      <c r="BU81" s="32" t="str">
        <f>IF(AND(BU$30,$O81),$D$32,"")</f>
        <v/>
      </c>
      <c r="BV81" s="32" t="str">
        <f>IF(AND(BV$30,$O81),$E$32,"")</f>
        <v/>
      </c>
      <c r="BW81" s="54" t="str">
        <f>IF(AND(BW$30,$O81),$F$32,"")</f>
        <v/>
      </c>
      <c r="BX81" s="31" t="str">
        <f>IF(AND(BX$30,$O81),$C$32,"")</f>
        <v/>
      </c>
      <c r="BY81" s="32" t="str">
        <f>IF(AND(BY$30,$O81),$D$32,"")</f>
        <v/>
      </c>
      <c r="BZ81" s="32" t="str">
        <f>IF(AND(BZ$30,$O81),$E$32,"")</f>
        <v/>
      </c>
      <c r="CA81" s="54" t="str">
        <f>IF(AND(CA$30,$O81),$F$32,"")</f>
        <v/>
      </c>
      <c r="CB81" s="31" t="str">
        <f>IF(AND(CB$30,$O81),$C$32,"")</f>
        <v/>
      </c>
      <c r="CC81" s="32" t="str">
        <f>IF(AND(CC$30,$O81),$D$32,"")</f>
        <v/>
      </c>
      <c r="CD81" s="32" t="str">
        <f>IF(AND(CD$30,$O81),$E$32,"")</f>
        <v/>
      </c>
      <c r="CE81" s="54" t="str">
        <f>IF(AND(CE$30,$O81),$F$32,"")</f>
        <v/>
      </c>
    </row>
    <row r="82" spans="12:83" ht="15.75" thickBot="1">
      <c r="L82" s="86"/>
      <c r="M82" s="37" t="str">
        <f t="shared" si="7"/>
        <v>-</v>
      </c>
      <c r="O82" s="43">
        <f>BinAnd(N79,G)</f>
        <v>0</v>
      </c>
      <c r="P82" s="55" t="str">
        <f>IF(AND(P$30,$O82),$C$33,"")</f>
        <v/>
      </c>
      <c r="Q82" s="56" t="str">
        <f>IF(AND(Q$30,$O82),$D$33,"")</f>
        <v/>
      </c>
      <c r="R82" s="56" t="str">
        <f>IF(AND(R$30,$O82),$E$33,"")</f>
        <v/>
      </c>
      <c r="S82" s="57" t="str">
        <f>IF(AND(S$30,$O82),$F$33,"")</f>
        <v/>
      </c>
      <c r="T82" s="55" t="str">
        <f>IF(AND(T$30,$O82),$C$33,"")</f>
        <v/>
      </c>
      <c r="U82" s="56" t="str">
        <f>IF(AND(U$30,$O82),$D$33,"")</f>
        <v/>
      </c>
      <c r="V82" s="56" t="str">
        <f>IF(AND(V$30,$O82),$E$33,"")</f>
        <v/>
      </c>
      <c r="W82" s="57" t="str">
        <f>IF(AND(W$30,$O82),$F$33,"")</f>
        <v/>
      </c>
      <c r="X82" s="55" t="str">
        <f>IF(AND(X$30,$O82),$C$33,"")</f>
        <v/>
      </c>
      <c r="Y82" s="56" t="str">
        <f>IF(AND(Y$30,$O82),$D$33,"")</f>
        <v/>
      </c>
      <c r="Z82" s="56" t="str">
        <f>IF(AND(Z$30,$O82),$E$33,"")</f>
        <v/>
      </c>
      <c r="AA82" s="57" t="str">
        <f>IF(AND(AA$30,$O82),$F$33,"")</f>
        <v/>
      </c>
      <c r="AB82" s="55" t="str">
        <f>IF(AND(AB$30,$O82),$C$33,"")</f>
        <v/>
      </c>
      <c r="AC82" s="56" t="str">
        <f>IF(AND(AC$30,$O82),$D$33,"")</f>
        <v/>
      </c>
      <c r="AD82" s="56" t="str">
        <f>IF(AND(AD$30,$O82),$E$33,"")</f>
        <v/>
      </c>
      <c r="AE82" s="57" t="str">
        <f>IF(AND(AE$30,$O82),$F$33,"")</f>
        <v/>
      </c>
      <c r="AF82" s="55" t="str">
        <f>IF(AND(AF$30,$O82),$C$33,"")</f>
        <v/>
      </c>
      <c r="AG82" s="56" t="str">
        <f>IF(AND(AG$30,$O82),$D$33,"")</f>
        <v/>
      </c>
      <c r="AH82" s="56" t="str">
        <f>IF(AND(AH$30,$O82),$E$33,"")</f>
        <v/>
      </c>
      <c r="AI82" s="57" t="str">
        <f>IF(AND(AI$30,$O82),$F$33,"")</f>
        <v/>
      </c>
      <c r="AJ82" s="55" t="str">
        <f>IF(AND(AJ$30,$O82),$C$33,"")</f>
        <v/>
      </c>
      <c r="AK82" s="56" t="str">
        <f>IF(AND(AK$30,$O82),$D$33,"")</f>
        <v/>
      </c>
      <c r="AL82" s="56" t="str">
        <f>IF(AND(AL$30,$O82),$E$33,"")</f>
        <v/>
      </c>
      <c r="AM82" s="57" t="str">
        <f>IF(AND(AM$30,$O82),$F$33,"")</f>
        <v/>
      </c>
      <c r="AN82" s="55" t="str">
        <f>IF(AND(AN$30,$O82),$C$33,"")</f>
        <v/>
      </c>
      <c r="AO82" s="56" t="str">
        <f>IF(AND(AO$30,$O82),$D$33,"")</f>
        <v/>
      </c>
      <c r="AP82" s="56" t="str">
        <f>IF(AND(AP$30,$O82),$E$33,"")</f>
        <v/>
      </c>
      <c r="AQ82" s="57" t="str">
        <f>IF(AND(AQ$30,$O82),$F$33,"")</f>
        <v/>
      </c>
      <c r="AR82" s="55" t="str">
        <f>IF(AND(AR$30,$O82),$C$33,"")</f>
        <v/>
      </c>
      <c r="AS82" s="56" t="str">
        <f>IF(AND(AS$30,$O82),$D$33,"")</f>
        <v/>
      </c>
      <c r="AT82" s="56" t="str">
        <f>IF(AND(AT$30,$O82),$E$33,"")</f>
        <v/>
      </c>
      <c r="AU82" s="57" t="str">
        <f>IF(AND(AU$30,$O82),$F$33,"")</f>
        <v/>
      </c>
      <c r="AV82" s="55" t="str">
        <f>IF(AND(AV$30,$O82),$C$33,"")</f>
        <v/>
      </c>
      <c r="AW82" s="56" t="str">
        <f>IF(AND(AW$30,$O82),$D$33,"")</f>
        <v/>
      </c>
      <c r="AX82" s="56" t="str">
        <f>IF(AND(AX$30,$O82),$E$33,"")</f>
        <v/>
      </c>
      <c r="AY82" s="57" t="str">
        <f>IF(AND(AY$30,$O82),$F$33,"")</f>
        <v/>
      </c>
      <c r="AZ82" s="55" t="str">
        <f>IF(AND(AZ$30,$O82),$C$33,"")</f>
        <v/>
      </c>
      <c r="BA82" s="56" t="str">
        <f>IF(AND(BA$30,$O82),$D$33,"")</f>
        <v/>
      </c>
      <c r="BB82" s="56" t="str">
        <f>IF(AND(BB$30,$O82),$E$33,"")</f>
        <v/>
      </c>
      <c r="BC82" s="57" t="str">
        <f>IF(AND(BC$30,$O82),$F$33,"")</f>
        <v/>
      </c>
      <c r="BD82" s="55" t="str">
        <f>IF(AND(BD$30,$O82),$C$33,"")</f>
        <v/>
      </c>
      <c r="BE82" s="56" t="str">
        <f>IF(AND(BE$30,$O82),$D$33,"")</f>
        <v/>
      </c>
      <c r="BF82" s="56" t="str">
        <f>IF(AND(BF$30,$O82),$E$33,"")</f>
        <v/>
      </c>
      <c r="BG82" s="57" t="str">
        <f>IF(AND(BG$30,$O82),$F$33,"")</f>
        <v/>
      </c>
      <c r="BH82" s="55" t="str">
        <f>IF(AND(BH$30,$O82),$C$33,"")</f>
        <v/>
      </c>
      <c r="BI82" s="56" t="str">
        <f>IF(AND(BI$30,$O82),$D$33,"")</f>
        <v/>
      </c>
      <c r="BJ82" s="56" t="str">
        <f>IF(AND(BJ$30,$O82),$E$33,"")</f>
        <v/>
      </c>
      <c r="BK82" s="57" t="str">
        <f>IF(AND(BK$30,$O82),$F$33,"")</f>
        <v/>
      </c>
      <c r="BL82" s="55" t="str">
        <f>IF(AND(BL$30,$O82),$C$33,"")</f>
        <v/>
      </c>
      <c r="BM82" s="56" t="str">
        <f>IF(AND(BM$30,$O82),$D$33,"")</f>
        <v/>
      </c>
      <c r="BN82" s="56" t="str">
        <f>IF(AND(BN$30,$O82),$E$33,"")</f>
        <v/>
      </c>
      <c r="BO82" s="57" t="str">
        <f>IF(AND(BO$30,$O82),$F$33,"")</f>
        <v/>
      </c>
      <c r="BP82" s="55" t="str">
        <f>IF(AND(BP$30,$O82),$C$33,"")</f>
        <v/>
      </c>
      <c r="BQ82" s="56" t="str">
        <f>IF(AND(BQ$30,$O82),$D$33,"")</f>
        <v/>
      </c>
      <c r="BR82" s="56" t="str">
        <f>IF(AND(BR$30,$O82),$E$33,"")</f>
        <v/>
      </c>
      <c r="BS82" s="57" t="str">
        <f>IF(AND(BS$30,$O82),$F$33,"")</f>
        <v/>
      </c>
      <c r="BT82" s="55" t="str">
        <f>IF(AND(BT$30,$O82),$C$33,"")</f>
        <v/>
      </c>
      <c r="BU82" s="56" t="str">
        <f>IF(AND(BU$30,$O82),$D$33,"")</f>
        <v/>
      </c>
      <c r="BV82" s="56" t="str">
        <f>IF(AND(BV$30,$O82),$E$33,"")</f>
        <v/>
      </c>
      <c r="BW82" s="57" t="str">
        <f>IF(AND(BW$30,$O82),$F$33,"")</f>
        <v/>
      </c>
      <c r="BX82" s="55" t="str">
        <f>IF(AND(BX$30,$O82),$C$33,"")</f>
        <v/>
      </c>
      <c r="BY82" s="56" t="str">
        <f>IF(AND(BY$30,$O82),$D$33,"")</f>
        <v/>
      </c>
      <c r="BZ82" s="56" t="str">
        <f>IF(AND(BZ$30,$O82),$E$33,"")</f>
        <v/>
      </c>
      <c r="CA82" s="57" t="str">
        <f>IF(AND(CA$30,$O82),$F$33,"")</f>
        <v/>
      </c>
      <c r="CB82" s="55" t="str">
        <f>IF(AND(CB$30,$O82),$C$33,"")</f>
        <v/>
      </c>
      <c r="CC82" s="56" t="str">
        <f>IF(AND(CC$30,$O82),$D$33,"")</f>
        <v/>
      </c>
      <c r="CD82" s="56" t="str">
        <f>IF(AND(CD$30,$O82),$E$33,"")</f>
        <v/>
      </c>
      <c r="CE82" s="57" t="str">
        <f>IF(AND(CE$30,$O82),$F$33,"")</f>
        <v/>
      </c>
    </row>
    <row r="83" spans="12:83">
      <c r="L83" s="83" t="str">
        <f>MID(CodDegElegir,N83+1,1)</f>
        <v>D</v>
      </c>
      <c r="M83" s="85" t="str">
        <f t="shared" si="7"/>
        <v>A</v>
      </c>
      <c r="N83">
        <v>13</v>
      </c>
      <c r="O83" s="81">
        <f>BinAnd(N83,A)</f>
        <v>8</v>
      </c>
      <c r="P83" s="29" t="str">
        <f>IF(AND(P$30,$O83),$C$30,"")</f>
        <v/>
      </c>
      <c r="Q83" s="30" t="str">
        <f>IF(AND(Q$30,$O83),$D$30,"")</f>
        <v/>
      </c>
      <c r="R83" s="30" t="str">
        <f>IF(AND(R$30,$O83),$E$30,"")</f>
        <v/>
      </c>
      <c r="S83" s="53" t="str">
        <f>IF(AND(S$30,$O83),$F$30,"")</f>
        <v/>
      </c>
      <c r="T83" s="29" t="str">
        <f>IF(AND(T$30,$O83),$C$30,"")</f>
        <v/>
      </c>
      <c r="U83" s="30" t="str">
        <f>IF(AND(U$30,$O83),$D$30,"")</f>
        <v/>
      </c>
      <c r="V83" s="30" t="str">
        <f>IF(AND(V$30,$O83),$E$30,"")</f>
        <v/>
      </c>
      <c r="W83" s="53">
        <f>IF(AND(W$30,$O83),$F$30,"")</f>
        <v>16.100000000000001</v>
      </c>
      <c r="X83" s="29" t="str">
        <f>IF(AND(X$30,$O83),$C$30,"")</f>
        <v/>
      </c>
      <c r="Y83" s="30" t="str">
        <f>IF(AND(Y$30,$O83),$D$30,"")</f>
        <v/>
      </c>
      <c r="Z83" s="30">
        <f>IF(AND(Z$30,$O83),$E$30,"")</f>
        <v>23</v>
      </c>
      <c r="AA83" s="53" t="str">
        <f>IF(AND(AA$30,$O83),$F$30,"")</f>
        <v/>
      </c>
      <c r="AB83" s="29" t="str">
        <f>IF(AND(AB$30,$O83),$C$30,"")</f>
        <v/>
      </c>
      <c r="AC83" s="30" t="str">
        <f>IF(AND(AC$30,$O83),$D$30,"")</f>
        <v/>
      </c>
      <c r="AD83" s="30">
        <f>IF(AND(AD$30,$O83),$E$30,"")</f>
        <v>23</v>
      </c>
      <c r="AE83" s="53">
        <f>IF(AND(AE$30,$O83),$F$30,"")</f>
        <v>16.100000000000001</v>
      </c>
      <c r="AF83" s="29" t="str">
        <f>IF(AND(AF$30,$O83),$C$30,"")</f>
        <v/>
      </c>
      <c r="AG83" s="30">
        <f>IF(AND(AG$30,$O83),$D$30,"")</f>
        <v>18.8</v>
      </c>
      <c r="AH83" s="30" t="str">
        <f>IF(AND(AH$30,$O83),$E$30,"")</f>
        <v/>
      </c>
      <c r="AI83" s="53" t="str">
        <f>IF(AND(AI$30,$O83),$F$30,"")</f>
        <v/>
      </c>
      <c r="AJ83" s="29" t="str">
        <f>IF(AND(AJ$30,$O83),$C$30,"")</f>
        <v/>
      </c>
      <c r="AK83" s="30">
        <f>IF(AND(AK$30,$O83),$D$30,"")</f>
        <v>18.8</v>
      </c>
      <c r="AL83" s="30" t="str">
        <f>IF(AND(AL$30,$O83),$E$30,"")</f>
        <v/>
      </c>
      <c r="AM83" s="53">
        <f>IF(AND(AM$30,$O83),$F$30,"")</f>
        <v>16.100000000000001</v>
      </c>
      <c r="AN83" s="29" t="str">
        <f>IF(AND(AN$30,$O83),$C$30,"")</f>
        <v/>
      </c>
      <c r="AO83" s="30">
        <f>IF(AND(AO$30,$O83),$D$30,"")</f>
        <v>18.8</v>
      </c>
      <c r="AP83" s="30">
        <f>IF(AND(AP$30,$O83),$E$30,"")</f>
        <v>23</v>
      </c>
      <c r="AQ83" s="53" t="str">
        <f>IF(AND(AQ$30,$O83),$F$30,"")</f>
        <v/>
      </c>
      <c r="AR83" s="29" t="str">
        <f>IF(AND(AR$30,$O83),$C$30,"")</f>
        <v/>
      </c>
      <c r="AS83" s="30">
        <f>IF(AND(AS$30,$O83),$D$30,"")</f>
        <v>18.8</v>
      </c>
      <c r="AT83" s="30">
        <f>IF(AND(AT$30,$O83),$E$30,"")</f>
        <v>23</v>
      </c>
      <c r="AU83" s="53">
        <f>IF(AND(AU$30,$O83),$F$30,"")</f>
        <v>16.100000000000001</v>
      </c>
      <c r="AV83" s="29">
        <f>IF(AND(AV$30,$O83),$C$30,"")</f>
        <v>23.6</v>
      </c>
      <c r="AW83" s="30" t="str">
        <f>IF(AND(AW$30,$O83),$D$30,"")</f>
        <v/>
      </c>
      <c r="AX83" s="30" t="str">
        <f>IF(AND(AX$30,$O83),$E$30,"")</f>
        <v/>
      </c>
      <c r="AY83" s="53" t="str">
        <f>IF(AND(AY$30,$O83),$F$30,"")</f>
        <v/>
      </c>
      <c r="AZ83" s="29">
        <f>IF(AND(AZ$30,$O83),$C$30,"")</f>
        <v>23.6</v>
      </c>
      <c r="BA83" s="30" t="str">
        <f>IF(AND(BA$30,$O83),$D$30,"")</f>
        <v/>
      </c>
      <c r="BB83" s="30" t="str">
        <f>IF(AND(BB$30,$O83),$E$30,"")</f>
        <v/>
      </c>
      <c r="BC83" s="53">
        <f>IF(AND(BC$30,$O83),$F$30,"")</f>
        <v>16.100000000000001</v>
      </c>
      <c r="BD83" s="29">
        <f>IF(AND(BD$30,$O83),$C$30,"")</f>
        <v>23.6</v>
      </c>
      <c r="BE83" s="30" t="str">
        <f>IF(AND(BE$30,$O83),$D$30,"")</f>
        <v/>
      </c>
      <c r="BF83" s="30">
        <f>IF(AND(BF$30,$O83),$E$30,"")</f>
        <v>23</v>
      </c>
      <c r="BG83" s="53" t="str">
        <f>IF(AND(BG$30,$O83),$F$30,"")</f>
        <v/>
      </c>
      <c r="BH83" s="29">
        <f>IF(AND(BH$30,$O83),$C$30,"")</f>
        <v>23.6</v>
      </c>
      <c r="BI83" s="30" t="str">
        <f>IF(AND(BI$30,$O83),$D$30,"")</f>
        <v/>
      </c>
      <c r="BJ83" s="30">
        <f>IF(AND(BJ$30,$O83),$E$30,"")</f>
        <v>23</v>
      </c>
      <c r="BK83" s="53">
        <f>IF(AND(BK$30,$O83),$F$30,"")</f>
        <v>16.100000000000001</v>
      </c>
      <c r="BL83" s="29">
        <f>IF(AND(BL$30,$O83),$C$30,"")</f>
        <v>23.6</v>
      </c>
      <c r="BM83" s="30">
        <f>IF(AND(BM$30,$O83),$D$30,"")</f>
        <v>18.8</v>
      </c>
      <c r="BN83" s="30" t="str">
        <f>IF(AND(BN$30,$O83),$E$30,"")</f>
        <v/>
      </c>
      <c r="BO83" s="53" t="str">
        <f>IF(AND(BO$30,$O83),$F$30,"")</f>
        <v/>
      </c>
      <c r="BP83" s="29">
        <f>IF(AND(BP$30,$O83),$C$30,"")</f>
        <v>23.6</v>
      </c>
      <c r="BQ83" s="30">
        <f>IF(AND(BQ$30,$O83),$D$30,"")</f>
        <v>18.8</v>
      </c>
      <c r="BR83" s="30" t="str">
        <f>IF(AND(BR$30,$O83),$E$30,"")</f>
        <v/>
      </c>
      <c r="BS83" s="53">
        <f>IF(AND(BS$30,$O83),$F$30,"")</f>
        <v>16.100000000000001</v>
      </c>
      <c r="BT83" s="29">
        <f>IF(AND(BT$30,$O83),$C$30,"")</f>
        <v>23.6</v>
      </c>
      <c r="BU83" s="30">
        <f>IF(AND(BU$30,$O83),$D$30,"")</f>
        <v>18.8</v>
      </c>
      <c r="BV83" s="30">
        <f>IF(AND(BV$30,$O83),$E$30,"")</f>
        <v>23</v>
      </c>
      <c r="BW83" s="53" t="str">
        <f>IF(AND(BW$30,$O83),$F$30,"")</f>
        <v/>
      </c>
      <c r="BX83" s="29">
        <f>IF(AND(BX$30,$O83),$C$30,"")</f>
        <v>23.6</v>
      </c>
      <c r="BY83" s="30">
        <f>IF(AND(BY$30,$O83),$D$30,"")</f>
        <v>18.8</v>
      </c>
      <c r="BZ83" s="30">
        <f>IF(AND(BZ$30,$O83),$E$30,"")</f>
        <v>23</v>
      </c>
      <c r="CA83" s="53">
        <f>IF(AND(CA$30,$O83),$F$30,"")</f>
        <v>16.100000000000001</v>
      </c>
      <c r="CB83" s="29" t="str">
        <f>IF(AND(CB$30,$O83),$C$30,"")</f>
        <v/>
      </c>
      <c r="CC83" s="30" t="str">
        <f>IF(AND(CC$30,$O83),$D$30,"")</f>
        <v/>
      </c>
      <c r="CD83" s="30" t="str">
        <f>IF(AND(CD$30,$O83),$E$30,"")</f>
        <v/>
      </c>
      <c r="CE83" s="53" t="str">
        <f>IF(AND(CE$30,$O83),$F$30,"")</f>
        <v/>
      </c>
    </row>
    <row r="84" spans="12:83">
      <c r="L84" s="87"/>
      <c r="M84" s="36" t="str">
        <f t="shared" si="7"/>
        <v>T</v>
      </c>
      <c r="O84" s="82">
        <f>BinAnd(N83,T)</f>
        <v>4</v>
      </c>
      <c r="P84" s="31" t="str">
        <f>IF(AND(P$30,$O84),$C$31,"")</f>
        <v/>
      </c>
      <c r="Q84" s="32" t="str">
        <f>IF(AND(Q$30,$O84),$D$31,"")</f>
        <v/>
      </c>
      <c r="R84" s="32" t="str">
        <f>IF(AND(R$30,$O84),$E$31,"")</f>
        <v/>
      </c>
      <c r="S84" s="54" t="str">
        <f>IF(AND(S$30,$O84),$F$31,"")</f>
        <v/>
      </c>
      <c r="T84" s="31" t="str">
        <f>IF(AND(T$30,$O84),$C$31,"")</f>
        <v/>
      </c>
      <c r="U84" s="32" t="str">
        <f>IF(AND(U$30,$O84),$D$31,"")</f>
        <v/>
      </c>
      <c r="V84" s="32" t="str">
        <f>IF(AND(V$30,$O84),$E$31,"")</f>
        <v/>
      </c>
      <c r="W84" s="54">
        <f>IF(AND(W$30,$O84),$F$31,"")</f>
        <v>19.3</v>
      </c>
      <c r="X84" s="31" t="str">
        <f>IF(AND(X$30,$O84),$C$31,"")</f>
        <v/>
      </c>
      <c r="Y84" s="32" t="str">
        <f>IF(AND(Y$30,$O84),$D$31,"")</f>
        <v/>
      </c>
      <c r="Z84" s="32">
        <f>IF(AND(Z$30,$O84),$E$31,"")</f>
        <v>20.3</v>
      </c>
      <c r="AA84" s="54" t="str">
        <f>IF(AND(AA$30,$O84),$F$31,"")</f>
        <v/>
      </c>
      <c r="AB84" s="31" t="str">
        <f>IF(AND(AB$30,$O84),$C$31,"")</f>
        <v/>
      </c>
      <c r="AC84" s="32" t="str">
        <f>IF(AND(AC$30,$O84),$D$31,"")</f>
        <v/>
      </c>
      <c r="AD84" s="32">
        <f>IF(AND(AD$30,$O84),$E$31,"")</f>
        <v>20.3</v>
      </c>
      <c r="AE84" s="54">
        <f>IF(AND(AE$30,$O84),$F$31,"")</f>
        <v>19.3</v>
      </c>
      <c r="AF84" s="31" t="str">
        <f>IF(AND(AF$30,$O84),$C$31,"")</f>
        <v/>
      </c>
      <c r="AG84" s="32">
        <f>IF(AND(AG$30,$O84),$D$31,"")</f>
        <v>23.6</v>
      </c>
      <c r="AH84" s="32" t="str">
        <f>IF(AND(AH$30,$O84),$E$31,"")</f>
        <v/>
      </c>
      <c r="AI84" s="54" t="str">
        <f>IF(AND(AI$30,$O84),$F$31,"")</f>
        <v/>
      </c>
      <c r="AJ84" s="31" t="str">
        <f>IF(AND(AJ$30,$O84),$C$31,"")</f>
        <v/>
      </c>
      <c r="AK84" s="32">
        <f>IF(AND(AK$30,$O84),$D$31,"")</f>
        <v>23.6</v>
      </c>
      <c r="AL84" s="32" t="str">
        <f>IF(AND(AL$30,$O84),$E$31,"")</f>
        <v/>
      </c>
      <c r="AM84" s="54">
        <f>IF(AND(AM$30,$O84),$F$31,"")</f>
        <v>19.3</v>
      </c>
      <c r="AN84" s="31" t="str">
        <f>IF(AND(AN$30,$O84),$C$31,"")</f>
        <v/>
      </c>
      <c r="AO84" s="32">
        <f>IF(AND(AO$30,$O84),$D$31,"")</f>
        <v>23.6</v>
      </c>
      <c r="AP84" s="32">
        <f>IF(AND(AP$30,$O84),$E$31,"")</f>
        <v>20.3</v>
      </c>
      <c r="AQ84" s="54" t="str">
        <f>IF(AND(AQ$30,$O84),$F$31,"")</f>
        <v/>
      </c>
      <c r="AR84" s="31" t="str">
        <f>IF(AND(AR$30,$O84),$C$31,"")</f>
        <v/>
      </c>
      <c r="AS84" s="32">
        <f>IF(AND(AS$30,$O84),$D$31,"")</f>
        <v>23.6</v>
      </c>
      <c r="AT84" s="32">
        <f>IF(AND(AT$30,$O84),$E$31,"")</f>
        <v>20.3</v>
      </c>
      <c r="AU84" s="54">
        <f>IF(AND(AU$30,$O84),$F$31,"")</f>
        <v>19.3</v>
      </c>
      <c r="AV84" s="31">
        <f>IF(AND(AV$30,$O84),$C$31,"")</f>
        <v>18.5</v>
      </c>
      <c r="AW84" s="32" t="str">
        <f>IF(AND(AW$30,$O84),$D$31,"")</f>
        <v/>
      </c>
      <c r="AX84" s="32" t="str">
        <f>IF(AND(AX$30,$O84),$E$31,"")</f>
        <v/>
      </c>
      <c r="AY84" s="54" t="str">
        <f>IF(AND(AY$30,$O84),$F$31,"")</f>
        <v/>
      </c>
      <c r="AZ84" s="31">
        <f>IF(AND(AZ$30,$O84),$C$31,"")</f>
        <v>18.5</v>
      </c>
      <c r="BA84" s="32" t="str">
        <f>IF(AND(BA$30,$O84),$D$31,"")</f>
        <v/>
      </c>
      <c r="BB84" s="32" t="str">
        <f>IF(AND(BB$30,$O84),$E$31,"")</f>
        <v/>
      </c>
      <c r="BC84" s="54">
        <f>IF(AND(BC$30,$O84),$F$31,"")</f>
        <v>19.3</v>
      </c>
      <c r="BD84" s="31">
        <f>IF(AND(BD$30,$O84),$C$31,"")</f>
        <v>18.5</v>
      </c>
      <c r="BE84" s="32" t="str">
        <f>IF(AND(BE$30,$O84),$D$31,"")</f>
        <v/>
      </c>
      <c r="BF84" s="32">
        <f>IF(AND(BF$30,$O84),$E$31,"")</f>
        <v>20.3</v>
      </c>
      <c r="BG84" s="54" t="str">
        <f>IF(AND(BG$30,$O84),$F$31,"")</f>
        <v/>
      </c>
      <c r="BH84" s="31">
        <f>IF(AND(BH$30,$O84),$C$31,"")</f>
        <v>18.5</v>
      </c>
      <c r="BI84" s="32" t="str">
        <f>IF(AND(BI$30,$O84),$D$31,"")</f>
        <v/>
      </c>
      <c r="BJ84" s="32">
        <f>IF(AND(BJ$30,$O84),$E$31,"")</f>
        <v>20.3</v>
      </c>
      <c r="BK84" s="54">
        <f>IF(AND(BK$30,$O84),$F$31,"")</f>
        <v>19.3</v>
      </c>
      <c r="BL84" s="31">
        <f>IF(AND(BL$30,$O84),$C$31,"")</f>
        <v>18.5</v>
      </c>
      <c r="BM84" s="32">
        <f>IF(AND(BM$30,$O84),$D$31,"")</f>
        <v>23.6</v>
      </c>
      <c r="BN84" s="32" t="str">
        <f>IF(AND(BN$30,$O84),$E$31,"")</f>
        <v/>
      </c>
      <c r="BO84" s="54" t="str">
        <f>IF(AND(BO$30,$O84),$F$31,"")</f>
        <v/>
      </c>
      <c r="BP84" s="31">
        <f>IF(AND(BP$30,$O84),$C$31,"")</f>
        <v>18.5</v>
      </c>
      <c r="BQ84" s="32">
        <f>IF(AND(BQ$30,$O84),$D$31,"")</f>
        <v>23.6</v>
      </c>
      <c r="BR84" s="32" t="str">
        <f>IF(AND(BR$30,$O84),$E$31,"")</f>
        <v/>
      </c>
      <c r="BS84" s="54">
        <f>IF(AND(BS$30,$O84),$F$31,"")</f>
        <v>19.3</v>
      </c>
      <c r="BT84" s="31">
        <f>IF(AND(BT$30,$O84),$C$31,"")</f>
        <v>18.5</v>
      </c>
      <c r="BU84" s="32">
        <f>IF(AND(BU$30,$O84),$D$31,"")</f>
        <v>23.6</v>
      </c>
      <c r="BV84" s="32">
        <f>IF(AND(BV$30,$O84),$E$31,"")</f>
        <v>20.3</v>
      </c>
      <c r="BW84" s="54" t="str">
        <f>IF(AND(BW$30,$O84),$F$31,"")</f>
        <v/>
      </c>
      <c r="BX84" s="31">
        <f>IF(AND(BX$30,$O84),$C$31,"")</f>
        <v>18.5</v>
      </c>
      <c r="BY84" s="32">
        <f>IF(AND(BY$30,$O84),$D$31,"")</f>
        <v>23.6</v>
      </c>
      <c r="BZ84" s="32">
        <f>IF(AND(BZ$30,$O84),$E$31,"")</f>
        <v>20.3</v>
      </c>
      <c r="CA84" s="54">
        <f>IF(AND(CA$30,$O84),$F$31,"")</f>
        <v>19.3</v>
      </c>
      <c r="CB84" s="31" t="str">
        <f>IF(AND(CB$30,$O84),$C$31,"")</f>
        <v/>
      </c>
      <c r="CC84" s="32" t="str">
        <f>IF(AND(CC$30,$O84),$D$31,"")</f>
        <v/>
      </c>
      <c r="CD84" s="32" t="str">
        <f>IF(AND(CD$30,$O84),$E$31,"")</f>
        <v/>
      </c>
      <c r="CE84" s="54" t="str">
        <f>IF(AND(CE$30,$O84),$F$31,"")</f>
        <v/>
      </c>
    </row>
    <row r="85" spans="12:83">
      <c r="L85" s="87"/>
      <c r="M85" s="36" t="str">
        <f t="shared" si="7"/>
        <v>-</v>
      </c>
      <c r="O85" s="82">
        <f>BinAnd(N83,Ce)</f>
        <v>0</v>
      </c>
      <c r="P85" s="31" t="str">
        <f>IF(AND(P$30,$O85),$C$32,"")</f>
        <v/>
      </c>
      <c r="Q85" s="32" t="str">
        <f>IF(AND(Q$30,$O85),$D$32,"")</f>
        <v/>
      </c>
      <c r="R85" s="32" t="str">
        <f>IF(AND(R$30,$O85),$E$32,"")</f>
        <v/>
      </c>
      <c r="S85" s="54" t="str">
        <f>IF(AND(S$30,$O85),$F$32,"")</f>
        <v/>
      </c>
      <c r="T85" s="31" t="str">
        <f>IF(AND(T$30,$O85),$C$32,"")</f>
        <v/>
      </c>
      <c r="U85" s="32" t="str">
        <f>IF(AND(U$30,$O85),$D$32,"")</f>
        <v/>
      </c>
      <c r="V85" s="32" t="str">
        <f>IF(AND(V$30,$O85),$E$32,"")</f>
        <v/>
      </c>
      <c r="W85" s="54" t="str">
        <f>IF(AND(W$30,$O85),$F$32,"")</f>
        <v/>
      </c>
      <c r="X85" s="31" t="str">
        <f>IF(AND(X$30,$O85),$C$32,"")</f>
        <v/>
      </c>
      <c r="Y85" s="32" t="str">
        <f>IF(AND(Y$30,$O85),$D$32,"")</f>
        <v/>
      </c>
      <c r="Z85" s="32" t="str">
        <f>IF(AND(Z$30,$O85),$E$32,"")</f>
        <v/>
      </c>
      <c r="AA85" s="54" t="str">
        <f>IF(AND(AA$30,$O85),$F$32,"")</f>
        <v/>
      </c>
      <c r="AB85" s="31" t="str">
        <f>IF(AND(AB$30,$O85),$C$32,"")</f>
        <v/>
      </c>
      <c r="AC85" s="32" t="str">
        <f>IF(AND(AC$30,$O85),$D$32,"")</f>
        <v/>
      </c>
      <c r="AD85" s="32" t="str">
        <f>IF(AND(AD$30,$O85),$E$32,"")</f>
        <v/>
      </c>
      <c r="AE85" s="54" t="str">
        <f>IF(AND(AE$30,$O85),$F$32,"")</f>
        <v/>
      </c>
      <c r="AF85" s="31" t="str">
        <f>IF(AND(AF$30,$O85),$C$32,"")</f>
        <v/>
      </c>
      <c r="AG85" s="32" t="str">
        <f>IF(AND(AG$30,$O85),$D$32,"")</f>
        <v/>
      </c>
      <c r="AH85" s="32" t="str">
        <f>IF(AND(AH$30,$O85),$E$32,"")</f>
        <v/>
      </c>
      <c r="AI85" s="54" t="str">
        <f>IF(AND(AI$30,$O85),$F$32,"")</f>
        <v/>
      </c>
      <c r="AJ85" s="31" t="str">
        <f>IF(AND(AJ$30,$O85),$C$32,"")</f>
        <v/>
      </c>
      <c r="AK85" s="32" t="str">
        <f>IF(AND(AK$30,$O85),$D$32,"")</f>
        <v/>
      </c>
      <c r="AL85" s="32" t="str">
        <f>IF(AND(AL$30,$O85),$E$32,"")</f>
        <v/>
      </c>
      <c r="AM85" s="54" t="str">
        <f>IF(AND(AM$30,$O85),$F$32,"")</f>
        <v/>
      </c>
      <c r="AN85" s="31" t="str">
        <f>IF(AND(AN$30,$O85),$C$32,"")</f>
        <v/>
      </c>
      <c r="AO85" s="32" t="str">
        <f>IF(AND(AO$30,$O85),$D$32,"")</f>
        <v/>
      </c>
      <c r="AP85" s="32" t="str">
        <f>IF(AND(AP$30,$O85),$E$32,"")</f>
        <v/>
      </c>
      <c r="AQ85" s="54" t="str">
        <f>IF(AND(AQ$30,$O85),$F$32,"")</f>
        <v/>
      </c>
      <c r="AR85" s="31" t="str">
        <f>IF(AND(AR$30,$O85),$C$32,"")</f>
        <v/>
      </c>
      <c r="AS85" s="32" t="str">
        <f>IF(AND(AS$30,$O85),$D$32,"")</f>
        <v/>
      </c>
      <c r="AT85" s="32" t="str">
        <f>IF(AND(AT$30,$O85),$E$32,"")</f>
        <v/>
      </c>
      <c r="AU85" s="54" t="str">
        <f>IF(AND(AU$30,$O85),$F$32,"")</f>
        <v/>
      </c>
      <c r="AV85" s="31" t="str">
        <f>IF(AND(AV$30,$O85),$C$32,"")</f>
        <v/>
      </c>
      <c r="AW85" s="32" t="str">
        <f>IF(AND(AW$30,$O85),$D$32,"")</f>
        <v/>
      </c>
      <c r="AX85" s="32" t="str">
        <f>IF(AND(AX$30,$O85),$E$32,"")</f>
        <v/>
      </c>
      <c r="AY85" s="54" t="str">
        <f>IF(AND(AY$30,$O85),$F$32,"")</f>
        <v/>
      </c>
      <c r="AZ85" s="31" t="str">
        <f>IF(AND(AZ$30,$O85),$C$32,"")</f>
        <v/>
      </c>
      <c r="BA85" s="32" t="str">
        <f>IF(AND(BA$30,$O85),$D$32,"")</f>
        <v/>
      </c>
      <c r="BB85" s="32" t="str">
        <f>IF(AND(BB$30,$O85),$E$32,"")</f>
        <v/>
      </c>
      <c r="BC85" s="54" t="str">
        <f>IF(AND(BC$30,$O85),$F$32,"")</f>
        <v/>
      </c>
      <c r="BD85" s="31" t="str">
        <f>IF(AND(BD$30,$O85),$C$32,"")</f>
        <v/>
      </c>
      <c r="BE85" s="32" t="str">
        <f>IF(AND(BE$30,$O85),$D$32,"")</f>
        <v/>
      </c>
      <c r="BF85" s="32" t="str">
        <f>IF(AND(BF$30,$O85),$E$32,"")</f>
        <v/>
      </c>
      <c r="BG85" s="54" t="str">
        <f>IF(AND(BG$30,$O85),$F$32,"")</f>
        <v/>
      </c>
      <c r="BH85" s="31" t="str">
        <f>IF(AND(BH$30,$O85),$C$32,"")</f>
        <v/>
      </c>
      <c r="BI85" s="32" t="str">
        <f>IF(AND(BI$30,$O85),$D$32,"")</f>
        <v/>
      </c>
      <c r="BJ85" s="32" t="str">
        <f>IF(AND(BJ$30,$O85),$E$32,"")</f>
        <v/>
      </c>
      <c r="BK85" s="54" t="str">
        <f>IF(AND(BK$30,$O85),$F$32,"")</f>
        <v/>
      </c>
      <c r="BL85" s="31" t="str">
        <f>IF(AND(BL$30,$O85),$C$32,"")</f>
        <v/>
      </c>
      <c r="BM85" s="32" t="str">
        <f>IF(AND(BM$30,$O85),$D$32,"")</f>
        <v/>
      </c>
      <c r="BN85" s="32" t="str">
        <f>IF(AND(BN$30,$O85),$E$32,"")</f>
        <v/>
      </c>
      <c r="BO85" s="54" t="str">
        <f>IF(AND(BO$30,$O85),$F$32,"")</f>
        <v/>
      </c>
      <c r="BP85" s="31" t="str">
        <f>IF(AND(BP$30,$O85),$C$32,"")</f>
        <v/>
      </c>
      <c r="BQ85" s="32" t="str">
        <f>IF(AND(BQ$30,$O85),$D$32,"")</f>
        <v/>
      </c>
      <c r="BR85" s="32" t="str">
        <f>IF(AND(BR$30,$O85),$E$32,"")</f>
        <v/>
      </c>
      <c r="BS85" s="54" t="str">
        <f>IF(AND(BS$30,$O85),$F$32,"")</f>
        <v/>
      </c>
      <c r="BT85" s="31" t="str">
        <f>IF(AND(BT$30,$O85),$C$32,"")</f>
        <v/>
      </c>
      <c r="BU85" s="32" t="str">
        <f>IF(AND(BU$30,$O85),$D$32,"")</f>
        <v/>
      </c>
      <c r="BV85" s="32" t="str">
        <f>IF(AND(BV$30,$O85),$E$32,"")</f>
        <v/>
      </c>
      <c r="BW85" s="54" t="str">
        <f>IF(AND(BW$30,$O85),$F$32,"")</f>
        <v/>
      </c>
      <c r="BX85" s="31" t="str">
        <f>IF(AND(BX$30,$O85),$C$32,"")</f>
        <v/>
      </c>
      <c r="BY85" s="32" t="str">
        <f>IF(AND(BY$30,$O85),$D$32,"")</f>
        <v/>
      </c>
      <c r="BZ85" s="32" t="str">
        <f>IF(AND(BZ$30,$O85),$E$32,"")</f>
        <v/>
      </c>
      <c r="CA85" s="54" t="str">
        <f>IF(AND(CA$30,$O85),$F$32,"")</f>
        <v/>
      </c>
      <c r="CB85" s="31" t="str">
        <f>IF(AND(CB$30,$O85),$C$32,"")</f>
        <v/>
      </c>
      <c r="CC85" s="32" t="str">
        <f>IF(AND(CC$30,$O85),$D$32,"")</f>
        <v/>
      </c>
      <c r="CD85" s="32" t="str">
        <f>IF(AND(CD$30,$O85),$E$32,"")</f>
        <v/>
      </c>
      <c r="CE85" s="54" t="str">
        <f>IF(AND(CE$30,$O85),$F$32,"")</f>
        <v/>
      </c>
    </row>
    <row r="86" spans="12:83" ht="15.75" thickBot="1">
      <c r="L86" s="86"/>
      <c r="M86" s="37" t="str">
        <f t="shared" si="7"/>
        <v>G</v>
      </c>
      <c r="O86" s="43">
        <f>BinAnd(N83,G)</f>
        <v>1</v>
      </c>
      <c r="P86" s="55" t="str">
        <f>IF(AND(P$30,$O86),$C$33,"")</f>
        <v/>
      </c>
      <c r="Q86" s="56" t="str">
        <f>IF(AND(Q$30,$O86),$D$33,"")</f>
        <v/>
      </c>
      <c r="R86" s="56" t="str">
        <f>IF(AND(R$30,$O86),$E$33,"")</f>
        <v/>
      </c>
      <c r="S86" s="57" t="str">
        <f>IF(AND(S$30,$O86),$F$33,"")</f>
        <v/>
      </c>
      <c r="T86" s="55" t="str">
        <f>IF(AND(T$30,$O86),$C$33,"")</f>
        <v/>
      </c>
      <c r="U86" s="56" t="str">
        <f>IF(AND(U$30,$O86),$D$33,"")</f>
        <v/>
      </c>
      <c r="V86" s="56" t="str">
        <f>IF(AND(V$30,$O86),$E$33,"")</f>
        <v/>
      </c>
      <c r="W86" s="57">
        <f>IF(AND(W$30,$O86),$F$33,"")</f>
        <v>15.6</v>
      </c>
      <c r="X86" s="55" t="str">
        <f>IF(AND(X$30,$O86),$C$33,"")</f>
        <v/>
      </c>
      <c r="Y86" s="56" t="str">
        <f>IF(AND(Y$30,$O86),$D$33,"")</f>
        <v/>
      </c>
      <c r="Z86" s="56">
        <f>IF(AND(Z$30,$O86),$E$33,"")</f>
        <v>28.4</v>
      </c>
      <c r="AA86" s="57" t="str">
        <f>IF(AND(AA$30,$O86),$F$33,"")</f>
        <v/>
      </c>
      <c r="AB86" s="55" t="str">
        <f>IF(AND(AB$30,$O86),$C$33,"")</f>
        <v/>
      </c>
      <c r="AC86" s="56" t="str">
        <f>IF(AND(AC$30,$O86),$D$33,"")</f>
        <v/>
      </c>
      <c r="AD86" s="56">
        <f>IF(AND(AD$30,$O86),$E$33,"")</f>
        <v>28.4</v>
      </c>
      <c r="AE86" s="57">
        <f>IF(AND(AE$30,$O86),$F$33,"")</f>
        <v>15.6</v>
      </c>
      <c r="AF86" s="55" t="str">
        <f>IF(AND(AF$30,$O86),$C$33,"")</f>
        <v/>
      </c>
      <c r="AG86" s="56">
        <f>IF(AND(AG$30,$O86),$D$33,"")</f>
        <v>23</v>
      </c>
      <c r="AH86" s="56" t="str">
        <f>IF(AND(AH$30,$O86),$E$33,"")</f>
        <v/>
      </c>
      <c r="AI86" s="57" t="str">
        <f>IF(AND(AI$30,$O86),$F$33,"")</f>
        <v/>
      </c>
      <c r="AJ86" s="55" t="str">
        <f>IF(AND(AJ$30,$O86),$C$33,"")</f>
        <v/>
      </c>
      <c r="AK86" s="56">
        <f>IF(AND(AK$30,$O86),$D$33,"")</f>
        <v>23</v>
      </c>
      <c r="AL86" s="56" t="str">
        <f>IF(AND(AL$30,$O86),$E$33,"")</f>
        <v/>
      </c>
      <c r="AM86" s="57">
        <f>IF(AND(AM$30,$O86),$F$33,"")</f>
        <v>15.6</v>
      </c>
      <c r="AN86" s="55" t="str">
        <f>IF(AND(AN$30,$O86),$C$33,"")</f>
        <v/>
      </c>
      <c r="AO86" s="56">
        <f>IF(AND(AO$30,$O86),$D$33,"")</f>
        <v>23</v>
      </c>
      <c r="AP86" s="56">
        <f>IF(AND(AP$30,$O86),$E$33,"")</f>
        <v>28.4</v>
      </c>
      <c r="AQ86" s="57" t="str">
        <f>IF(AND(AQ$30,$O86),$F$33,"")</f>
        <v/>
      </c>
      <c r="AR86" s="55" t="str">
        <f>IF(AND(AR$30,$O86),$C$33,"")</f>
        <v/>
      </c>
      <c r="AS86" s="56">
        <f>IF(AND(AS$30,$O86),$D$33,"")</f>
        <v>23</v>
      </c>
      <c r="AT86" s="56">
        <f>IF(AND(AT$30,$O86),$E$33,"")</f>
        <v>28.4</v>
      </c>
      <c r="AU86" s="57">
        <f>IF(AND(AU$30,$O86),$F$33,"")</f>
        <v>15.6</v>
      </c>
      <c r="AV86" s="55">
        <f>IF(AND(AV$30,$O86),$C$33,"")</f>
        <v>20.3</v>
      </c>
      <c r="AW86" s="56" t="str">
        <f>IF(AND(AW$30,$O86),$D$33,"")</f>
        <v/>
      </c>
      <c r="AX86" s="56" t="str">
        <f>IF(AND(AX$30,$O86),$E$33,"")</f>
        <v/>
      </c>
      <c r="AY86" s="57" t="str">
        <f>IF(AND(AY$30,$O86),$F$33,"")</f>
        <v/>
      </c>
      <c r="AZ86" s="55">
        <f>IF(AND(AZ$30,$O86),$C$33,"")</f>
        <v>20.3</v>
      </c>
      <c r="BA86" s="56" t="str">
        <f>IF(AND(BA$30,$O86),$D$33,"")</f>
        <v/>
      </c>
      <c r="BB86" s="56" t="str">
        <f>IF(AND(BB$30,$O86),$E$33,"")</f>
        <v/>
      </c>
      <c r="BC86" s="57">
        <f>IF(AND(BC$30,$O86),$F$33,"")</f>
        <v>15.6</v>
      </c>
      <c r="BD86" s="55">
        <f>IF(AND(BD$30,$O86),$C$33,"")</f>
        <v>20.3</v>
      </c>
      <c r="BE86" s="56" t="str">
        <f>IF(AND(BE$30,$O86),$D$33,"")</f>
        <v/>
      </c>
      <c r="BF86" s="56">
        <f>IF(AND(BF$30,$O86),$E$33,"")</f>
        <v>28.4</v>
      </c>
      <c r="BG86" s="57" t="str">
        <f>IF(AND(BG$30,$O86),$F$33,"")</f>
        <v/>
      </c>
      <c r="BH86" s="55">
        <f>IF(AND(BH$30,$O86),$C$33,"")</f>
        <v>20.3</v>
      </c>
      <c r="BI86" s="56" t="str">
        <f>IF(AND(BI$30,$O86),$D$33,"")</f>
        <v/>
      </c>
      <c r="BJ86" s="56">
        <f>IF(AND(BJ$30,$O86),$E$33,"")</f>
        <v>28.4</v>
      </c>
      <c r="BK86" s="57">
        <f>IF(AND(BK$30,$O86),$F$33,"")</f>
        <v>15.6</v>
      </c>
      <c r="BL86" s="55">
        <f>IF(AND(BL$30,$O86),$C$33,"")</f>
        <v>20.3</v>
      </c>
      <c r="BM86" s="56">
        <f>IF(AND(BM$30,$O86),$D$33,"")</f>
        <v>23</v>
      </c>
      <c r="BN86" s="56" t="str">
        <f>IF(AND(BN$30,$O86),$E$33,"")</f>
        <v/>
      </c>
      <c r="BO86" s="57" t="str">
        <f>IF(AND(BO$30,$O86),$F$33,"")</f>
        <v/>
      </c>
      <c r="BP86" s="55">
        <f>IF(AND(BP$30,$O86),$C$33,"")</f>
        <v>20.3</v>
      </c>
      <c r="BQ86" s="56">
        <f>IF(AND(BQ$30,$O86),$D$33,"")</f>
        <v>23</v>
      </c>
      <c r="BR86" s="56" t="str">
        <f>IF(AND(BR$30,$O86),$E$33,"")</f>
        <v/>
      </c>
      <c r="BS86" s="57">
        <f>IF(AND(BS$30,$O86),$F$33,"")</f>
        <v>15.6</v>
      </c>
      <c r="BT86" s="55">
        <f>IF(AND(BT$30,$O86),$C$33,"")</f>
        <v>20.3</v>
      </c>
      <c r="BU86" s="56">
        <f>IF(AND(BU$30,$O86),$D$33,"")</f>
        <v>23</v>
      </c>
      <c r="BV86" s="56">
        <f>IF(AND(BV$30,$O86),$E$33,"")</f>
        <v>28.4</v>
      </c>
      <c r="BW86" s="57" t="str">
        <f>IF(AND(BW$30,$O86),$F$33,"")</f>
        <v/>
      </c>
      <c r="BX86" s="55">
        <f>IF(AND(BX$30,$O86),$C$33,"")</f>
        <v>20.3</v>
      </c>
      <c r="BY86" s="56">
        <f>IF(AND(BY$30,$O86),$D$33,"")</f>
        <v>23</v>
      </c>
      <c r="BZ86" s="56">
        <f>IF(AND(BZ$30,$O86),$E$33,"")</f>
        <v>28.4</v>
      </c>
      <c r="CA86" s="57">
        <f>IF(AND(CA$30,$O86),$F$33,"")</f>
        <v>15.6</v>
      </c>
      <c r="CB86" s="55" t="str">
        <f>IF(AND(CB$30,$O86),$C$33,"")</f>
        <v/>
      </c>
      <c r="CC86" s="56" t="str">
        <f>IF(AND(CC$30,$O86),$D$33,"")</f>
        <v/>
      </c>
      <c r="CD86" s="56" t="str">
        <f>IF(AND(CD$30,$O86),$E$33,"")</f>
        <v/>
      </c>
      <c r="CE86" s="57" t="str">
        <f>IF(AND(CE$30,$O86),$F$33,"")</f>
        <v/>
      </c>
    </row>
    <row r="87" spans="12:83">
      <c r="L87" s="83" t="str">
        <f>MID(CodDegElegir,N87+1,1)</f>
        <v>H</v>
      </c>
      <c r="M87" s="85" t="str">
        <f t="shared" si="7"/>
        <v>A</v>
      </c>
      <c r="N87">
        <v>14</v>
      </c>
      <c r="O87" s="81">
        <f>BinAnd(N87,A)</f>
        <v>8</v>
      </c>
      <c r="P87" s="29" t="str">
        <f>IF(AND(P$30,$O87),$C$30,"")</f>
        <v/>
      </c>
      <c r="Q87" s="30" t="str">
        <f>IF(AND(Q$30,$O87),$D$30,"")</f>
        <v/>
      </c>
      <c r="R87" s="30" t="str">
        <f>IF(AND(R$30,$O87),$E$30,"")</f>
        <v/>
      </c>
      <c r="S87" s="53" t="str">
        <f>IF(AND(S$30,$O87),$F$30,"")</f>
        <v/>
      </c>
      <c r="T87" s="29" t="str">
        <f>IF(AND(T$30,$O87),$C$30,"")</f>
        <v/>
      </c>
      <c r="U87" s="30" t="str">
        <f>IF(AND(U$30,$O87),$D$30,"")</f>
        <v/>
      </c>
      <c r="V87" s="30" t="str">
        <f>IF(AND(V$30,$O87),$E$30,"")</f>
        <v/>
      </c>
      <c r="W87" s="53">
        <f>IF(AND(W$30,$O87),$F$30,"")</f>
        <v>16.100000000000001</v>
      </c>
      <c r="X87" s="29" t="str">
        <f>IF(AND(X$30,$O87),$C$30,"")</f>
        <v/>
      </c>
      <c r="Y87" s="30" t="str">
        <f>IF(AND(Y$30,$O87),$D$30,"")</f>
        <v/>
      </c>
      <c r="Z87" s="30">
        <f>IF(AND(Z$30,$O87),$E$30,"")</f>
        <v>23</v>
      </c>
      <c r="AA87" s="53" t="str">
        <f>IF(AND(AA$30,$O87),$F$30,"")</f>
        <v/>
      </c>
      <c r="AB87" s="29" t="str">
        <f>IF(AND(AB$30,$O87),$C$30,"")</f>
        <v/>
      </c>
      <c r="AC87" s="30" t="str">
        <f>IF(AND(AC$30,$O87),$D$30,"")</f>
        <v/>
      </c>
      <c r="AD87" s="30">
        <f>IF(AND(AD$30,$O87),$E$30,"")</f>
        <v>23</v>
      </c>
      <c r="AE87" s="53">
        <f>IF(AND(AE$30,$O87),$F$30,"")</f>
        <v>16.100000000000001</v>
      </c>
      <c r="AF87" s="29" t="str">
        <f>IF(AND(AF$30,$O87),$C$30,"")</f>
        <v/>
      </c>
      <c r="AG87" s="30">
        <f>IF(AND(AG$30,$O87),$D$30,"")</f>
        <v>18.8</v>
      </c>
      <c r="AH87" s="30" t="str">
        <f>IF(AND(AH$30,$O87),$E$30,"")</f>
        <v/>
      </c>
      <c r="AI87" s="53" t="str">
        <f>IF(AND(AI$30,$O87),$F$30,"")</f>
        <v/>
      </c>
      <c r="AJ87" s="29" t="str">
        <f>IF(AND(AJ$30,$O87),$C$30,"")</f>
        <v/>
      </c>
      <c r="AK87" s="30">
        <f>IF(AND(AK$30,$O87),$D$30,"")</f>
        <v>18.8</v>
      </c>
      <c r="AL87" s="30" t="str">
        <f>IF(AND(AL$30,$O87),$E$30,"")</f>
        <v/>
      </c>
      <c r="AM87" s="53">
        <f>IF(AND(AM$30,$O87),$F$30,"")</f>
        <v>16.100000000000001</v>
      </c>
      <c r="AN87" s="29" t="str">
        <f>IF(AND(AN$30,$O87),$C$30,"")</f>
        <v/>
      </c>
      <c r="AO87" s="30">
        <f>IF(AND(AO$30,$O87),$D$30,"")</f>
        <v>18.8</v>
      </c>
      <c r="AP87" s="30">
        <f>IF(AND(AP$30,$O87),$E$30,"")</f>
        <v>23</v>
      </c>
      <c r="AQ87" s="53" t="str">
        <f>IF(AND(AQ$30,$O87),$F$30,"")</f>
        <v/>
      </c>
      <c r="AR87" s="29" t="str">
        <f>IF(AND(AR$30,$O87),$C$30,"")</f>
        <v/>
      </c>
      <c r="AS87" s="30">
        <f>IF(AND(AS$30,$O87),$D$30,"")</f>
        <v>18.8</v>
      </c>
      <c r="AT87" s="30">
        <f>IF(AND(AT$30,$O87),$E$30,"")</f>
        <v>23</v>
      </c>
      <c r="AU87" s="53">
        <f>IF(AND(AU$30,$O87),$F$30,"")</f>
        <v>16.100000000000001</v>
      </c>
      <c r="AV87" s="29">
        <f>IF(AND(AV$30,$O87),$C$30,"")</f>
        <v>23.6</v>
      </c>
      <c r="AW87" s="30" t="str">
        <f>IF(AND(AW$30,$O87),$D$30,"")</f>
        <v/>
      </c>
      <c r="AX87" s="30" t="str">
        <f>IF(AND(AX$30,$O87),$E$30,"")</f>
        <v/>
      </c>
      <c r="AY87" s="53" t="str">
        <f>IF(AND(AY$30,$O87),$F$30,"")</f>
        <v/>
      </c>
      <c r="AZ87" s="29">
        <f>IF(AND(AZ$30,$O87),$C$30,"")</f>
        <v>23.6</v>
      </c>
      <c r="BA87" s="30" t="str">
        <f>IF(AND(BA$30,$O87),$D$30,"")</f>
        <v/>
      </c>
      <c r="BB87" s="30" t="str">
        <f>IF(AND(BB$30,$O87),$E$30,"")</f>
        <v/>
      </c>
      <c r="BC87" s="53">
        <f>IF(AND(BC$30,$O87),$F$30,"")</f>
        <v>16.100000000000001</v>
      </c>
      <c r="BD87" s="29">
        <f>IF(AND(BD$30,$O87),$C$30,"")</f>
        <v>23.6</v>
      </c>
      <c r="BE87" s="30" t="str">
        <f>IF(AND(BE$30,$O87),$D$30,"")</f>
        <v/>
      </c>
      <c r="BF87" s="30">
        <f>IF(AND(BF$30,$O87),$E$30,"")</f>
        <v>23</v>
      </c>
      <c r="BG87" s="53" t="str">
        <f>IF(AND(BG$30,$O87),$F$30,"")</f>
        <v/>
      </c>
      <c r="BH87" s="29">
        <f>IF(AND(BH$30,$O87),$C$30,"")</f>
        <v>23.6</v>
      </c>
      <c r="BI87" s="30" t="str">
        <f>IF(AND(BI$30,$O87),$D$30,"")</f>
        <v/>
      </c>
      <c r="BJ87" s="30">
        <f>IF(AND(BJ$30,$O87),$E$30,"")</f>
        <v>23</v>
      </c>
      <c r="BK87" s="53">
        <f>IF(AND(BK$30,$O87),$F$30,"")</f>
        <v>16.100000000000001</v>
      </c>
      <c r="BL87" s="29">
        <f>IF(AND(BL$30,$O87),$C$30,"")</f>
        <v>23.6</v>
      </c>
      <c r="BM87" s="30">
        <f>IF(AND(BM$30,$O87),$D$30,"")</f>
        <v>18.8</v>
      </c>
      <c r="BN87" s="30" t="str">
        <f>IF(AND(BN$30,$O87),$E$30,"")</f>
        <v/>
      </c>
      <c r="BO87" s="53" t="str">
        <f>IF(AND(BO$30,$O87),$F$30,"")</f>
        <v/>
      </c>
      <c r="BP87" s="29">
        <f>IF(AND(BP$30,$O87),$C$30,"")</f>
        <v>23.6</v>
      </c>
      <c r="BQ87" s="30">
        <f>IF(AND(BQ$30,$O87),$D$30,"")</f>
        <v>18.8</v>
      </c>
      <c r="BR87" s="30" t="str">
        <f>IF(AND(BR$30,$O87),$E$30,"")</f>
        <v/>
      </c>
      <c r="BS87" s="53">
        <f>IF(AND(BS$30,$O87),$F$30,"")</f>
        <v>16.100000000000001</v>
      </c>
      <c r="BT87" s="29">
        <f>IF(AND(BT$30,$O87),$C$30,"")</f>
        <v>23.6</v>
      </c>
      <c r="BU87" s="30">
        <f>IF(AND(BU$30,$O87),$D$30,"")</f>
        <v>18.8</v>
      </c>
      <c r="BV87" s="30">
        <f>IF(AND(BV$30,$O87),$E$30,"")</f>
        <v>23</v>
      </c>
      <c r="BW87" s="53" t="str">
        <f>IF(AND(BW$30,$O87),$F$30,"")</f>
        <v/>
      </c>
      <c r="BX87" s="29">
        <f>IF(AND(BX$30,$O87),$C$30,"")</f>
        <v>23.6</v>
      </c>
      <c r="BY87" s="30">
        <f>IF(AND(BY$30,$O87),$D$30,"")</f>
        <v>18.8</v>
      </c>
      <c r="BZ87" s="30">
        <f>IF(AND(BZ$30,$O87),$E$30,"")</f>
        <v>23</v>
      </c>
      <c r="CA87" s="53">
        <f>IF(AND(CA$30,$O87),$F$30,"")</f>
        <v>16.100000000000001</v>
      </c>
      <c r="CB87" s="29" t="str">
        <f>IF(AND(CB$30,$O87),$C$30,"")</f>
        <v/>
      </c>
      <c r="CC87" s="30" t="str">
        <f>IF(AND(CC$30,$O87),$D$30,"")</f>
        <v/>
      </c>
      <c r="CD87" s="30" t="str">
        <f>IF(AND(CD$30,$O87),$E$30,"")</f>
        <v/>
      </c>
      <c r="CE87" s="53" t="str">
        <f>IF(AND(CE$30,$O87),$F$30,"")</f>
        <v/>
      </c>
    </row>
    <row r="88" spans="12:83">
      <c r="L88" s="87"/>
      <c r="M88" s="36" t="str">
        <f t="shared" si="7"/>
        <v>T</v>
      </c>
      <c r="O88" s="82">
        <f>BinAnd(N87,T)</f>
        <v>4</v>
      </c>
      <c r="P88" s="31" t="str">
        <f>IF(AND(P$30,$O88),$C$31,"")</f>
        <v/>
      </c>
      <c r="Q88" s="32" t="str">
        <f>IF(AND(Q$30,$O88),$D$31,"")</f>
        <v/>
      </c>
      <c r="R88" s="32" t="str">
        <f>IF(AND(R$30,$O88),$E$31,"")</f>
        <v/>
      </c>
      <c r="S88" s="54" t="str">
        <f>IF(AND(S$30,$O88),$F$31,"")</f>
        <v/>
      </c>
      <c r="T88" s="31" t="str">
        <f>IF(AND(T$30,$O88),$C$31,"")</f>
        <v/>
      </c>
      <c r="U88" s="32" t="str">
        <f>IF(AND(U$30,$O88),$D$31,"")</f>
        <v/>
      </c>
      <c r="V88" s="32" t="str">
        <f>IF(AND(V$30,$O88),$E$31,"")</f>
        <v/>
      </c>
      <c r="W88" s="54">
        <f>IF(AND(W$30,$O88),$F$31,"")</f>
        <v>19.3</v>
      </c>
      <c r="X88" s="31" t="str">
        <f>IF(AND(X$30,$O88),$C$31,"")</f>
        <v/>
      </c>
      <c r="Y88" s="32" t="str">
        <f>IF(AND(Y$30,$O88),$D$31,"")</f>
        <v/>
      </c>
      <c r="Z88" s="32">
        <f>IF(AND(Z$30,$O88),$E$31,"")</f>
        <v>20.3</v>
      </c>
      <c r="AA88" s="54" t="str">
        <f>IF(AND(AA$30,$O88),$F$31,"")</f>
        <v/>
      </c>
      <c r="AB88" s="31" t="str">
        <f>IF(AND(AB$30,$O88),$C$31,"")</f>
        <v/>
      </c>
      <c r="AC88" s="32" t="str">
        <f>IF(AND(AC$30,$O88),$D$31,"")</f>
        <v/>
      </c>
      <c r="AD88" s="32">
        <f>IF(AND(AD$30,$O88),$E$31,"")</f>
        <v>20.3</v>
      </c>
      <c r="AE88" s="54">
        <f>IF(AND(AE$30,$O88),$F$31,"")</f>
        <v>19.3</v>
      </c>
      <c r="AF88" s="31" t="str">
        <f>IF(AND(AF$30,$O88),$C$31,"")</f>
        <v/>
      </c>
      <c r="AG88" s="32">
        <f>IF(AND(AG$30,$O88),$D$31,"")</f>
        <v>23.6</v>
      </c>
      <c r="AH88" s="32" t="str">
        <f>IF(AND(AH$30,$O88),$E$31,"")</f>
        <v/>
      </c>
      <c r="AI88" s="54" t="str">
        <f>IF(AND(AI$30,$O88),$F$31,"")</f>
        <v/>
      </c>
      <c r="AJ88" s="31" t="str">
        <f>IF(AND(AJ$30,$O88),$C$31,"")</f>
        <v/>
      </c>
      <c r="AK88" s="32">
        <f>IF(AND(AK$30,$O88),$D$31,"")</f>
        <v>23.6</v>
      </c>
      <c r="AL88" s="32" t="str">
        <f>IF(AND(AL$30,$O88),$E$31,"")</f>
        <v/>
      </c>
      <c r="AM88" s="54">
        <f>IF(AND(AM$30,$O88),$F$31,"")</f>
        <v>19.3</v>
      </c>
      <c r="AN88" s="31" t="str">
        <f>IF(AND(AN$30,$O88),$C$31,"")</f>
        <v/>
      </c>
      <c r="AO88" s="32">
        <f>IF(AND(AO$30,$O88),$D$31,"")</f>
        <v>23.6</v>
      </c>
      <c r="AP88" s="32">
        <f>IF(AND(AP$30,$O88),$E$31,"")</f>
        <v>20.3</v>
      </c>
      <c r="AQ88" s="54" t="str">
        <f>IF(AND(AQ$30,$O88),$F$31,"")</f>
        <v/>
      </c>
      <c r="AR88" s="31" t="str">
        <f>IF(AND(AR$30,$O88),$C$31,"")</f>
        <v/>
      </c>
      <c r="AS88" s="32">
        <f>IF(AND(AS$30,$O88),$D$31,"")</f>
        <v>23.6</v>
      </c>
      <c r="AT88" s="32">
        <f>IF(AND(AT$30,$O88),$E$31,"")</f>
        <v>20.3</v>
      </c>
      <c r="AU88" s="54">
        <f>IF(AND(AU$30,$O88),$F$31,"")</f>
        <v>19.3</v>
      </c>
      <c r="AV88" s="31">
        <f>IF(AND(AV$30,$O88),$C$31,"")</f>
        <v>18.5</v>
      </c>
      <c r="AW88" s="32" t="str">
        <f>IF(AND(AW$30,$O88),$D$31,"")</f>
        <v/>
      </c>
      <c r="AX88" s="32" t="str">
        <f>IF(AND(AX$30,$O88),$E$31,"")</f>
        <v/>
      </c>
      <c r="AY88" s="54" t="str">
        <f>IF(AND(AY$30,$O88),$F$31,"")</f>
        <v/>
      </c>
      <c r="AZ88" s="31">
        <f>IF(AND(AZ$30,$O88),$C$31,"")</f>
        <v>18.5</v>
      </c>
      <c r="BA88" s="32" t="str">
        <f>IF(AND(BA$30,$O88),$D$31,"")</f>
        <v/>
      </c>
      <c r="BB88" s="32" t="str">
        <f>IF(AND(BB$30,$O88),$E$31,"")</f>
        <v/>
      </c>
      <c r="BC88" s="54">
        <f>IF(AND(BC$30,$O88),$F$31,"")</f>
        <v>19.3</v>
      </c>
      <c r="BD88" s="31">
        <f>IF(AND(BD$30,$O88),$C$31,"")</f>
        <v>18.5</v>
      </c>
      <c r="BE88" s="32" t="str">
        <f>IF(AND(BE$30,$O88),$D$31,"")</f>
        <v/>
      </c>
      <c r="BF88" s="32">
        <f>IF(AND(BF$30,$O88),$E$31,"")</f>
        <v>20.3</v>
      </c>
      <c r="BG88" s="54" t="str">
        <f>IF(AND(BG$30,$O88),$F$31,"")</f>
        <v/>
      </c>
      <c r="BH88" s="31">
        <f>IF(AND(BH$30,$O88),$C$31,"")</f>
        <v>18.5</v>
      </c>
      <c r="BI88" s="32" t="str">
        <f>IF(AND(BI$30,$O88),$D$31,"")</f>
        <v/>
      </c>
      <c r="BJ88" s="32">
        <f>IF(AND(BJ$30,$O88),$E$31,"")</f>
        <v>20.3</v>
      </c>
      <c r="BK88" s="54">
        <f>IF(AND(BK$30,$O88),$F$31,"")</f>
        <v>19.3</v>
      </c>
      <c r="BL88" s="31">
        <f>IF(AND(BL$30,$O88),$C$31,"")</f>
        <v>18.5</v>
      </c>
      <c r="BM88" s="32">
        <f>IF(AND(BM$30,$O88),$D$31,"")</f>
        <v>23.6</v>
      </c>
      <c r="BN88" s="32" t="str">
        <f>IF(AND(BN$30,$O88),$E$31,"")</f>
        <v/>
      </c>
      <c r="BO88" s="54" t="str">
        <f>IF(AND(BO$30,$O88),$F$31,"")</f>
        <v/>
      </c>
      <c r="BP88" s="31">
        <f>IF(AND(BP$30,$O88),$C$31,"")</f>
        <v>18.5</v>
      </c>
      <c r="BQ88" s="32">
        <f>IF(AND(BQ$30,$O88),$D$31,"")</f>
        <v>23.6</v>
      </c>
      <c r="BR88" s="32" t="str">
        <f>IF(AND(BR$30,$O88),$E$31,"")</f>
        <v/>
      </c>
      <c r="BS88" s="54">
        <f>IF(AND(BS$30,$O88),$F$31,"")</f>
        <v>19.3</v>
      </c>
      <c r="BT88" s="31">
        <f>IF(AND(BT$30,$O88),$C$31,"")</f>
        <v>18.5</v>
      </c>
      <c r="BU88" s="32">
        <f>IF(AND(BU$30,$O88),$D$31,"")</f>
        <v>23.6</v>
      </c>
      <c r="BV88" s="32">
        <f>IF(AND(BV$30,$O88),$E$31,"")</f>
        <v>20.3</v>
      </c>
      <c r="BW88" s="54" t="str">
        <f>IF(AND(BW$30,$O88),$F$31,"")</f>
        <v/>
      </c>
      <c r="BX88" s="31">
        <f>IF(AND(BX$30,$O88),$C$31,"")</f>
        <v>18.5</v>
      </c>
      <c r="BY88" s="32">
        <f>IF(AND(BY$30,$O88),$D$31,"")</f>
        <v>23.6</v>
      </c>
      <c r="BZ88" s="32">
        <f>IF(AND(BZ$30,$O88),$E$31,"")</f>
        <v>20.3</v>
      </c>
      <c r="CA88" s="54">
        <f>IF(AND(CA$30,$O88),$F$31,"")</f>
        <v>19.3</v>
      </c>
      <c r="CB88" s="31" t="str">
        <f>IF(AND(CB$30,$O88),$C$31,"")</f>
        <v/>
      </c>
      <c r="CC88" s="32" t="str">
        <f>IF(AND(CC$30,$O88),$D$31,"")</f>
        <v/>
      </c>
      <c r="CD88" s="32" t="str">
        <f>IF(AND(CD$30,$O88),$E$31,"")</f>
        <v/>
      </c>
      <c r="CE88" s="54" t="str">
        <f>IF(AND(CE$30,$O88),$F$31,"")</f>
        <v/>
      </c>
    </row>
    <row r="89" spans="12:83">
      <c r="L89" s="87"/>
      <c r="M89" s="36" t="str">
        <f t="shared" si="7"/>
        <v>C</v>
      </c>
      <c r="O89" s="82">
        <f>BinAnd(N87,Ce)</f>
        <v>2</v>
      </c>
      <c r="P89" s="31" t="str">
        <f>IF(AND(P$30,$O89),$C$32,"")</f>
        <v/>
      </c>
      <c r="Q89" s="32" t="str">
        <f>IF(AND(Q$30,$O89),$D$32,"")</f>
        <v/>
      </c>
      <c r="R89" s="32" t="str">
        <f>IF(AND(R$30,$O89),$E$32,"")</f>
        <v/>
      </c>
      <c r="S89" s="54" t="str">
        <f>IF(AND(S$30,$O89),$F$32,"")</f>
        <v/>
      </c>
      <c r="T89" s="31" t="str">
        <f>IF(AND(T$30,$O89),$C$32,"")</f>
        <v/>
      </c>
      <c r="U89" s="32" t="str">
        <f>IF(AND(U$30,$O89),$D$32,"")</f>
        <v/>
      </c>
      <c r="V89" s="32" t="str">
        <f>IF(AND(V$30,$O89),$E$32,"")</f>
        <v/>
      </c>
      <c r="W89" s="54">
        <f>IF(AND(W$30,$O89),$F$32,"")</f>
        <v>25.5</v>
      </c>
      <c r="X89" s="31" t="str">
        <f>IF(AND(X$30,$O89),$C$32,"")</f>
        <v/>
      </c>
      <c r="Y89" s="32" t="str">
        <f>IF(AND(Y$30,$O89),$D$32,"")</f>
        <v/>
      </c>
      <c r="Z89" s="32">
        <f>IF(AND(Z$30,$O89),$E$32,"")</f>
        <v>15.6</v>
      </c>
      <c r="AA89" s="54" t="str">
        <f>IF(AND(AA$30,$O89),$F$32,"")</f>
        <v/>
      </c>
      <c r="AB89" s="31" t="str">
        <f>IF(AND(AB$30,$O89),$C$32,"")</f>
        <v/>
      </c>
      <c r="AC89" s="32" t="str">
        <f>IF(AND(AC$30,$O89),$D$32,"")</f>
        <v/>
      </c>
      <c r="AD89" s="32">
        <f>IF(AND(AD$30,$O89),$E$32,"")</f>
        <v>15.6</v>
      </c>
      <c r="AE89" s="54">
        <f>IF(AND(AE$30,$O89),$F$32,"")</f>
        <v>25.5</v>
      </c>
      <c r="AF89" s="31" t="str">
        <f>IF(AND(AF$30,$O89),$C$32,"")</f>
        <v/>
      </c>
      <c r="AG89" s="32">
        <f>IF(AND(AG$30,$O89),$D$32,"")</f>
        <v>16.100000000000001</v>
      </c>
      <c r="AH89" s="32" t="str">
        <f>IF(AND(AH$30,$O89),$E$32,"")</f>
        <v/>
      </c>
      <c r="AI89" s="54" t="str">
        <f>IF(AND(AI$30,$O89),$F$32,"")</f>
        <v/>
      </c>
      <c r="AJ89" s="31" t="str">
        <f>IF(AND(AJ$30,$O89),$C$32,"")</f>
        <v/>
      </c>
      <c r="AK89" s="32">
        <f>IF(AND(AK$30,$O89),$D$32,"")</f>
        <v>16.100000000000001</v>
      </c>
      <c r="AL89" s="32" t="str">
        <f>IF(AND(AL$30,$O89),$E$32,"")</f>
        <v/>
      </c>
      <c r="AM89" s="54">
        <f>IF(AND(AM$30,$O89),$F$32,"")</f>
        <v>25.5</v>
      </c>
      <c r="AN89" s="31" t="str">
        <f>IF(AND(AN$30,$O89),$C$32,"")</f>
        <v/>
      </c>
      <c r="AO89" s="32">
        <f>IF(AND(AO$30,$O89),$D$32,"")</f>
        <v>16.100000000000001</v>
      </c>
      <c r="AP89" s="32">
        <f>IF(AND(AP$30,$O89),$E$32,"")</f>
        <v>15.6</v>
      </c>
      <c r="AQ89" s="54" t="str">
        <f>IF(AND(AQ$30,$O89),$F$32,"")</f>
        <v/>
      </c>
      <c r="AR89" s="31" t="str">
        <f>IF(AND(AR$30,$O89),$C$32,"")</f>
        <v/>
      </c>
      <c r="AS89" s="32">
        <f>IF(AND(AS$30,$O89),$D$32,"")</f>
        <v>16.100000000000001</v>
      </c>
      <c r="AT89" s="32">
        <f>IF(AND(AT$30,$O89),$E$32,"")</f>
        <v>15.6</v>
      </c>
      <c r="AU89" s="54">
        <f>IF(AND(AU$30,$O89),$F$32,"")</f>
        <v>25.5</v>
      </c>
      <c r="AV89" s="31">
        <f>IF(AND(AV$30,$O89),$C$32,"")</f>
        <v>19.3</v>
      </c>
      <c r="AW89" s="32" t="str">
        <f>IF(AND(AW$30,$O89),$D$32,"")</f>
        <v/>
      </c>
      <c r="AX89" s="32" t="str">
        <f>IF(AND(AX$30,$O89),$E$32,"")</f>
        <v/>
      </c>
      <c r="AY89" s="54" t="str">
        <f>IF(AND(AY$30,$O89),$F$32,"")</f>
        <v/>
      </c>
      <c r="AZ89" s="31">
        <f>IF(AND(AZ$30,$O89),$C$32,"")</f>
        <v>19.3</v>
      </c>
      <c r="BA89" s="32" t="str">
        <f>IF(AND(BA$30,$O89),$D$32,"")</f>
        <v/>
      </c>
      <c r="BB89" s="32" t="str">
        <f>IF(AND(BB$30,$O89),$E$32,"")</f>
        <v/>
      </c>
      <c r="BC89" s="54">
        <f>IF(AND(BC$30,$O89),$F$32,"")</f>
        <v>25.5</v>
      </c>
      <c r="BD89" s="31">
        <f>IF(AND(BD$30,$O89),$C$32,"")</f>
        <v>19.3</v>
      </c>
      <c r="BE89" s="32" t="str">
        <f>IF(AND(BE$30,$O89),$D$32,"")</f>
        <v/>
      </c>
      <c r="BF89" s="32">
        <f>IF(AND(BF$30,$O89),$E$32,"")</f>
        <v>15.6</v>
      </c>
      <c r="BG89" s="54" t="str">
        <f>IF(AND(BG$30,$O89),$F$32,"")</f>
        <v/>
      </c>
      <c r="BH89" s="31">
        <f>IF(AND(BH$30,$O89),$C$32,"")</f>
        <v>19.3</v>
      </c>
      <c r="BI89" s="32" t="str">
        <f>IF(AND(BI$30,$O89),$D$32,"")</f>
        <v/>
      </c>
      <c r="BJ89" s="32">
        <f>IF(AND(BJ$30,$O89),$E$32,"")</f>
        <v>15.6</v>
      </c>
      <c r="BK89" s="54">
        <f>IF(AND(BK$30,$O89),$F$32,"")</f>
        <v>25.5</v>
      </c>
      <c r="BL89" s="31">
        <f>IF(AND(BL$30,$O89),$C$32,"")</f>
        <v>19.3</v>
      </c>
      <c r="BM89" s="32">
        <f>IF(AND(BM$30,$O89),$D$32,"")</f>
        <v>16.100000000000001</v>
      </c>
      <c r="BN89" s="32" t="str">
        <f>IF(AND(BN$30,$O89),$E$32,"")</f>
        <v/>
      </c>
      <c r="BO89" s="54" t="str">
        <f>IF(AND(BO$30,$O89),$F$32,"")</f>
        <v/>
      </c>
      <c r="BP89" s="31">
        <f>IF(AND(BP$30,$O89),$C$32,"")</f>
        <v>19.3</v>
      </c>
      <c r="BQ89" s="32">
        <f>IF(AND(BQ$30,$O89),$D$32,"")</f>
        <v>16.100000000000001</v>
      </c>
      <c r="BR89" s="32" t="str">
        <f>IF(AND(BR$30,$O89),$E$32,"")</f>
        <v/>
      </c>
      <c r="BS89" s="54">
        <f>IF(AND(BS$30,$O89),$F$32,"")</f>
        <v>25.5</v>
      </c>
      <c r="BT89" s="31">
        <f>IF(AND(BT$30,$O89),$C$32,"")</f>
        <v>19.3</v>
      </c>
      <c r="BU89" s="32">
        <f>IF(AND(BU$30,$O89),$D$32,"")</f>
        <v>16.100000000000001</v>
      </c>
      <c r="BV89" s="32">
        <f>IF(AND(BV$30,$O89),$E$32,"")</f>
        <v>15.6</v>
      </c>
      <c r="BW89" s="54" t="str">
        <f>IF(AND(BW$30,$O89),$F$32,"")</f>
        <v/>
      </c>
      <c r="BX89" s="31">
        <f>IF(AND(BX$30,$O89),$C$32,"")</f>
        <v>19.3</v>
      </c>
      <c r="BY89" s="32">
        <f>IF(AND(BY$30,$O89),$D$32,"")</f>
        <v>16.100000000000001</v>
      </c>
      <c r="BZ89" s="32">
        <f>IF(AND(BZ$30,$O89),$E$32,"")</f>
        <v>15.6</v>
      </c>
      <c r="CA89" s="54">
        <f>IF(AND(CA$30,$O89),$F$32,"")</f>
        <v>25.5</v>
      </c>
      <c r="CB89" s="31" t="str">
        <f>IF(AND(CB$30,$O89),$C$32,"")</f>
        <v/>
      </c>
      <c r="CC89" s="32" t="str">
        <f>IF(AND(CC$30,$O89),$D$32,"")</f>
        <v/>
      </c>
      <c r="CD89" s="32" t="str">
        <f>IF(AND(CD$30,$O89),$E$32,"")</f>
        <v/>
      </c>
      <c r="CE89" s="54" t="str">
        <f>IF(AND(CE$30,$O89),$F$32,"")</f>
        <v/>
      </c>
    </row>
    <row r="90" spans="12:83" ht="15.75" thickBot="1">
      <c r="L90" s="86"/>
      <c r="M90" s="37" t="str">
        <f t="shared" si="7"/>
        <v>-</v>
      </c>
      <c r="O90" s="43">
        <f>BinAnd(N87,G)</f>
        <v>0</v>
      </c>
      <c r="P90" s="55" t="str">
        <f>IF(AND(P$30,$O90),$C$33,"")</f>
        <v/>
      </c>
      <c r="Q90" s="56" t="str">
        <f>IF(AND(Q$30,$O90),$D$33,"")</f>
        <v/>
      </c>
      <c r="R90" s="56" t="str">
        <f>IF(AND(R$30,$O90),$E$33,"")</f>
        <v/>
      </c>
      <c r="S90" s="57" t="str">
        <f>IF(AND(S$30,$O90),$F$33,"")</f>
        <v/>
      </c>
      <c r="T90" s="55" t="str">
        <f>IF(AND(T$30,$O90),$C$33,"")</f>
        <v/>
      </c>
      <c r="U90" s="56" t="str">
        <f>IF(AND(U$30,$O90),$D$33,"")</f>
        <v/>
      </c>
      <c r="V90" s="56" t="str">
        <f>IF(AND(V$30,$O90),$E$33,"")</f>
        <v/>
      </c>
      <c r="W90" s="57" t="str">
        <f>IF(AND(W$30,$O90),$F$33,"")</f>
        <v/>
      </c>
      <c r="X90" s="55" t="str">
        <f>IF(AND(X$30,$O90),$C$33,"")</f>
        <v/>
      </c>
      <c r="Y90" s="56" t="str">
        <f>IF(AND(Y$30,$O90),$D$33,"")</f>
        <v/>
      </c>
      <c r="Z90" s="56" t="str">
        <f>IF(AND(Z$30,$O90),$E$33,"")</f>
        <v/>
      </c>
      <c r="AA90" s="57" t="str">
        <f>IF(AND(AA$30,$O90),$F$33,"")</f>
        <v/>
      </c>
      <c r="AB90" s="55" t="str">
        <f>IF(AND(AB$30,$O90),$C$33,"")</f>
        <v/>
      </c>
      <c r="AC90" s="56" t="str">
        <f>IF(AND(AC$30,$O90),$D$33,"")</f>
        <v/>
      </c>
      <c r="AD90" s="56" t="str">
        <f>IF(AND(AD$30,$O90),$E$33,"")</f>
        <v/>
      </c>
      <c r="AE90" s="57" t="str">
        <f>IF(AND(AE$30,$O90),$F$33,"")</f>
        <v/>
      </c>
      <c r="AF90" s="55" t="str">
        <f>IF(AND(AF$30,$O90),$C$33,"")</f>
        <v/>
      </c>
      <c r="AG90" s="56" t="str">
        <f>IF(AND(AG$30,$O90),$D$33,"")</f>
        <v/>
      </c>
      <c r="AH90" s="56" t="str">
        <f>IF(AND(AH$30,$O90),$E$33,"")</f>
        <v/>
      </c>
      <c r="AI90" s="57" t="str">
        <f>IF(AND(AI$30,$O90),$F$33,"")</f>
        <v/>
      </c>
      <c r="AJ90" s="55" t="str">
        <f>IF(AND(AJ$30,$O90),$C$33,"")</f>
        <v/>
      </c>
      <c r="AK90" s="56" t="str">
        <f>IF(AND(AK$30,$O90),$D$33,"")</f>
        <v/>
      </c>
      <c r="AL90" s="56" t="str">
        <f>IF(AND(AL$30,$O90),$E$33,"")</f>
        <v/>
      </c>
      <c r="AM90" s="57" t="str">
        <f>IF(AND(AM$30,$O90),$F$33,"")</f>
        <v/>
      </c>
      <c r="AN90" s="55" t="str">
        <f>IF(AND(AN$30,$O90),$C$33,"")</f>
        <v/>
      </c>
      <c r="AO90" s="56" t="str">
        <f>IF(AND(AO$30,$O90),$D$33,"")</f>
        <v/>
      </c>
      <c r="AP90" s="56" t="str">
        <f>IF(AND(AP$30,$O90),$E$33,"")</f>
        <v/>
      </c>
      <c r="AQ90" s="57" t="str">
        <f>IF(AND(AQ$30,$O90),$F$33,"")</f>
        <v/>
      </c>
      <c r="AR90" s="55" t="str">
        <f>IF(AND(AR$30,$O90),$C$33,"")</f>
        <v/>
      </c>
      <c r="AS90" s="56" t="str">
        <f>IF(AND(AS$30,$O90),$D$33,"")</f>
        <v/>
      </c>
      <c r="AT90" s="56" t="str">
        <f>IF(AND(AT$30,$O90),$E$33,"")</f>
        <v/>
      </c>
      <c r="AU90" s="57" t="str">
        <f>IF(AND(AU$30,$O90),$F$33,"")</f>
        <v/>
      </c>
      <c r="AV90" s="55" t="str">
        <f>IF(AND(AV$30,$O90),$C$33,"")</f>
        <v/>
      </c>
      <c r="AW90" s="56" t="str">
        <f>IF(AND(AW$30,$O90),$D$33,"")</f>
        <v/>
      </c>
      <c r="AX90" s="56" t="str">
        <f>IF(AND(AX$30,$O90),$E$33,"")</f>
        <v/>
      </c>
      <c r="AY90" s="57" t="str">
        <f>IF(AND(AY$30,$O90),$F$33,"")</f>
        <v/>
      </c>
      <c r="AZ90" s="55" t="str">
        <f>IF(AND(AZ$30,$O90),$C$33,"")</f>
        <v/>
      </c>
      <c r="BA90" s="56" t="str">
        <f>IF(AND(BA$30,$O90),$D$33,"")</f>
        <v/>
      </c>
      <c r="BB90" s="56" t="str">
        <f>IF(AND(BB$30,$O90),$E$33,"")</f>
        <v/>
      </c>
      <c r="BC90" s="57" t="str">
        <f>IF(AND(BC$30,$O90),$F$33,"")</f>
        <v/>
      </c>
      <c r="BD90" s="55" t="str">
        <f>IF(AND(BD$30,$O90),$C$33,"")</f>
        <v/>
      </c>
      <c r="BE90" s="56" t="str">
        <f>IF(AND(BE$30,$O90),$D$33,"")</f>
        <v/>
      </c>
      <c r="BF90" s="56" t="str">
        <f>IF(AND(BF$30,$O90),$E$33,"")</f>
        <v/>
      </c>
      <c r="BG90" s="57" t="str">
        <f>IF(AND(BG$30,$O90),$F$33,"")</f>
        <v/>
      </c>
      <c r="BH90" s="55" t="str">
        <f>IF(AND(BH$30,$O90),$C$33,"")</f>
        <v/>
      </c>
      <c r="BI90" s="56" t="str">
        <f>IF(AND(BI$30,$O90),$D$33,"")</f>
        <v/>
      </c>
      <c r="BJ90" s="56" t="str">
        <f>IF(AND(BJ$30,$O90),$E$33,"")</f>
        <v/>
      </c>
      <c r="BK90" s="57" t="str">
        <f>IF(AND(BK$30,$O90),$F$33,"")</f>
        <v/>
      </c>
      <c r="BL90" s="55" t="str">
        <f>IF(AND(BL$30,$O90),$C$33,"")</f>
        <v/>
      </c>
      <c r="BM90" s="56" t="str">
        <f>IF(AND(BM$30,$O90),$D$33,"")</f>
        <v/>
      </c>
      <c r="BN90" s="56" t="str">
        <f>IF(AND(BN$30,$O90),$E$33,"")</f>
        <v/>
      </c>
      <c r="BO90" s="57" t="str">
        <f>IF(AND(BO$30,$O90),$F$33,"")</f>
        <v/>
      </c>
      <c r="BP90" s="55" t="str">
        <f>IF(AND(BP$30,$O90),$C$33,"")</f>
        <v/>
      </c>
      <c r="BQ90" s="56" t="str">
        <f>IF(AND(BQ$30,$O90),$D$33,"")</f>
        <v/>
      </c>
      <c r="BR90" s="56" t="str">
        <f>IF(AND(BR$30,$O90),$E$33,"")</f>
        <v/>
      </c>
      <c r="BS90" s="57" t="str">
        <f>IF(AND(BS$30,$O90),$F$33,"")</f>
        <v/>
      </c>
      <c r="BT90" s="55" t="str">
        <f>IF(AND(BT$30,$O90),$C$33,"")</f>
        <v/>
      </c>
      <c r="BU90" s="56" t="str">
        <f>IF(AND(BU$30,$O90),$D$33,"")</f>
        <v/>
      </c>
      <c r="BV90" s="56" t="str">
        <f>IF(AND(BV$30,$O90),$E$33,"")</f>
        <v/>
      </c>
      <c r="BW90" s="57" t="str">
        <f>IF(AND(BW$30,$O90),$F$33,"")</f>
        <v/>
      </c>
      <c r="BX90" s="55" t="str">
        <f>IF(AND(BX$30,$O90),$C$33,"")</f>
        <v/>
      </c>
      <c r="BY90" s="56" t="str">
        <f>IF(AND(BY$30,$O90),$D$33,"")</f>
        <v/>
      </c>
      <c r="BZ90" s="56" t="str">
        <f>IF(AND(BZ$30,$O90),$E$33,"")</f>
        <v/>
      </c>
      <c r="CA90" s="57" t="str">
        <f>IF(AND(CA$30,$O90),$F$33,"")</f>
        <v/>
      </c>
      <c r="CB90" s="55" t="str">
        <f>IF(AND(CB$30,$O90),$C$33,"")</f>
        <v/>
      </c>
      <c r="CC90" s="56" t="str">
        <f>IF(AND(CC$30,$O90),$D$33,"")</f>
        <v/>
      </c>
      <c r="CD90" s="56" t="str">
        <f>IF(AND(CD$30,$O90),$E$33,"")</f>
        <v/>
      </c>
      <c r="CE90" s="57" t="str">
        <f>IF(AND(CE$30,$O90),$F$33,"")</f>
        <v/>
      </c>
    </row>
    <row r="91" spans="12:83">
      <c r="L91" s="83" t="str">
        <f>MID(CodDegElegir,N91+1,1)</f>
        <v>N</v>
      </c>
      <c r="M91" s="85" t="str">
        <f t="shared" si="7"/>
        <v>A</v>
      </c>
      <c r="N91">
        <v>15</v>
      </c>
      <c r="O91" s="81">
        <f>BinAnd(N91,A)</f>
        <v>8</v>
      </c>
      <c r="P91" s="29" t="str">
        <f>IF(AND(P$30,$O91),$C$30,"")</f>
        <v/>
      </c>
      <c r="Q91" s="30" t="str">
        <f>IF(AND(Q$30,$O91),$D$30,"")</f>
        <v/>
      </c>
      <c r="R91" s="30" t="str">
        <f>IF(AND(R$30,$O91),$E$30,"")</f>
        <v/>
      </c>
      <c r="S91" s="53" t="str">
        <f>IF(AND(S$30,$O91),$F$30,"")</f>
        <v/>
      </c>
      <c r="T91" s="29" t="str">
        <f>IF(AND(T$30,$O91),$C$30,"")</f>
        <v/>
      </c>
      <c r="U91" s="30" t="str">
        <f>IF(AND(U$30,$O91),$D$30,"")</f>
        <v/>
      </c>
      <c r="V91" s="30" t="str">
        <f>IF(AND(V$30,$O91),$E$30,"")</f>
        <v/>
      </c>
      <c r="W91" s="53">
        <f>IF(AND(W$30,$O91),$F$30,"")</f>
        <v>16.100000000000001</v>
      </c>
      <c r="X91" s="29" t="str">
        <f>IF(AND(X$30,$O91),$C$30,"")</f>
        <v/>
      </c>
      <c r="Y91" s="30" t="str">
        <f>IF(AND(Y$30,$O91),$D$30,"")</f>
        <v/>
      </c>
      <c r="Z91" s="30">
        <f>IF(AND(Z$30,$O91),$E$30,"")</f>
        <v>23</v>
      </c>
      <c r="AA91" s="53" t="str">
        <f>IF(AND(AA$30,$O91),$F$30,"")</f>
        <v/>
      </c>
      <c r="AB91" s="29" t="str">
        <f>IF(AND(AB$30,$O91),$C$30,"")</f>
        <v/>
      </c>
      <c r="AC91" s="30" t="str">
        <f>IF(AND(AC$30,$O91),$D$30,"")</f>
        <v/>
      </c>
      <c r="AD91" s="30">
        <f>IF(AND(AD$30,$O91),$E$30,"")</f>
        <v>23</v>
      </c>
      <c r="AE91" s="53">
        <f>IF(AND(AE$30,$O91),$F$30,"")</f>
        <v>16.100000000000001</v>
      </c>
      <c r="AF91" s="29" t="str">
        <f>IF(AND(AF$30,$O91),$C$30,"")</f>
        <v/>
      </c>
      <c r="AG91" s="30">
        <f>IF(AND(AG$30,$O91),$D$30,"")</f>
        <v>18.8</v>
      </c>
      <c r="AH91" s="30" t="str">
        <f>IF(AND(AH$30,$O91),$E$30,"")</f>
        <v/>
      </c>
      <c r="AI91" s="53" t="str">
        <f>IF(AND(AI$30,$O91),$F$30,"")</f>
        <v/>
      </c>
      <c r="AJ91" s="29" t="str">
        <f>IF(AND(AJ$30,$O91),$C$30,"")</f>
        <v/>
      </c>
      <c r="AK91" s="30">
        <f>IF(AND(AK$30,$O91),$D$30,"")</f>
        <v>18.8</v>
      </c>
      <c r="AL91" s="30" t="str">
        <f>IF(AND(AL$30,$O91),$E$30,"")</f>
        <v/>
      </c>
      <c r="AM91" s="53">
        <f>IF(AND(AM$30,$O91),$F$30,"")</f>
        <v>16.100000000000001</v>
      </c>
      <c r="AN91" s="29" t="str">
        <f>IF(AND(AN$30,$O91),$C$30,"")</f>
        <v/>
      </c>
      <c r="AO91" s="30">
        <f>IF(AND(AO$30,$O91),$D$30,"")</f>
        <v>18.8</v>
      </c>
      <c r="AP91" s="30">
        <f>IF(AND(AP$30,$O91),$E$30,"")</f>
        <v>23</v>
      </c>
      <c r="AQ91" s="53" t="str">
        <f>IF(AND(AQ$30,$O91),$F$30,"")</f>
        <v/>
      </c>
      <c r="AR91" s="29" t="str">
        <f>IF(AND(AR$30,$O91),$C$30,"")</f>
        <v/>
      </c>
      <c r="AS91" s="30">
        <f>IF(AND(AS$30,$O91),$D$30,"")</f>
        <v>18.8</v>
      </c>
      <c r="AT91" s="30">
        <f>IF(AND(AT$30,$O91),$E$30,"")</f>
        <v>23</v>
      </c>
      <c r="AU91" s="53">
        <f>IF(AND(AU$30,$O91),$F$30,"")</f>
        <v>16.100000000000001</v>
      </c>
      <c r="AV91" s="29">
        <f>IF(AND(AV$30,$O91),$C$30,"")</f>
        <v>23.6</v>
      </c>
      <c r="AW91" s="30" t="str">
        <f>IF(AND(AW$30,$O91),$D$30,"")</f>
        <v/>
      </c>
      <c r="AX91" s="30" t="str">
        <f>IF(AND(AX$30,$O91),$E$30,"")</f>
        <v/>
      </c>
      <c r="AY91" s="53" t="str">
        <f>IF(AND(AY$30,$O91),$F$30,"")</f>
        <v/>
      </c>
      <c r="AZ91" s="29">
        <f>IF(AND(AZ$30,$O91),$C$30,"")</f>
        <v>23.6</v>
      </c>
      <c r="BA91" s="30" t="str">
        <f>IF(AND(BA$30,$O91),$D$30,"")</f>
        <v/>
      </c>
      <c r="BB91" s="30" t="str">
        <f>IF(AND(BB$30,$O91),$E$30,"")</f>
        <v/>
      </c>
      <c r="BC91" s="53">
        <f>IF(AND(BC$30,$O91),$F$30,"")</f>
        <v>16.100000000000001</v>
      </c>
      <c r="BD91" s="29">
        <f>IF(AND(BD$30,$O91),$C$30,"")</f>
        <v>23.6</v>
      </c>
      <c r="BE91" s="30" t="str">
        <f>IF(AND(BE$30,$O91),$D$30,"")</f>
        <v/>
      </c>
      <c r="BF91" s="30">
        <f>IF(AND(BF$30,$O91),$E$30,"")</f>
        <v>23</v>
      </c>
      <c r="BG91" s="53" t="str">
        <f>IF(AND(BG$30,$O91),$F$30,"")</f>
        <v/>
      </c>
      <c r="BH91" s="29">
        <f>IF(AND(BH$30,$O91),$C$30,"")</f>
        <v>23.6</v>
      </c>
      <c r="BI91" s="30" t="str">
        <f>IF(AND(BI$30,$O91),$D$30,"")</f>
        <v/>
      </c>
      <c r="BJ91" s="30">
        <f>IF(AND(BJ$30,$O91),$E$30,"")</f>
        <v>23</v>
      </c>
      <c r="BK91" s="53">
        <f>IF(AND(BK$30,$O91),$F$30,"")</f>
        <v>16.100000000000001</v>
      </c>
      <c r="BL91" s="29">
        <f>IF(AND(BL$30,$O91),$C$30,"")</f>
        <v>23.6</v>
      </c>
      <c r="BM91" s="30">
        <f>IF(AND(BM$30,$O91),$D$30,"")</f>
        <v>18.8</v>
      </c>
      <c r="BN91" s="30" t="str">
        <f>IF(AND(BN$30,$O91),$E$30,"")</f>
        <v/>
      </c>
      <c r="BO91" s="53" t="str">
        <f>IF(AND(BO$30,$O91),$F$30,"")</f>
        <v/>
      </c>
      <c r="BP91" s="29">
        <f>IF(AND(BP$30,$O91),$C$30,"")</f>
        <v>23.6</v>
      </c>
      <c r="BQ91" s="30">
        <f>IF(AND(BQ$30,$O91),$D$30,"")</f>
        <v>18.8</v>
      </c>
      <c r="BR91" s="30" t="str">
        <f>IF(AND(BR$30,$O91),$E$30,"")</f>
        <v/>
      </c>
      <c r="BS91" s="53">
        <f>IF(AND(BS$30,$O91),$F$30,"")</f>
        <v>16.100000000000001</v>
      </c>
      <c r="BT91" s="29">
        <f>IF(AND(BT$30,$O91),$C$30,"")</f>
        <v>23.6</v>
      </c>
      <c r="BU91" s="30">
        <f>IF(AND(BU$30,$O91),$D$30,"")</f>
        <v>18.8</v>
      </c>
      <c r="BV91" s="30">
        <f>IF(AND(BV$30,$O91),$E$30,"")</f>
        <v>23</v>
      </c>
      <c r="BW91" s="53" t="str">
        <f>IF(AND(BW$30,$O91),$F$30,"")</f>
        <v/>
      </c>
      <c r="BX91" s="29">
        <f>IF(AND(BX$30,$O91),$C$30,"")</f>
        <v>23.6</v>
      </c>
      <c r="BY91" s="30">
        <f>IF(AND(BY$30,$O91),$D$30,"")</f>
        <v>18.8</v>
      </c>
      <c r="BZ91" s="30">
        <f>IF(AND(BZ$30,$O91),$E$30,"")</f>
        <v>23</v>
      </c>
      <c r="CA91" s="53">
        <f>IF(AND(CA$30,$O91),$F$30,"")</f>
        <v>16.100000000000001</v>
      </c>
      <c r="CB91" s="29" t="str">
        <f>IF(AND(CB$30,$O91),$C$30,"")</f>
        <v/>
      </c>
      <c r="CC91" s="30" t="str">
        <f>IF(AND(CC$30,$O91),$D$30,"")</f>
        <v/>
      </c>
      <c r="CD91" s="30" t="str">
        <f>IF(AND(CD$30,$O91),$E$30,"")</f>
        <v/>
      </c>
      <c r="CE91" s="53" t="str">
        <f>IF(AND(CE$30,$O91),$F$30,"")</f>
        <v/>
      </c>
    </row>
    <row r="92" spans="12:83">
      <c r="L92" s="87"/>
      <c r="M92" s="36" t="str">
        <f t="shared" si="7"/>
        <v>T</v>
      </c>
      <c r="O92" s="82">
        <f>BinAnd(N91,T)</f>
        <v>4</v>
      </c>
      <c r="P92" s="31" t="str">
        <f>IF(AND(P$30,$O92),$C$31,"")</f>
        <v/>
      </c>
      <c r="Q92" s="32" t="str">
        <f>IF(AND(Q$30,$O92),$D$31,"")</f>
        <v/>
      </c>
      <c r="R92" s="32" t="str">
        <f>IF(AND(R$30,$O92),$E$31,"")</f>
        <v/>
      </c>
      <c r="S92" s="54" t="str">
        <f>IF(AND(S$30,$O92),$F$31,"")</f>
        <v/>
      </c>
      <c r="T92" s="31" t="str">
        <f>IF(AND(T$30,$O92),$C$31,"")</f>
        <v/>
      </c>
      <c r="U92" s="32" t="str">
        <f>IF(AND(U$30,$O92),$D$31,"")</f>
        <v/>
      </c>
      <c r="V92" s="32" t="str">
        <f>IF(AND(V$30,$O92),$E$31,"")</f>
        <v/>
      </c>
      <c r="W92" s="54">
        <f>IF(AND(W$30,$O92),$F$31,"")</f>
        <v>19.3</v>
      </c>
      <c r="X92" s="31" t="str">
        <f>IF(AND(X$30,$O92),$C$31,"")</f>
        <v/>
      </c>
      <c r="Y92" s="32" t="str">
        <f>IF(AND(Y$30,$O92),$D$31,"")</f>
        <v/>
      </c>
      <c r="Z92" s="32">
        <f>IF(AND(Z$30,$O92),$E$31,"")</f>
        <v>20.3</v>
      </c>
      <c r="AA92" s="54" t="str">
        <f>IF(AND(AA$30,$O92),$F$31,"")</f>
        <v/>
      </c>
      <c r="AB92" s="31" t="str">
        <f>IF(AND(AB$30,$O92),$C$31,"")</f>
        <v/>
      </c>
      <c r="AC92" s="32" t="str">
        <f>IF(AND(AC$30,$O92),$D$31,"")</f>
        <v/>
      </c>
      <c r="AD92" s="32">
        <f>IF(AND(AD$30,$O92),$E$31,"")</f>
        <v>20.3</v>
      </c>
      <c r="AE92" s="54">
        <f>IF(AND(AE$30,$O92),$F$31,"")</f>
        <v>19.3</v>
      </c>
      <c r="AF92" s="31" t="str">
        <f>IF(AND(AF$30,$O92),$C$31,"")</f>
        <v/>
      </c>
      <c r="AG92" s="32">
        <f>IF(AND(AG$30,$O92),$D$31,"")</f>
        <v>23.6</v>
      </c>
      <c r="AH92" s="32" t="str">
        <f>IF(AND(AH$30,$O92),$E$31,"")</f>
        <v/>
      </c>
      <c r="AI92" s="54" t="str">
        <f>IF(AND(AI$30,$O92),$F$31,"")</f>
        <v/>
      </c>
      <c r="AJ92" s="31" t="str">
        <f>IF(AND(AJ$30,$O92),$C$31,"")</f>
        <v/>
      </c>
      <c r="AK92" s="32">
        <f>IF(AND(AK$30,$O92),$D$31,"")</f>
        <v>23.6</v>
      </c>
      <c r="AL92" s="32" t="str">
        <f>IF(AND(AL$30,$O92),$E$31,"")</f>
        <v/>
      </c>
      <c r="AM92" s="54">
        <f>IF(AND(AM$30,$O92),$F$31,"")</f>
        <v>19.3</v>
      </c>
      <c r="AN92" s="31" t="str">
        <f>IF(AND(AN$30,$O92),$C$31,"")</f>
        <v/>
      </c>
      <c r="AO92" s="32">
        <f>IF(AND(AO$30,$O92),$D$31,"")</f>
        <v>23.6</v>
      </c>
      <c r="AP92" s="32">
        <f>IF(AND(AP$30,$O92),$E$31,"")</f>
        <v>20.3</v>
      </c>
      <c r="AQ92" s="54" t="str">
        <f>IF(AND(AQ$30,$O92),$F$31,"")</f>
        <v/>
      </c>
      <c r="AR92" s="31" t="str">
        <f>IF(AND(AR$30,$O92),$C$31,"")</f>
        <v/>
      </c>
      <c r="AS92" s="32">
        <f>IF(AND(AS$30,$O92),$D$31,"")</f>
        <v>23.6</v>
      </c>
      <c r="AT92" s="32">
        <f>IF(AND(AT$30,$O92),$E$31,"")</f>
        <v>20.3</v>
      </c>
      <c r="AU92" s="54">
        <f>IF(AND(AU$30,$O92),$F$31,"")</f>
        <v>19.3</v>
      </c>
      <c r="AV92" s="31">
        <f>IF(AND(AV$30,$O92),$C$31,"")</f>
        <v>18.5</v>
      </c>
      <c r="AW92" s="32" t="str">
        <f>IF(AND(AW$30,$O92),$D$31,"")</f>
        <v/>
      </c>
      <c r="AX92" s="32" t="str">
        <f>IF(AND(AX$30,$O92),$E$31,"")</f>
        <v/>
      </c>
      <c r="AY92" s="54" t="str">
        <f>IF(AND(AY$30,$O92),$F$31,"")</f>
        <v/>
      </c>
      <c r="AZ92" s="31">
        <f>IF(AND(AZ$30,$O92),$C$31,"")</f>
        <v>18.5</v>
      </c>
      <c r="BA92" s="32" t="str">
        <f>IF(AND(BA$30,$O92),$D$31,"")</f>
        <v/>
      </c>
      <c r="BB92" s="32" t="str">
        <f>IF(AND(BB$30,$O92),$E$31,"")</f>
        <v/>
      </c>
      <c r="BC92" s="54">
        <f>IF(AND(BC$30,$O92),$F$31,"")</f>
        <v>19.3</v>
      </c>
      <c r="BD92" s="31">
        <f>IF(AND(BD$30,$O92),$C$31,"")</f>
        <v>18.5</v>
      </c>
      <c r="BE92" s="32" t="str">
        <f>IF(AND(BE$30,$O92),$D$31,"")</f>
        <v/>
      </c>
      <c r="BF92" s="32">
        <f>IF(AND(BF$30,$O92),$E$31,"")</f>
        <v>20.3</v>
      </c>
      <c r="BG92" s="54" t="str">
        <f>IF(AND(BG$30,$O92),$F$31,"")</f>
        <v/>
      </c>
      <c r="BH92" s="31">
        <f>IF(AND(BH$30,$O92),$C$31,"")</f>
        <v>18.5</v>
      </c>
      <c r="BI92" s="32" t="str">
        <f>IF(AND(BI$30,$O92),$D$31,"")</f>
        <v/>
      </c>
      <c r="BJ92" s="32">
        <f>IF(AND(BJ$30,$O92),$E$31,"")</f>
        <v>20.3</v>
      </c>
      <c r="BK92" s="54">
        <f>IF(AND(BK$30,$O92),$F$31,"")</f>
        <v>19.3</v>
      </c>
      <c r="BL92" s="31">
        <f>IF(AND(BL$30,$O92),$C$31,"")</f>
        <v>18.5</v>
      </c>
      <c r="BM92" s="32">
        <f>IF(AND(BM$30,$O92),$D$31,"")</f>
        <v>23.6</v>
      </c>
      <c r="BN92" s="32" t="str">
        <f>IF(AND(BN$30,$O92),$E$31,"")</f>
        <v/>
      </c>
      <c r="BO92" s="54" t="str">
        <f>IF(AND(BO$30,$O92),$F$31,"")</f>
        <v/>
      </c>
      <c r="BP92" s="31">
        <f>IF(AND(BP$30,$O92),$C$31,"")</f>
        <v>18.5</v>
      </c>
      <c r="BQ92" s="32">
        <f>IF(AND(BQ$30,$O92),$D$31,"")</f>
        <v>23.6</v>
      </c>
      <c r="BR92" s="32" t="str">
        <f>IF(AND(BR$30,$O92),$E$31,"")</f>
        <v/>
      </c>
      <c r="BS92" s="54">
        <f>IF(AND(BS$30,$O92),$F$31,"")</f>
        <v>19.3</v>
      </c>
      <c r="BT92" s="31">
        <f>IF(AND(BT$30,$O92),$C$31,"")</f>
        <v>18.5</v>
      </c>
      <c r="BU92" s="32">
        <f>IF(AND(BU$30,$O92),$D$31,"")</f>
        <v>23.6</v>
      </c>
      <c r="BV92" s="32">
        <f>IF(AND(BV$30,$O92),$E$31,"")</f>
        <v>20.3</v>
      </c>
      <c r="BW92" s="54" t="str">
        <f>IF(AND(BW$30,$O92),$F$31,"")</f>
        <v/>
      </c>
      <c r="BX92" s="31">
        <f>IF(AND(BX$30,$O92),$C$31,"")</f>
        <v>18.5</v>
      </c>
      <c r="BY92" s="32">
        <f>IF(AND(BY$30,$O92),$D$31,"")</f>
        <v>23.6</v>
      </c>
      <c r="BZ92" s="32">
        <f>IF(AND(BZ$30,$O92),$E$31,"")</f>
        <v>20.3</v>
      </c>
      <c r="CA92" s="54">
        <f>IF(AND(CA$30,$O92),$F$31,"")</f>
        <v>19.3</v>
      </c>
      <c r="CB92" s="31" t="str">
        <f>IF(AND(CB$30,$O92),$C$31,"")</f>
        <v/>
      </c>
      <c r="CC92" s="32" t="str">
        <f>IF(AND(CC$30,$O92),$D$31,"")</f>
        <v/>
      </c>
      <c r="CD92" s="32" t="str">
        <f>IF(AND(CD$30,$O92),$E$31,"")</f>
        <v/>
      </c>
      <c r="CE92" s="54" t="str">
        <f>IF(AND(CE$30,$O92),$F$31,"")</f>
        <v/>
      </c>
    </row>
    <row r="93" spans="12:83">
      <c r="L93" s="87"/>
      <c r="M93" s="36" t="str">
        <f t="shared" si="7"/>
        <v>C</v>
      </c>
      <c r="O93" s="82">
        <f>BinAnd(N91,Ce)</f>
        <v>2</v>
      </c>
      <c r="P93" s="31" t="str">
        <f>IF(AND(P$30,$O93),$C$32,"")</f>
        <v/>
      </c>
      <c r="Q93" s="32" t="str">
        <f>IF(AND(Q$30,$O93),$D$32,"")</f>
        <v/>
      </c>
      <c r="R93" s="32" t="str">
        <f>IF(AND(R$30,$O93),$E$32,"")</f>
        <v/>
      </c>
      <c r="S93" s="54" t="str">
        <f>IF(AND(S$30,$O93),$F$32,"")</f>
        <v/>
      </c>
      <c r="T93" s="31" t="str">
        <f>IF(AND(T$30,$O93),$C$32,"")</f>
        <v/>
      </c>
      <c r="U93" s="32" t="str">
        <f>IF(AND(U$30,$O93),$D$32,"")</f>
        <v/>
      </c>
      <c r="V93" s="32" t="str">
        <f>IF(AND(V$30,$O93),$E$32,"")</f>
        <v/>
      </c>
      <c r="W93" s="54">
        <f>IF(AND(W$30,$O93),$F$32,"")</f>
        <v>25.5</v>
      </c>
      <c r="X93" s="31" t="str">
        <f>IF(AND(X$30,$O93),$C$32,"")</f>
        <v/>
      </c>
      <c r="Y93" s="32" t="str">
        <f>IF(AND(Y$30,$O93),$D$32,"")</f>
        <v/>
      </c>
      <c r="Z93" s="32">
        <f>IF(AND(Z$30,$O93),$E$32,"")</f>
        <v>15.6</v>
      </c>
      <c r="AA93" s="54" t="str">
        <f>IF(AND(AA$30,$O93),$F$32,"")</f>
        <v/>
      </c>
      <c r="AB93" s="31" t="str">
        <f>IF(AND(AB$30,$O93),$C$32,"")</f>
        <v/>
      </c>
      <c r="AC93" s="32" t="str">
        <f>IF(AND(AC$30,$O93),$D$32,"")</f>
        <v/>
      </c>
      <c r="AD93" s="32">
        <f>IF(AND(AD$30,$O93),$E$32,"")</f>
        <v>15.6</v>
      </c>
      <c r="AE93" s="54">
        <f>IF(AND(AE$30,$O93),$F$32,"")</f>
        <v>25.5</v>
      </c>
      <c r="AF93" s="31" t="str">
        <f>IF(AND(AF$30,$O93),$C$32,"")</f>
        <v/>
      </c>
      <c r="AG93" s="32">
        <f>IF(AND(AG$30,$O93),$D$32,"")</f>
        <v>16.100000000000001</v>
      </c>
      <c r="AH93" s="32" t="str">
        <f>IF(AND(AH$30,$O93),$E$32,"")</f>
        <v/>
      </c>
      <c r="AI93" s="54" t="str">
        <f>IF(AND(AI$30,$O93),$F$32,"")</f>
        <v/>
      </c>
      <c r="AJ93" s="31" t="str">
        <f>IF(AND(AJ$30,$O93),$C$32,"")</f>
        <v/>
      </c>
      <c r="AK93" s="32">
        <f>IF(AND(AK$30,$O93),$D$32,"")</f>
        <v>16.100000000000001</v>
      </c>
      <c r="AL93" s="32" t="str">
        <f>IF(AND(AL$30,$O93),$E$32,"")</f>
        <v/>
      </c>
      <c r="AM93" s="54">
        <f>IF(AND(AM$30,$O93),$F$32,"")</f>
        <v>25.5</v>
      </c>
      <c r="AN93" s="31" t="str">
        <f>IF(AND(AN$30,$O93),$C$32,"")</f>
        <v/>
      </c>
      <c r="AO93" s="32">
        <f>IF(AND(AO$30,$O93),$D$32,"")</f>
        <v>16.100000000000001</v>
      </c>
      <c r="AP93" s="32">
        <f>IF(AND(AP$30,$O93),$E$32,"")</f>
        <v>15.6</v>
      </c>
      <c r="AQ93" s="54" t="str">
        <f>IF(AND(AQ$30,$O93),$F$32,"")</f>
        <v/>
      </c>
      <c r="AR93" s="31" t="str">
        <f>IF(AND(AR$30,$O93),$C$32,"")</f>
        <v/>
      </c>
      <c r="AS93" s="32">
        <f>IF(AND(AS$30,$O93),$D$32,"")</f>
        <v>16.100000000000001</v>
      </c>
      <c r="AT93" s="32">
        <f>IF(AND(AT$30,$O93),$E$32,"")</f>
        <v>15.6</v>
      </c>
      <c r="AU93" s="54">
        <f>IF(AND(AU$30,$O93),$F$32,"")</f>
        <v>25.5</v>
      </c>
      <c r="AV93" s="31">
        <f>IF(AND(AV$30,$O93),$C$32,"")</f>
        <v>19.3</v>
      </c>
      <c r="AW93" s="32" t="str">
        <f>IF(AND(AW$30,$O93),$D$32,"")</f>
        <v/>
      </c>
      <c r="AX93" s="32" t="str">
        <f>IF(AND(AX$30,$O93),$E$32,"")</f>
        <v/>
      </c>
      <c r="AY93" s="54" t="str">
        <f>IF(AND(AY$30,$O93),$F$32,"")</f>
        <v/>
      </c>
      <c r="AZ93" s="31">
        <f>IF(AND(AZ$30,$O93),$C$32,"")</f>
        <v>19.3</v>
      </c>
      <c r="BA93" s="32" t="str">
        <f>IF(AND(BA$30,$O93),$D$32,"")</f>
        <v/>
      </c>
      <c r="BB93" s="32" t="str">
        <f>IF(AND(BB$30,$O93),$E$32,"")</f>
        <v/>
      </c>
      <c r="BC93" s="54">
        <f>IF(AND(BC$30,$O93),$F$32,"")</f>
        <v>25.5</v>
      </c>
      <c r="BD93" s="31">
        <f>IF(AND(BD$30,$O93),$C$32,"")</f>
        <v>19.3</v>
      </c>
      <c r="BE93" s="32" t="str">
        <f>IF(AND(BE$30,$O93),$D$32,"")</f>
        <v/>
      </c>
      <c r="BF93" s="32">
        <f>IF(AND(BF$30,$O93),$E$32,"")</f>
        <v>15.6</v>
      </c>
      <c r="BG93" s="54" t="str">
        <f>IF(AND(BG$30,$O93),$F$32,"")</f>
        <v/>
      </c>
      <c r="BH93" s="31">
        <f>IF(AND(BH$30,$O93),$C$32,"")</f>
        <v>19.3</v>
      </c>
      <c r="BI93" s="32" t="str">
        <f>IF(AND(BI$30,$O93),$D$32,"")</f>
        <v/>
      </c>
      <c r="BJ93" s="32">
        <f>IF(AND(BJ$30,$O93),$E$32,"")</f>
        <v>15.6</v>
      </c>
      <c r="BK93" s="54">
        <f>IF(AND(BK$30,$O93),$F$32,"")</f>
        <v>25.5</v>
      </c>
      <c r="BL93" s="31">
        <f>IF(AND(BL$30,$O93),$C$32,"")</f>
        <v>19.3</v>
      </c>
      <c r="BM93" s="32">
        <f>IF(AND(BM$30,$O93),$D$32,"")</f>
        <v>16.100000000000001</v>
      </c>
      <c r="BN93" s="32" t="str">
        <f>IF(AND(BN$30,$O93),$E$32,"")</f>
        <v/>
      </c>
      <c r="BO93" s="54" t="str">
        <f>IF(AND(BO$30,$O93),$F$32,"")</f>
        <v/>
      </c>
      <c r="BP93" s="31">
        <f>IF(AND(BP$30,$O93),$C$32,"")</f>
        <v>19.3</v>
      </c>
      <c r="BQ93" s="32">
        <f>IF(AND(BQ$30,$O93),$D$32,"")</f>
        <v>16.100000000000001</v>
      </c>
      <c r="BR93" s="32" t="str">
        <f>IF(AND(BR$30,$O93),$E$32,"")</f>
        <v/>
      </c>
      <c r="BS93" s="54">
        <f>IF(AND(BS$30,$O93),$F$32,"")</f>
        <v>25.5</v>
      </c>
      <c r="BT93" s="31">
        <f>IF(AND(BT$30,$O93),$C$32,"")</f>
        <v>19.3</v>
      </c>
      <c r="BU93" s="32">
        <f>IF(AND(BU$30,$O93),$D$32,"")</f>
        <v>16.100000000000001</v>
      </c>
      <c r="BV93" s="32">
        <f>IF(AND(BV$30,$O93),$E$32,"")</f>
        <v>15.6</v>
      </c>
      <c r="BW93" s="54" t="str">
        <f>IF(AND(BW$30,$O93),$F$32,"")</f>
        <v/>
      </c>
      <c r="BX93" s="31">
        <f>IF(AND(BX$30,$O93),$C$32,"")</f>
        <v>19.3</v>
      </c>
      <c r="BY93" s="32">
        <f>IF(AND(BY$30,$O93),$D$32,"")</f>
        <v>16.100000000000001</v>
      </c>
      <c r="BZ93" s="32">
        <f>IF(AND(BZ$30,$O93),$E$32,"")</f>
        <v>15.6</v>
      </c>
      <c r="CA93" s="54">
        <f>IF(AND(CA$30,$O93),$F$32,"")</f>
        <v>25.5</v>
      </c>
      <c r="CB93" s="31" t="str">
        <f>IF(AND(CB$30,$O93),$C$32,"")</f>
        <v/>
      </c>
      <c r="CC93" s="32" t="str">
        <f>IF(AND(CC$30,$O93),$D$32,"")</f>
        <v/>
      </c>
      <c r="CD93" s="32" t="str">
        <f>IF(AND(CD$30,$O93),$E$32,"")</f>
        <v/>
      </c>
      <c r="CE93" s="54" t="str">
        <f>IF(AND(CE$30,$O93),$F$32,"")</f>
        <v/>
      </c>
    </row>
    <row r="94" spans="12:83" ht="15.75" thickBot="1">
      <c r="L94" s="86"/>
      <c r="M94" s="37" t="str">
        <f t="shared" si="7"/>
        <v>G</v>
      </c>
      <c r="O94" s="43">
        <f>BinAnd(N91,G)</f>
        <v>1</v>
      </c>
      <c r="P94" s="55" t="str">
        <f>IF(AND(P$30,$O94),$C$33,"")</f>
        <v/>
      </c>
      <c r="Q94" s="56" t="str">
        <f>IF(AND(Q$30,$O94),$D$33,"")</f>
        <v/>
      </c>
      <c r="R94" s="56" t="str">
        <f>IF(AND(R$30,$O94),$E$33,"")</f>
        <v/>
      </c>
      <c r="S94" s="57" t="str">
        <f>IF(AND(S$30,$O94),$F$33,"")</f>
        <v/>
      </c>
      <c r="T94" s="55" t="str">
        <f>IF(AND(T$30,$O94),$C$33,"")</f>
        <v/>
      </c>
      <c r="U94" s="56" t="str">
        <f>IF(AND(U$30,$O94),$D$33,"")</f>
        <v/>
      </c>
      <c r="V94" s="56" t="str">
        <f>IF(AND(V$30,$O94),$E$33,"")</f>
        <v/>
      </c>
      <c r="W94" s="57">
        <f>IF(AND(W$30,$O94),$F$33,"")</f>
        <v>15.6</v>
      </c>
      <c r="X94" s="55" t="str">
        <f>IF(AND(X$30,$O94),$C$33,"")</f>
        <v/>
      </c>
      <c r="Y94" s="56" t="str">
        <f>IF(AND(Y$30,$O94),$D$33,"")</f>
        <v/>
      </c>
      <c r="Z94" s="56">
        <f>IF(AND(Z$30,$O94),$E$33,"")</f>
        <v>28.4</v>
      </c>
      <c r="AA94" s="57" t="str">
        <f>IF(AND(AA$30,$O94),$F$33,"")</f>
        <v/>
      </c>
      <c r="AB94" s="55" t="str">
        <f>IF(AND(AB$30,$O94),$C$33,"")</f>
        <v/>
      </c>
      <c r="AC94" s="56" t="str">
        <f>IF(AND(AC$30,$O94),$D$33,"")</f>
        <v/>
      </c>
      <c r="AD94" s="56">
        <f>IF(AND(AD$30,$O94),$E$33,"")</f>
        <v>28.4</v>
      </c>
      <c r="AE94" s="57">
        <f>IF(AND(AE$30,$O94),$F$33,"")</f>
        <v>15.6</v>
      </c>
      <c r="AF94" s="55" t="str">
        <f>IF(AND(AF$30,$O94),$C$33,"")</f>
        <v/>
      </c>
      <c r="AG94" s="56">
        <f>IF(AND(AG$30,$O94),$D$33,"")</f>
        <v>23</v>
      </c>
      <c r="AH94" s="56" t="str">
        <f>IF(AND(AH$30,$O94),$E$33,"")</f>
        <v/>
      </c>
      <c r="AI94" s="57" t="str">
        <f>IF(AND(AI$30,$O94),$F$33,"")</f>
        <v/>
      </c>
      <c r="AJ94" s="55" t="str">
        <f>IF(AND(AJ$30,$O94),$C$33,"")</f>
        <v/>
      </c>
      <c r="AK94" s="56">
        <f>IF(AND(AK$30,$O94),$D$33,"")</f>
        <v>23</v>
      </c>
      <c r="AL94" s="56" t="str">
        <f>IF(AND(AL$30,$O94),$E$33,"")</f>
        <v/>
      </c>
      <c r="AM94" s="57">
        <f>IF(AND(AM$30,$O94),$F$33,"")</f>
        <v>15.6</v>
      </c>
      <c r="AN94" s="55" t="str">
        <f>IF(AND(AN$30,$O94),$C$33,"")</f>
        <v/>
      </c>
      <c r="AO94" s="56">
        <f>IF(AND(AO$30,$O94),$D$33,"")</f>
        <v>23</v>
      </c>
      <c r="AP94" s="56">
        <f>IF(AND(AP$30,$O94),$E$33,"")</f>
        <v>28.4</v>
      </c>
      <c r="AQ94" s="57" t="str">
        <f>IF(AND(AQ$30,$O94),$F$33,"")</f>
        <v/>
      </c>
      <c r="AR94" s="55" t="str">
        <f>IF(AND(AR$30,$O94),$C$33,"")</f>
        <v/>
      </c>
      <c r="AS94" s="56">
        <f>IF(AND(AS$30,$O94),$D$33,"")</f>
        <v>23</v>
      </c>
      <c r="AT94" s="56">
        <f>IF(AND(AT$30,$O94),$E$33,"")</f>
        <v>28.4</v>
      </c>
      <c r="AU94" s="57">
        <f>IF(AND(AU$30,$O94),$F$33,"")</f>
        <v>15.6</v>
      </c>
      <c r="AV94" s="55">
        <f>IF(AND(AV$30,$O94),$C$33,"")</f>
        <v>20.3</v>
      </c>
      <c r="AW94" s="56" t="str">
        <f>IF(AND(AW$30,$O94),$D$33,"")</f>
        <v/>
      </c>
      <c r="AX94" s="56" t="str">
        <f>IF(AND(AX$30,$O94),$E$33,"")</f>
        <v/>
      </c>
      <c r="AY94" s="57" t="str">
        <f>IF(AND(AY$30,$O94),$F$33,"")</f>
        <v/>
      </c>
      <c r="AZ94" s="55">
        <f>IF(AND(AZ$30,$O94),$C$33,"")</f>
        <v>20.3</v>
      </c>
      <c r="BA94" s="56" t="str">
        <f>IF(AND(BA$30,$O94),$D$33,"")</f>
        <v/>
      </c>
      <c r="BB94" s="56" t="str">
        <f>IF(AND(BB$30,$O94),$E$33,"")</f>
        <v/>
      </c>
      <c r="BC94" s="57">
        <f>IF(AND(BC$30,$O94),$F$33,"")</f>
        <v>15.6</v>
      </c>
      <c r="BD94" s="55">
        <f>IF(AND(BD$30,$O94),$C$33,"")</f>
        <v>20.3</v>
      </c>
      <c r="BE94" s="56" t="str">
        <f>IF(AND(BE$30,$O94),$D$33,"")</f>
        <v/>
      </c>
      <c r="BF94" s="56">
        <f>IF(AND(BF$30,$O94),$E$33,"")</f>
        <v>28.4</v>
      </c>
      <c r="BG94" s="57" t="str">
        <f>IF(AND(BG$30,$O94),$F$33,"")</f>
        <v/>
      </c>
      <c r="BH94" s="55">
        <f>IF(AND(BH$30,$O94),$C$33,"")</f>
        <v>20.3</v>
      </c>
      <c r="BI94" s="56" t="str">
        <f>IF(AND(BI$30,$O94),$D$33,"")</f>
        <v/>
      </c>
      <c r="BJ94" s="56">
        <f>IF(AND(BJ$30,$O94),$E$33,"")</f>
        <v>28.4</v>
      </c>
      <c r="BK94" s="57">
        <f>IF(AND(BK$30,$O94),$F$33,"")</f>
        <v>15.6</v>
      </c>
      <c r="BL94" s="55">
        <f>IF(AND(BL$30,$O94),$C$33,"")</f>
        <v>20.3</v>
      </c>
      <c r="BM94" s="56">
        <f>IF(AND(BM$30,$O94),$D$33,"")</f>
        <v>23</v>
      </c>
      <c r="BN94" s="56" t="str">
        <f>IF(AND(BN$30,$O94),$E$33,"")</f>
        <v/>
      </c>
      <c r="BO94" s="57" t="str">
        <f>IF(AND(BO$30,$O94),$F$33,"")</f>
        <v/>
      </c>
      <c r="BP94" s="55">
        <f>IF(AND(BP$30,$O94),$C$33,"")</f>
        <v>20.3</v>
      </c>
      <c r="BQ94" s="56">
        <f>IF(AND(BQ$30,$O94),$D$33,"")</f>
        <v>23</v>
      </c>
      <c r="BR94" s="56" t="str">
        <f>IF(AND(BR$30,$O94),$E$33,"")</f>
        <v/>
      </c>
      <c r="BS94" s="57">
        <f>IF(AND(BS$30,$O94),$F$33,"")</f>
        <v>15.6</v>
      </c>
      <c r="BT94" s="55">
        <f>IF(AND(BT$30,$O94),$C$33,"")</f>
        <v>20.3</v>
      </c>
      <c r="BU94" s="56">
        <f>IF(AND(BU$30,$O94),$D$33,"")</f>
        <v>23</v>
      </c>
      <c r="BV94" s="56">
        <f>IF(AND(BV$30,$O94),$E$33,"")</f>
        <v>28.4</v>
      </c>
      <c r="BW94" s="57" t="str">
        <f>IF(AND(BW$30,$O94),$F$33,"")</f>
        <v/>
      </c>
      <c r="BX94" s="55">
        <f>IF(AND(BX$30,$O94),$C$33,"")</f>
        <v>20.3</v>
      </c>
      <c r="BY94" s="56">
        <f>IF(AND(BY$30,$O94),$D$33,"")</f>
        <v>23</v>
      </c>
      <c r="BZ94" s="56">
        <f>IF(AND(BZ$30,$O94),$E$33,"")</f>
        <v>28.4</v>
      </c>
      <c r="CA94" s="57">
        <f>IF(AND(CA$30,$O94),$F$33,"")</f>
        <v>15.6</v>
      </c>
      <c r="CB94" s="55" t="str">
        <f>IF(AND(CB$30,$O94),$C$33,"")</f>
        <v/>
      </c>
      <c r="CC94" s="56" t="str">
        <f>IF(AND(CC$30,$O94),$D$33,"")</f>
        <v/>
      </c>
      <c r="CD94" s="56" t="str">
        <f>IF(AND(CD$30,$O94),$E$33,"")</f>
        <v/>
      </c>
      <c r="CE94" s="57" t="str">
        <f>IF(AND(CE$30,$O94),$F$33,"")</f>
        <v/>
      </c>
    </row>
    <row r="95" spans="12:83">
      <c r="L95" s="83" t="str">
        <f>MID(CodDegElegir,N95+1,1)</f>
        <v/>
      </c>
      <c r="M95" s="85" t="str">
        <f t="shared" si="7"/>
        <v>-</v>
      </c>
      <c r="N95">
        <v>16</v>
      </c>
      <c r="O95" s="81">
        <f>BinAnd(N95,A)</f>
        <v>0</v>
      </c>
      <c r="P95" s="29" t="str">
        <f>IF(AND(P$30,$O95),$C$30,"")</f>
        <v/>
      </c>
      <c r="Q95" s="30" t="str">
        <f>IF(AND(Q$30,$O95),$D$30,"")</f>
        <v/>
      </c>
      <c r="R95" s="30" t="str">
        <f>IF(AND(R$30,$O95),$E$30,"")</f>
        <v/>
      </c>
      <c r="S95" s="53" t="str">
        <f>IF(AND(S$30,$O95),$F$30,"")</f>
        <v/>
      </c>
      <c r="T95" s="29" t="str">
        <f>IF(AND(T$30,$O95),$C$30,"")</f>
        <v/>
      </c>
      <c r="U95" s="30" t="str">
        <f>IF(AND(U$30,$O95),$D$30,"")</f>
        <v/>
      </c>
      <c r="V95" s="30" t="str">
        <f>IF(AND(V$30,$O95),$E$30,"")</f>
        <v/>
      </c>
      <c r="W95" s="53" t="str">
        <f>IF(AND(W$30,$O95),$F$30,"")</f>
        <v/>
      </c>
      <c r="X95" s="29" t="str">
        <f>IF(AND(X$30,$O95),$C$30,"")</f>
        <v/>
      </c>
      <c r="Y95" s="30" t="str">
        <f>IF(AND(Y$30,$O95),$D$30,"")</f>
        <v/>
      </c>
      <c r="Z95" s="30" t="str">
        <f>IF(AND(Z$30,$O95),$E$30,"")</f>
        <v/>
      </c>
      <c r="AA95" s="53" t="str">
        <f>IF(AND(AA$30,$O95),$F$30,"")</f>
        <v/>
      </c>
      <c r="AB95" s="29" t="str">
        <f>IF(AND(AB$30,$O95),$C$30,"")</f>
        <v/>
      </c>
      <c r="AC95" s="30" t="str">
        <f>IF(AND(AC$30,$O95),$D$30,"")</f>
        <v/>
      </c>
      <c r="AD95" s="30" t="str">
        <f>IF(AND(AD$30,$O95),$E$30,"")</f>
        <v/>
      </c>
      <c r="AE95" s="53" t="str">
        <f>IF(AND(AE$30,$O95),$F$30,"")</f>
        <v/>
      </c>
      <c r="AF95" s="29" t="str">
        <f>IF(AND(AF$30,$O95),$C$30,"")</f>
        <v/>
      </c>
      <c r="AG95" s="30" t="str">
        <f>IF(AND(AG$30,$O95),$D$30,"")</f>
        <v/>
      </c>
      <c r="AH95" s="30" t="str">
        <f>IF(AND(AH$30,$O95),$E$30,"")</f>
        <v/>
      </c>
      <c r="AI95" s="53" t="str">
        <f>IF(AND(AI$30,$O95),$F$30,"")</f>
        <v/>
      </c>
      <c r="AJ95" s="29" t="str">
        <f>IF(AND(AJ$30,$O95),$C$30,"")</f>
        <v/>
      </c>
      <c r="AK95" s="30" t="str">
        <f>IF(AND(AK$30,$O95),$D$30,"")</f>
        <v/>
      </c>
      <c r="AL95" s="30" t="str">
        <f>IF(AND(AL$30,$O95),$E$30,"")</f>
        <v/>
      </c>
      <c r="AM95" s="53" t="str">
        <f>IF(AND(AM$30,$O95),$F$30,"")</f>
        <v/>
      </c>
      <c r="AN95" s="29" t="str">
        <f>IF(AND(AN$30,$O95),$C$30,"")</f>
        <v/>
      </c>
      <c r="AO95" s="30" t="str">
        <f>IF(AND(AO$30,$O95),$D$30,"")</f>
        <v/>
      </c>
      <c r="AP95" s="30" t="str">
        <f>IF(AND(AP$30,$O95),$E$30,"")</f>
        <v/>
      </c>
      <c r="AQ95" s="53" t="str">
        <f>IF(AND(AQ$30,$O95),$F$30,"")</f>
        <v/>
      </c>
      <c r="AR95" s="29" t="str">
        <f>IF(AND(AR$30,$O95),$C$30,"")</f>
        <v/>
      </c>
      <c r="AS95" s="30" t="str">
        <f>IF(AND(AS$30,$O95),$D$30,"")</f>
        <v/>
      </c>
      <c r="AT95" s="30" t="str">
        <f>IF(AND(AT$30,$O95),$E$30,"")</f>
        <v/>
      </c>
      <c r="AU95" s="53" t="str">
        <f>IF(AND(AU$30,$O95),$F$30,"")</f>
        <v/>
      </c>
      <c r="AV95" s="29" t="str">
        <f>IF(AND(AV$30,$O95),$C$30,"")</f>
        <v/>
      </c>
      <c r="AW95" s="30" t="str">
        <f>IF(AND(AW$30,$O95),$D$30,"")</f>
        <v/>
      </c>
      <c r="AX95" s="30" t="str">
        <f>IF(AND(AX$30,$O95),$E$30,"")</f>
        <v/>
      </c>
      <c r="AY95" s="53" t="str">
        <f>IF(AND(AY$30,$O95),$F$30,"")</f>
        <v/>
      </c>
      <c r="AZ95" s="29" t="str">
        <f>IF(AND(AZ$30,$O95),$C$30,"")</f>
        <v/>
      </c>
      <c r="BA95" s="30" t="str">
        <f>IF(AND(BA$30,$O95),$D$30,"")</f>
        <v/>
      </c>
      <c r="BB95" s="30" t="str">
        <f>IF(AND(BB$30,$O95),$E$30,"")</f>
        <v/>
      </c>
      <c r="BC95" s="53" t="str">
        <f>IF(AND(BC$30,$O95),$F$30,"")</f>
        <v/>
      </c>
      <c r="BD95" s="29" t="str">
        <f>IF(AND(BD$30,$O95),$C$30,"")</f>
        <v/>
      </c>
      <c r="BE95" s="30" t="str">
        <f>IF(AND(BE$30,$O95),$D$30,"")</f>
        <v/>
      </c>
      <c r="BF95" s="30" t="str">
        <f>IF(AND(BF$30,$O95),$E$30,"")</f>
        <v/>
      </c>
      <c r="BG95" s="53" t="str">
        <f>IF(AND(BG$30,$O95),$F$30,"")</f>
        <v/>
      </c>
      <c r="BH95" s="29" t="str">
        <f>IF(AND(BH$30,$O95),$C$30,"")</f>
        <v/>
      </c>
      <c r="BI95" s="30" t="str">
        <f>IF(AND(BI$30,$O95),$D$30,"")</f>
        <v/>
      </c>
      <c r="BJ95" s="30" t="str">
        <f>IF(AND(BJ$30,$O95),$E$30,"")</f>
        <v/>
      </c>
      <c r="BK95" s="53" t="str">
        <f>IF(AND(BK$30,$O95),$F$30,"")</f>
        <v/>
      </c>
      <c r="BL95" s="29" t="str">
        <f>IF(AND(BL$30,$O95),$C$30,"")</f>
        <v/>
      </c>
      <c r="BM95" s="30" t="str">
        <f>IF(AND(BM$30,$O95),$D$30,"")</f>
        <v/>
      </c>
      <c r="BN95" s="30" t="str">
        <f>IF(AND(BN$30,$O95),$E$30,"")</f>
        <v/>
      </c>
      <c r="BO95" s="53" t="str">
        <f>IF(AND(BO$30,$O95),$F$30,"")</f>
        <v/>
      </c>
      <c r="BP95" s="29" t="str">
        <f>IF(AND(BP$30,$O95),$C$30,"")</f>
        <v/>
      </c>
      <c r="BQ95" s="30" t="str">
        <f>IF(AND(BQ$30,$O95),$D$30,"")</f>
        <v/>
      </c>
      <c r="BR95" s="30" t="str">
        <f>IF(AND(BR$30,$O95),$E$30,"")</f>
        <v/>
      </c>
      <c r="BS95" s="53" t="str">
        <f>IF(AND(BS$30,$O95),$F$30,"")</f>
        <v/>
      </c>
      <c r="BT95" s="29" t="str">
        <f>IF(AND(BT$30,$O95),$C$30,"")</f>
        <v/>
      </c>
      <c r="BU95" s="30" t="str">
        <f>IF(AND(BU$30,$O95),$D$30,"")</f>
        <v/>
      </c>
      <c r="BV95" s="30" t="str">
        <f>IF(AND(BV$30,$O95),$E$30,"")</f>
        <v/>
      </c>
      <c r="BW95" s="53" t="str">
        <f>IF(AND(BW$30,$O95),$F$30,"")</f>
        <v/>
      </c>
      <c r="BX95" s="29" t="str">
        <f>IF(AND(BX$30,$O95),$C$30,"")</f>
        <v/>
      </c>
      <c r="BY95" s="30" t="str">
        <f>IF(AND(BY$30,$O95),$D$30,"")</f>
        <v/>
      </c>
      <c r="BZ95" s="30" t="str">
        <f>IF(AND(BZ$30,$O95),$E$30,"")</f>
        <v/>
      </c>
      <c r="CA95" s="53" t="str">
        <f>IF(AND(CA$30,$O95),$F$30,"")</f>
        <v/>
      </c>
      <c r="CB95" s="29" t="str">
        <f>IF(AND(CB$30,$O95),$C$30,"")</f>
        <v/>
      </c>
      <c r="CC95" s="30" t="str">
        <f>IF(AND(CC$30,$O95),$D$30,"")</f>
        <v/>
      </c>
      <c r="CD95" s="30" t="str">
        <f>IF(AND(CD$30,$O95),$E$30,"")</f>
        <v/>
      </c>
      <c r="CE95" s="53" t="str">
        <f>IF(AND(CE$30,$O95),$F$30,"")</f>
        <v/>
      </c>
    </row>
    <row r="96" spans="12:83">
      <c r="L96" s="87"/>
      <c r="M96" s="36" t="str">
        <f t="shared" si="7"/>
        <v>-</v>
      </c>
      <c r="O96" s="82">
        <f>BinAnd(N95,T)</f>
        <v>0</v>
      </c>
      <c r="P96" s="31" t="str">
        <f>IF(AND(P$30,$O96),$C$31,"")</f>
        <v/>
      </c>
      <c r="Q96" s="32" t="str">
        <f>IF(AND(Q$30,$O96),$D$31,"")</f>
        <v/>
      </c>
      <c r="R96" s="32" t="str">
        <f>IF(AND(R$30,$O96),$E$31,"")</f>
        <v/>
      </c>
      <c r="S96" s="54" t="str">
        <f>IF(AND(S$30,$O96),$F$31,"")</f>
        <v/>
      </c>
      <c r="T96" s="31" t="str">
        <f>IF(AND(T$30,$O96),$C$31,"")</f>
        <v/>
      </c>
      <c r="U96" s="32" t="str">
        <f>IF(AND(U$30,$O96),$D$31,"")</f>
        <v/>
      </c>
      <c r="V96" s="32" t="str">
        <f>IF(AND(V$30,$O96),$E$31,"")</f>
        <v/>
      </c>
      <c r="W96" s="54" t="str">
        <f>IF(AND(W$30,$O96),$F$31,"")</f>
        <v/>
      </c>
      <c r="X96" s="31" t="str">
        <f>IF(AND(X$30,$O96),$C$31,"")</f>
        <v/>
      </c>
      <c r="Y96" s="32" t="str">
        <f>IF(AND(Y$30,$O96),$D$31,"")</f>
        <v/>
      </c>
      <c r="Z96" s="32" t="str">
        <f>IF(AND(Z$30,$O96),$E$31,"")</f>
        <v/>
      </c>
      <c r="AA96" s="54" t="str">
        <f>IF(AND(AA$30,$O96),$F$31,"")</f>
        <v/>
      </c>
      <c r="AB96" s="31" t="str">
        <f>IF(AND(AB$30,$O96),$C$31,"")</f>
        <v/>
      </c>
      <c r="AC96" s="32" t="str">
        <f>IF(AND(AC$30,$O96),$D$31,"")</f>
        <v/>
      </c>
      <c r="AD96" s="32" t="str">
        <f>IF(AND(AD$30,$O96),$E$31,"")</f>
        <v/>
      </c>
      <c r="AE96" s="54" t="str">
        <f>IF(AND(AE$30,$O96),$F$31,"")</f>
        <v/>
      </c>
      <c r="AF96" s="31" t="str">
        <f>IF(AND(AF$30,$O96),$C$31,"")</f>
        <v/>
      </c>
      <c r="AG96" s="32" t="str">
        <f>IF(AND(AG$30,$O96),$D$31,"")</f>
        <v/>
      </c>
      <c r="AH96" s="32" t="str">
        <f>IF(AND(AH$30,$O96),$E$31,"")</f>
        <v/>
      </c>
      <c r="AI96" s="54" t="str">
        <f>IF(AND(AI$30,$O96),$F$31,"")</f>
        <v/>
      </c>
      <c r="AJ96" s="31" t="str">
        <f>IF(AND(AJ$30,$O96),$C$31,"")</f>
        <v/>
      </c>
      <c r="AK96" s="32" t="str">
        <f>IF(AND(AK$30,$O96),$D$31,"")</f>
        <v/>
      </c>
      <c r="AL96" s="32" t="str">
        <f>IF(AND(AL$30,$O96),$E$31,"")</f>
        <v/>
      </c>
      <c r="AM96" s="54" t="str">
        <f>IF(AND(AM$30,$O96),$F$31,"")</f>
        <v/>
      </c>
      <c r="AN96" s="31" t="str">
        <f>IF(AND(AN$30,$O96),$C$31,"")</f>
        <v/>
      </c>
      <c r="AO96" s="32" t="str">
        <f>IF(AND(AO$30,$O96),$D$31,"")</f>
        <v/>
      </c>
      <c r="AP96" s="32" t="str">
        <f>IF(AND(AP$30,$O96),$E$31,"")</f>
        <v/>
      </c>
      <c r="AQ96" s="54" t="str">
        <f>IF(AND(AQ$30,$O96),$F$31,"")</f>
        <v/>
      </c>
      <c r="AR96" s="31" t="str">
        <f>IF(AND(AR$30,$O96),$C$31,"")</f>
        <v/>
      </c>
      <c r="AS96" s="32" t="str">
        <f>IF(AND(AS$30,$O96),$D$31,"")</f>
        <v/>
      </c>
      <c r="AT96" s="32" t="str">
        <f>IF(AND(AT$30,$O96),$E$31,"")</f>
        <v/>
      </c>
      <c r="AU96" s="54" t="str">
        <f>IF(AND(AU$30,$O96),$F$31,"")</f>
        <v/>
      </c>
      <c r="AV96" s="31" t="str">
        <f>IF(AND(AV$30,$O96),$C$31,"")</f>
        <v/>
      </c>
      <c r="AW96" s="32" t="str">
        <f>IF(AND(AW$30,$O96),$D$31,"")</f>
        <v/>
      </c>
      <c r="AX96" s="32" t="str">
        <f>IF(AND(AX$30,$O96),$E$31,"")</f>
        <v/>
      </c>
      <c r="AY96" s="54" t="str">
        <f>IF(AND(AY$30,$O96),$F$31,"")</f>
        <v/>
      </c>
      <c r="AZ96" s="31" t="str">
        <f>IF(AND(AZ$30,$O96),$C$31,"")</f>
        <v/>
      </c>
      <c r="BA96" s="32" t="str">
        <f>IF(AND(BA$30,$O96),$D$31,"")</f>
        <v/>
      </c>
      <c r="BB96" s="32" t="str">
        <f>IF(AND(BB$30,$O96),$E$31,"")</f>
        <v/>
      </c>
      <c r="BC96" s="54" t="str">
        <f>IF(AND(BC$30,$O96),$F$31,"")</f>
        <v/>
      </c>
      <c r="BD96" s="31" t="str">
        <f>IF(AND(BD$30,$O96),$C$31,"")</f>
        <v/>
      </c>
      <c r="BE96" s="32" t="str">
        <f>IF(AND(BE$30,$O96),$D$31,"")</f>
        <v/>
      </c>
      <c r="BF96" s="32" t="str">
        <f>IF(AND(BF$30,$O96),$E$31,"")</f>
        <v/>
      </c>
      <c r="BG96" s="54" t="str">
        <f>IF(AND(BG$30,$O96),$F$31,"")</f>
        <v/>
      </c>
      <c r="BH96" s="31" t="str">
        <f>IF(AND(BH$30,$O96),$C$31,"")</f>
        <v/>
      </c>
      <c r="BI96" s="32" t="str">
        <f>IF(AND(BI$30,$O96),$D$31,"")</f>
        <v/>
      </c>
      <c r="BJ96" s="32" t="str">
        <f>IF(AND(BJ$30,$O96),$E$31,"")</f>
        <v/>
      </c>
      <c r="BK96" s="54" t="str">
        <f>IF(AND(BK$30,$O96),$F$31,"")</f>
        <v/>
      </c>
      <c r="BL96" s="31" t="str">
        <f>IF(AND(BL$30,$O96),$C$31,"")</f>
        <v/>
      </c>
      <c r="BM96" s="32" t="str">
        <f>IF(AND(BM$30,$O96),$D$31,"")</f>
        <v/>
      </c>
      <c r="BN96" s="32" t="str">
        <f>IF(AND(BN$30,$O96),$E$31,"")</f>
        <v/>
      </c>
      <c r="BO96" s="54" t="str">
        <f>IF(AND(BO$30,$O96),$F$31,"")</f>
        <v/>
      </c>
      <c r="BP96" s="31" t="str">
        <f>IF(AND(BP$30,$O96),$C$31,"")</f>
        <v/>
      </c>
      <c r="BQ96" s="32" t="str">
        <f>IF(AND(BQ$30,$O96),$D$31,"")</f>
        <v/>
      </c>
      <c r="BR96" s="32" t="str">
        <f>IF(AND(BR$30,$O96),$E$31,"")</f>
        <v/>
      </c>
      <c r="BS96" s="54" t="str">
        <f>IF(AND(BS$30,$O96),$F$31,"")</f>
        <v/>
      </c>
      <c r="BT96" s="31" t="str">
        <f>IF(AND(BT$30,$O96),$C$31,"")</f>
        <v/>
      </c>
      <c r="BU96" s="32" t="str">
        <f>IF(AND(BU$30,$O96),$D$31,"")</f>
        <v/>
      </c>
      <c r="BV96" s="32" t="str">
        <f>IF(AND(BV$30,$O96),$E$31,"")</f>
        <v/>
      </c>
      <c r="BW96" s="54" t="str">
        <f>IF(AND(BW$30,$O96),$F$31,"")</f>
        <v/>
      </c>
      <c r="BX96" s="31" t="str">
        <f>IF(AND(BX$30,$O96),$C$31,"")</f>
        <v/>
      </c>
      <c r="BY96" s="32" t="str">
        <f>IF(AND(BY$30,$O96),$D$31,"")</f>
        <v/>
      </c>
      <c r="BZ96" s="32" t="str">
        <f>IF(AND(BZ$30,$O96),$E$31,"")</f>
        <v/>
      </c>
      <c r="CA96" s="54" t="str">
        <f>IF(AND(CA$30,$O96),$F$31,"")</f>
        <v/>
      </c>
      <c r="CB96" s="31" t="str">
        <f>IF(AND(CB$30,$O96),$C$31,"")</f>
        <v/>
      </c>
      <c r="CC96" s="32" t="str">
        <f>IF(AND(CC$30,$O96),$D$31,"")</f>
        <v/>
      </c>
      <c r="CD96" s="32" t="str">
        <f>IF(AND(CD$30,$O96),$E$31,"")</f>
        <v/>
      </c>
      <c r="CE96" s="54" t="str">
        <f>IF(AND(CE$30,$O96),$F$31,"")</f>
        <v/>
      </c>
    </row>
    <row r="97" spans="12:83">
      <c r="L97" s="87"/>
      <c r="M97" s="36" t="str">
        <f t="shared" si="7"/>
        <v>-</v>
      </c>
      <c r="O97" s="82">
        <f>BinAnd(N95,Ce)</f>
        <v>0</v>
      </c>
      <c r="P97" s="31" t="str">
        <f>IF(AND(P$30,$O97),$C$32,"")</f>
        <v/>
      </c>
      <c r="Q97" s="32" t="str">
        <f>IF(AND(Q$30,$O97),$D$32,"")</f>
        <v/>
      </c>
      <c r="R97" s="32" t="str">
        <f>IF(AND(R$30,$O97),$E$32,"")</f>
        <v/>
      </c>
      <c r="S97" s="54" t="str">
        <f>IF(AND(S$30,$O97),$F$32,"")</f>
        <v/>
      </c>
      <c r="T97" s="31" t="str">
        <f>IF(AND(T$30,$O97),$C$32,"")</f>
        <v/>
      </c>
      <c r="U97" s="32" t="str">
        <f>IF(AND(U$30,$O97),$D$32,"")</f>
        <v/>
      </c>
      <c r="V97" s="32" t="str">
        <f>IF(AND(V$30,$O97),$E$32,"")</f>
        <v/>
      </c>
      <c r="W97" s="54" t="str">
        <f>IF(AND(W$30,$O97),$F$32,"")</f>
        <v/>
      </c>
      <c r="X97" s="31" t="str">
        <f>IF(AND(X$30,$O97),$C$32,"")</f>
        <v/>
      </c>
      <c r="Y97" s="32" t="str">
        <f>IF(AND(Y$30,$O97),$D$32,"")</f>
        <v/>
      </c>
      <c r="Z97" s="32" t="str">
        <f>IF(AND(Z$30,$O97),$E$32,"")</f>
        <v/>
      </c>
      <c r="AA97" s="54" t="str">
        <f>IF(AND(AA$30,$O97),$F$32,"")</f>
        <v/>
      </c>
      <c r="AB97" s="31" t="str">
        <f>IF(AND(AB$30,$O97),$C$32,"")</f>
        <v/>
      </c>
      <c r="AC97" s="32" t="str">
        <f>IF(AND(AC$30,$O97),$D$32,"")</f>
        <v/>
      </c>
      <c r="AD97" s="32" t="str">
        <f>IF(AND(AD$30,$O97),$E$32,"")</f>
        <v/>
      </c>
      <c r="AE97" s="54" t="str">
        <f>IF(AND(AE$30,$O97),$F$32,"")</f>
        <v/>
      </c>
      <c r="AF97" s="31" t="str">
        <f>IF(AND(AF$30,$O97),$C$32,"")</f>
        <v/>
      </c>
      <c r="AG97" s="32" t="str">
        <f>IF(AND(AG$30,$O97),$D$32,"")</f>
        <v/>
      </c>
      <c r="AH97" s="32" t="str">
        <f>IF(AND(AH$30,$O97),$E$32,"")</f>
        <v/>
      </c>
      <c r="AI97" s="54" t="str">
        <f>IF(AND(AI$30,$O97),$F$32,"")</f>
        <v/>
      </c>
      <c r="AJ97" s="31" t="str">
        <f>IF(AND(AJ$30,$O97),$C$32,"")</f>
        <v/>
      </c>
      <c r="AK97" s="32" t="str">
        <f>IF(AND(AK$30,$O97),$D$32,"")</f>
        <v/>
      </c>
      <c r="AL97" s="32" t="str">
        <f>IF(AND(AL$30,$O97),$E$32,"")</f>
        <v/>
      </c>
      <c r="AM97" s="54" t="str">
        <f>IF(AND(AM$30,$O97),$F$32,"")</f>
        <v/>
      </c>
      <c r="AN97" s="31" t="str">
        <f>IF(AND(AN$30,$O97),$C$32,"")</f>
        <v/>
      </c>
      <c r="AO97" s="32" t="str">
        <f>IF(AND(AO$30,$O97),$D$32,"")</f>
        <v/>
      </c>
      <c r="AP97" s="32" t="str">
        <f>IF(AND(AP$30,$O97),$E$32,"")</f>
        <v/>
      </c>
      <c r="AQ97" s="54" t="str">
        <f>IF(AND(AQ$30,$O97),$F$32,"")</f>
        <v/>
      </c>
      <c r="AR97" s="31" t="str">
        <f>IF(AND(AR$30,$O97),$C$32,"")</f>
        <v/>
      </c>
      <c r="AS97" s="32" t="str">
        <f>IF(AND(AS$30,$O97),$D$32,"")</f>
        <v/>
      </c>
      <c r="AT97" s="32" t="str">
        <f>IF(AND(AT$30,$O97),$E$32,"")</f>
        <v/>
      </c>
      <c r="AU97" s="54" t="str">
        <f>IF(AND(AU$30,$O97),$F$32,"")</f>
        <v/>
      </c>
      <c r="AV97" s="31" t="str">
        <f>IF(AND(AV$30,$O97),$C$32,"")</f>
        <v/>
      </c>
      <c r="AW97" s="32" t="str">
        <f>IF(AND(AW$30,$O97),$D$32,"")</f>
        <v/>
      </c>
      <c r="AX97" s="32" t="str">
        <f>IF(AND(AX$30,$O97),$E$32,"")</f>
        <v/>
      </c>
      <c r="AY97" s="54" t="str">
        <f>IF(AND(AY$30,$O97),$F$32,"")</f>
        <v/>
      </c>
      <c r="AZ97" s="31" t="str">
        <f>IF(AND(AZ$30,$O97),$C$32,"")</f>
        <v/>
      </c>
      <c r="BA97" s="32" t="str">
        <f>IF(AND(BA$30,$O97),$D$32,"")</f>
        <v/>
      </c>
      <c r="BB97" s="32" t="str">
        <f>IF(AND(BB$30,$O97),$E$32,"")</f>
        <v/>
      </c>
      <c r="BC97" s="54" t="str">
        <f>IF(AND(BC$30,$O97),$F$32,"")</f>
        <v/>
      </c>
      <c r="BD97" s="31" t="str">
        <f>IF(AND(BD$30,$O97),$C$32,"")</f>
        <v/>
      </c>
      <c r="BE97" s="32" t="str">
        <f>IF(AND(BE$30,$O97),$D$32,"")</f>
        <v/>
      </c>
      <c r="BF97" s="32" t="str">
        <f>IF(AND(BF$30,$O97),$E$32,"")</f>
        <v/>
      </c>
      <c r="BG97" s="54" t="str">
        <f>IF(AND(BG$30,$O97),$F$32,"")</f>
        <v/>
      </c>
      <c r="BH97" s="31" t="str">
        <f>IF(AND(BH$30,$O97),$C$32,"")</f>
        <v/>
      </c>
      <c r="BI97" s="32" t="str">
        <f>IF(AND(BI$30,$O97),$D$32,"")</f>
        <v/>
      </c>
      <c r="BJ97" s="32" t="str">
        <f>IF(AND(BJ$30,$O97),$E$32,"")</f>
        <v/>
      </c>
      <c r="BK97" s="54" t="str">
        <f>IF(AND(BK$30,$O97),$F$32,"")</f>
        <v/>
      </c>
      <c r="BL97" s="31" t="str">
        <f>IF(AND(BL$30,$O97),$C$32,"")</f>
        <v/>
      </c>
      <c r="BM97" s="32" t="str">
        <f>IF(AND(BM$30,$O97),$D$32,"")</f>
        <v/>
      </c>
      <c r="BN97" s="32" t="str">
        <f>IF(AND(BN$30,$O97),$E$32,"")</f>
        <v/>
      </c>
      <c r="BO97" s="54" t="str">
        <f>IF(AND(BO$30,$O97),$F$32,"")</f>
        <v/>
      </c>
      <c r="BP97" s="31" t="str">
        <f>IF(AND(BP$30,$O97),$C$32,"")</f>
        <v/>
      </c>
      <c r="BQ97" s="32" t="str">
        <f>IF(AND(BQ$30,$O97),$D$32,"")</f>
        <v/>
      </c>
      <c r="BR97" s="32" t="str">
        <f>IF(AND(BR$30,$O97),$E$32,"")</f>
        <v/>
      </c>
      <c r="BS97" s="54" t="str">
        <f>IF(AND(BS$30,$O97),$F$32,"")</f>
        <v/>
      </c>
      <c r="BT97" s="31" t="str">
        <f>IF(AND(BT$30,$O97),$C$32,"")</f>
        <v/>
      </c>
      <c r="BU97" s="32" t="str">
        <f>IF(AND(BU$30,$O97),$D$32,"")</f>
        <v/>
      </c>
      <c r="BV97" s="32" t="str">
        <f>IF(AND(BV$30,$O97),$E$32,"")</f>
        <v/>
      </c>
      <c r="BW97" s="54" t="str">
        <f>IF(AND(BW$30,$O97),$F$32,"")</f>
        <v/>
      </c>
      <c r="BX97" s="31" t="str">
        <f>IF(AND(BX$30,$O97),$C$32,"")</f>
        <v/>
      </c>
      <c r="BY97" s="32" t="str">
        <f>IF(AND(BY$30,$O97),$D$32,"")</f>
        <v/>
      </c>
      <c r="BZ97" s="32" t="str">
        <f>IF(AND(BZ$30,$O97),$E$32,"")</f>
        <v/>
      </c>
      <c r="CA97" s="54" t="str">
        <f>IF(AND(CA$30,$O97),$F$32,"")</f>
        <v/>
      </c>
      <c r="CB97" s="31" t="str">
        <f>IF(AND(CB$30,$O97),$C$32,"")</f>
        <v/>
      </c>
      <c r="CC97" s="32" t="str">
        <f>IF(AND(CC$30,$O97),$D$32,"")</f>
        <v/>
      </c>
      <c r="CD97" s="32" t="str">
        <f>IF(AND(CD$30,$O97),$E$32,"")</f>
        <v/>
      </c>
      <c r="CE97" s="54" t="str">
        <f>IF(AND(CE$30,$O97),$F$32,"")</f>
        <v/>
      </c>
    </row>
    <row r="98" spans="12:83" ht="15.75" thickBot="1">
      <c r="L98" s="86"/>
      <c r="M98" s="37" t="str">
        <f t="shared" si="7"/>
        <v>-</v>
      </c>
      <c r="O98" s="43">
        <f>BinAnd(N95,G)</f>
        <v>0</v>
      </c>
      <c r="P98" s="55" t="str">
        <f>IF(AND(P$30,$O98),$C$33,"")</f>
        <v/>
      </c>
      <c r="Q98" s="56" t="str">
        <f>IF(AND(Q$30,$O98),$D$33,"")</f>
        <v/>
      </c>
      <c r="R98" s="56" t="str">
        <f>IF(AND(R$30,$O98),$E$33,"")</f>
        <v/>
      </c>
      <c r="S98" s="57" t="str">
        <f>IF(AND(S$30,$O98),$F$33,"")</f>
        <v/>
      </c>
      <c r="T98" s="55" t="str">
        <f>IF(AND(T$30,$O98),$C$33,"")</f>
        <v/>
      </c>
      <c r="U98" s="56" t="str">
        <f>IF(AND(U$30,$O98),$D$33,"")</f>
        <v/>
      </c>
      <c r="V98" s="56" t="str">
        <f>IF(AND(V$30,$O98),$E$33,"")</f>
        <v/>
      </c>
      <c r="W98" s="57" t="str">
        <f>IF(AND(W$30,$O98),$F$33,"")</f>
        <v/>
      </c>
      <c r="X98" s="55" t="str">
        <f>IF(AND(X$30,$O98),$C$33,"")</f>
        <v/>
      </c>
      <c r="Y98" s="56" t="str">
        <f>IF(AND(Y$30,$O98),$D$33,"")</f>
        <v/>
      </c>
      <c r="Z98" s="56" t="str">
        <f>IF(AND(Z$30,$O98),$E$33,"")</f>
        <v/>
      </c>
      <c r="AA98" s="57" t="str">
        <f>IF(AND(AA$30,$O98),$F$33,"")</f>
        <v/>
      </c>
      <c r="AB98" s="55" t="str">
        <f>IF(AND(AB$30,$O98),$C$33,"")</f>
        <v/>
      </c>
      <c r="AC98" s="56" t="str">
        <f>IF(AND(AC$30,$O98),$D$33,"")</f>
        <v/>
      </c>
      <c r="AD98" s="56" t="str">
        <f>IF(AND(AD$30,$O98),$E$33,"")</f>
        <v/>
      </c>
      <c r="AE98" s="57" t="str">
        <f>IF(AND(AE$30,$O98),$F$33,"")</f>
        <v/>
      </c>
      <c r="AF98" s="55" t="str">
        <f>IF(AND(AF$30,$O98),$C$33,"")</f>
        <v/>
      </c>
      <c r="AG98" s="56" t="str">
        <f>IF(AND(AG$30,$O98),$D$33,"")</f>
        <v/>
      </c>
      <c r="AH98" s="56" t="str">
        <f>IF(AND(AH$30,$O98),$E$33,"")</f>
        <v/>
      </c>
      <c r="AI98" s="57" t="str">
        <f>IF(AND(AI$30,$O98),$F$33,"")</f>
        <v/>
      </c>
      <c r="AJ98" s="55" t="str">
        <f>IF(AND(AJ$30,$O98),$C$33,"")</f>
        <v/>
      </c>
      <c r="AK98" s="56" t="str">
        <f>IF(AND(AK$30,$O98),$D$33,"")</f>
        <v/>
      </c>
      <c r="AL98" s="56" t="str">
        <f>IF(AND(AL$30,$O98),$E$33,"")</f>
        <v/>
      </c>
      <c r="AM98" s="57" t="str">
        <f>IF(AND(AM$30,$O98),$F$33,"")</f>
        <v/>
      </c>
      <c r="AN98" s="55" t="str">
        <f>IF(AND(AN$30,$O98),$C$33,"")</f>
        <v/>
      </c>
      <c r="AO98" s="56" t="str">
        <f>IF(AND(AO$30,$O98),$D$33,"")</f>
        <v/>
      </c>
      <c r="AP98" s="56" t="str">
        <f>IF(AND(AP$30,$O98),$E$33,"")</f>
        <v/>
      </c>
      <c r="AQ98" s="57" t="str">
        <f>IF(AND(AQ$30,$O98),$F$33,"")</f>
        <v/>
      </c>
      <c r="AR98" s="55" t="str">
        <f>IF(AND(AR$30,$O98),$C$33,"")</f>
        <v/>
      </c>
      <c r="AS98" s="56" t="str">
        <f>IF(AND(AS$30,$O98),$D$33,"")</f>
        <v/>
      </c>
      <c r="AT98" s="56" t="str">
        <f>IF(AND(AT$30,$O98),$E$33,"")</f>
        <v/>
      </c>
      <c r="AU98" s="57" t="str">
        <f>IF(AND(AU$30,$O98),$F$33,"")</f>
        <v/>
      </c>
      <c r="AV98" s="55" t="str">
        <f>IF(AND(AV$30,$O98),$C$33,"")</f>
        <v/>
      </c>
      <c r="AW98" s="56" t="str">
        <f>IF(AND(AW$30,$O98),$D$33,"")</f>
        <v/>
      </c>
      <c r="AX98" s="56" t="str">
        <f>IF(AND(AX$30,$O98),$E$33,"")</f>
        <v/>
      </c>
      <c r="AY98" s="57" t="str">
        <f>IF(AND(AY$30,$O98),$F$33,"")</f>
        <v/>
      </c>
      <c r="AZ98" s="55" t="str">
        <f>IF(AND(AZ$30,$O98),$C$33,"")</f>
        <v/>
      </c>
      <c r="BA98" s="56" t="str">
        <f>IF(AND(BA$30,$O98),$D$33,"")</f>
        <v/>
      </c>
      <c r="BB98" s="56" t="str">
        <f>IF(AND(BB$30,$O98),$E$33,"")</f>
        <v/>
      </c>
      <c r="BC98" s="57" t="str">
        <f>IF(AND(BC$30,$O98),$F$33,"")</f>
        <v/>
      </c>
      <c r="BD98" s="55" t="str">
        <f>IF(AND(BD$30,$O98),$C$33,"")</f>
        <v/>
      </c>
      <c r="BE98" s="56" t="str">
        <f>IF(AND(BE$30,$O98),$D$33,"")</f>
        <v/>
      </c>
      <c r="BF98" s="56" t="str">
        <f>IF(AND(BF$30,$O98),$E$33,"")</f>
        <v/>
      </c>
      <c r="BG98" s="57" t="str">
        <f>IF(AND(BG$30,$O98),$F$33,"")</f>
        <v/>
      </c>
      <c r="BH98" s="55" t="str">
        <f>IF(AND(BH$30,$O98),$C$33,"")</f>
        <v/>
      </c>
      <c r="BI98" s="56" t="str">
        <f>IF(AND(BI$30,$O98),$D$33,"")</f>
        <v/>
      </c>
      <c r="BJ98" s="56" t="str">
        <f>IF(AND(BJ$30,$O98),$E$33,"")</f>
        <v/>
      </c>
      <c r="BK98" s="57" t="str">
        <f>IF(AND(BK$30,$O98),$F$33,"")</f>
        <v/>
      </c>
      <c r="BL98" s="55" t="str">
        <f>IF(AND(BL$30,$O98),$C$33,"")</f>
        <v/>
      </c>
      <c r="BM98" s="56" t="str">
        <f>IF(AND(BM$30,$O98),$D$33,"")</f>
        <v/>
      </c>
      <c r="BN98" s="56" t="str">
        <f>IF(AND(BN$30,$O98),$E$33,"")</f>
        <v/>
      </c>
      <c r="BO98" s="57" t="str">
        <f>IF(AND(BO$30,$O98),$F$33,"")</f>
        <v/>
      </c>
      <c r="BP98" s="55" t="str">
        <f>IF(AND(BP$30,$O98),$C$33,"")</f>
        <v/>
      </c>
      <c r="BQ98" s="56" t="str">
        <f>IF(AND(BQ$30,$O98),$D$33,"")</f>
        <v/>
      </c>
      <c r="BR98" s="56" t="str">
        <f>IF(AND(BR$30,$O98),$E$33,"")</f>
        <v/>
      </c>
      <c r="BS98" s="57" t="str">
        <f>IF(AND(BS$30,$O98),$F$33,"")</f>
        <v/>
      </c>
      <c r="BT98" s="55" t="str">
        <f>IF(AND(BT$30,$O98),$C$33,"")</f>
        <v/>
      </c>
      <c r="BU98" s="56" t="str">
        <f>IF(AND(BU$30,$O98),$D$33,"")</f>
        <v/>
      </c>
      <c r="BV98" s="56" t="str">
        <f>IF(AND(BV$30,$O98),$E$33,"")</f>
        <v/>
      </c>
      <c r="BW98" s="57" t="str">
        <f>IF(AND(BW$30,$O98),$F$33,"")</f>
        <v/>
      </c>
      <c r="BX98" s="55" t="str">
        <f>IF(AND(BX$30,$O98),$C$33,"")</f>
        <v/>
      </c>
      <c r="BY98" s="56" t="str">
        <f>IF(AND(BY$30,$O98),$D$33,"")</f>
        <v/>
      </c>
      <c r="BZ98" s="56" t="str">
        <f>IF(AND(BZ$30,$O98),$E$33,"")</f>
        <v/>
      </c>
      <c r="CA98" s="57" t="str">
        <f>IF(AND(CA$30,$O98),$F$33,"")</f>
        <v/>
      </c>
      <c r="CB98" s="55" t="str">
        <f>IF(AND(CB$30,$O98),$C$33,"")</f>
        <v/>
      </c>
      <c r="CC98" s="56" t="str">
        <f>IF(AND(CC$30,$O98),$D$33,"")</f>
        <v/>
      </c>
      <c r="CD98" s="56" t="str">
        <f>IF(AND(CD$30,$O98),$E$33,"")</f>
        <v/>
      </c>
      <c r="CE98" s="57" t="str">
        <f>IF(AND(CE$30,$O98),$F$33,"")</f>
        <v/>
      </c>
    </row>
  </sheetData>
  <pageMargins left="0.7" right="0.7" top="0.78740157499999996" bottom="0.78740157499999996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I2G"/>
  <dimension ref="B1:M274"/>
  <sheetViews>
    <sheetView zoomScale="80" zoomScaleNormal="80" workbookViewId="0">
      <selection activeCell="F46" sqref="F46"/>
    </sheetView>
  </sheetViews>
  <sheetFormatPr baseColWidth="10" defaultRowHeight="12.75"/>
  <cols>
    <col min="1" max="1" width="5.7109375" style="5" customWidth="1"/>
    <col min="2" max="2" width="11.42578125" style="5"/>
    <col min="3" max="3" width="5" style="5" bestFit="1" customWidth="1"/>
    <col min="4" max="4" width="7.140625" style="165" bestFit="1" customWidth="1"/>
    <col min="5" max="5" width="11.42578125" style="5"/>
    <col min="6" max="6" width="13.7109375" style="5" bestFit="1" customWidth="1"/>
    <col min="7" max="16384" width="11.42578125" style="5"/>
  </cols>
  <sheetData>
    <row r="1" spans="2:13">
      <c r="D1" s="5"/>
    </row>
    <row r="2" spans="2:13">
      <c r="D2" s="5"/>
    </row>
    <row r="3" spans="2:13">
      <c r="D3" s="5"/>
    </row>
    <row r="4" spans="2:13">
      <c r="D4" s="5"/>
    </row>
    <row r="5" spans="2:13">
      <c r="D5" s="5"/>
    </row>
    <row r="6" spans="2:13" ht="13.5" thickBot="1">
      <c r="D6" s="5"/>
    </row>
    <row r="7" spans="2:13">
      <c r="D7" s="5"/>
      <c r="J7" s="6"/>
      <c r="K7" s="7"/>
      <c r="L7" s="7"/>
      <c r="M7" s="8"/>
    </row>
    <row r="8" spans="2:13">
      <c r="D8" s="5"/>
      <c r="J8" s="9"/>
      <c r="K8" s="10"/>
      <c r="L8" s="10"/>
      <c r="M8" s="11"/>
    </row>
    <row r="9" spans="2:13">
      <c r="D9" s="5"/>
      <c r="J9" s="9"/>
      <c r="K9" s="10"/>
      <c r="L9" s="10"/>
      <c r="M9" s="11">
        <f>LN(I_senc)/(G_senc-G_sat)</f>
        <v>-1.463125374940091</v>
      </c>
    </row>
    <row r="10" spans="2:13">
      <c r="D10" s="5"/>
      <c r="J10" s="9"/>
      <c r="K10" s="10"/>
      <c r="L10" s="10"/>
      <c r="M10" s="11"/>
    </row>
    <row r="11" spans="2:13" ht="13.5" thickBot="1">
      <c r="D11" s="5"/>
      <c r="J11" s="12"/>
      <c r="K11" s="13"/>
      <c r="L11" s="13"/>
      <c r="M11" s="14"/>
    </row>
    <row r="12" spans="2:13" ht="13.5" thickBot="1">
      <c r="D12" s="5"/>
    </row>
    <row r="13" spans="2:13" ht="24.75">
      <c r="B13" s="159" t="s">
        <v>159</v>
      </c>
      <c r="C13" s="160">
        <v>0.2</v>
      </c>
      <c r="D13" s="5"/>
      <c r="J13" s="6"/>
      <c r="K13" s="7"/>
      <c r="L13" s="7"/>
      <c r="M13" s="8"/>
    </row>
    <row r="14" spans="2:13" ht="24.75">
      <c r="B14" s="161" t="s">
        <v>160</v>
      </c>
      <c r="C14" s="162">
        <v>1</v>
      </c>
      <c r="D14" s="5"/>
      <c r="J14" s="9"/>
      <c r="K14" s="10"/>
      <c r="L14" s="10"/>
      <c r="M14" s="11">
        <f>EXP(-G_sat*ro)</f>
        <v>3.7315094774875983</v>
      </c>
    </row>
    <row r="15" spans="2:13" ht="25.5" thickBot="1">
      <c r="B15" s="161" t="s">
        <v>161</v>
      </c>
      <c r="C15" s="162">
        <v>2</v>
      </c>
      <c r="D15" s="5"/>
      <c r="J15" s="12"/>
      <c r="K15" s="13"/>
      <c r="L15" s="13"/>
      <c r="M15" s="14"/>
    </row>
    <row r="16" spans="2:13" ht="25.5" thickBot="1">
      <c r="B16" s="163" t="s">
        <v>162</v>
      </c>
      <c r="C16" s="164">
        <v>0.9</v>
      </c>
      <c r="D16" s="5"/>
    </row>
    <row r="20" spans="2:4">
      <c r="B20" s="5" t="s">
        <v>163</v>
      </c>
      <c r="C20" s="165">
        <v>0.1</v>
      </c>
    </row>
    <row r="21" spans="2:4" ht="13.5" thickBot="1"/>
    <row r="22" spans="2:4" ht="21.75" thickBot="1">
      <c r="C22" s="166" t="s">
        <v>164</v>
      </c>
      <c r="D22" s="159" t="s">
        <v>165</v>
      </c>
    </row>
    <row r="23" spans="2:4" ht="13.5" thickTop="1">
      <c r="C23" s="167">
        <v>-10</v>
      </c>
      <c r="D23" s="168">
        <f t="shared" ref="D23:D86" si="0">IF(C23&lt;G_sat,1,te*EXP(C23*ro))</f>
        <v>1</v>
      </c>
    </row>
    <row r="24" spans="2:4">
      <c r="C24" s="169">
        <f t="shared" ref="C24:C87" si="1">C23+Gstep</f>
        <v>-9.9</v>
      </c>
      <c r="D24" s="168">
        <f t="shared" si="0"/>
        <v>1</v>
      </c>
    </row>
    <row r="25" spans="2:4">
      <c r="C25" s="169">
        <f t="shared" si="1"/>
        <v>-9.8000000000000007</v>
      </c>
      <c r="D25" s="168">
        <f t="shared" si="0"/>
        <v>1</v>
      </c>
    </row>
    <row r="26" spans="2:4">
      <c r="C26" s="169">
        <f t="shared" si="1"/>
        <v>-9.7000000000000011</v>
      </c>
      <c r="D26" s="168">
        <f t="shared" si="0"/>
        <v>1</v>
      </c>
    </row>
    <row r="27" spans="2:4">
      <c r="C27" s="169">
        <f t="shared" si="1"/>
        <v>-9.6000000000000014</v>
      </c>
      <c r="D27" s="168">
        <f t="shared" si="0"/>
        <v>1</v>
      </c>
    </row>
    <row r="28" spans="2:4">
      <c r="C28" s="169">
        <f t="shared" si="1"/>
        <v>-9.5000000000000018</v>
      </c>
      <c r="D28" s="168">
        <f t="shared" si="0"/>
        <v>1</v>
      </c>
    </row>
    <row r="29" spans="2:4">
      <c r="C29" s="169">
        <f t="shared" si="1"/>
        <v>-9.4000000000000021</v>
      </c>
      <c r="D29" s="168">
        <f t="shared" si="0"/>
        <v>1</v>
      </c>
    </row>
    <row r="30" spans="2:4">
      <c r="C30" s="169">
        <f t="shared" si="1"/>
        <v>-9.3000000000000025</v>
      </c>
      <c r="D30" s="168">
        <f t="shared" si="0"/>
        <v>1</v>
      </c>
    </row>
    <row r="31" spans="2:4">
      <c r="C31" s="169">
        <f t="shared" si="1"/>
        <v>-9.2000000000000028</v>
      </c>
      <c r="D31" s="168">
        <f t="shared" si="0"/>
        <v>1</v>
      </c>
    </row>
    <row r="32" spans="2:4">
      <c r="C32" s="169">
        <f t="shared" si="1"/>
        <v>-9.1000000000000032</v>
      </c>
      <c r="D32" s="168">
        <f t="shared" si="0"/>
        <v>1</v>
      </c>
    </row>
    <row r="33" spans="3:6">
      <c r="C33" s="169">
        <f t="shared" si="1"/>
        <v>-9.0000000000000036</v>
      </c>
      <c r="D33" s="168">
        <f t="shared" si="0"/>
        <v>1</v>
      </c>
    </row>
    <row r="34" spans="3:6">
      <c r="C34" s="169">
        <f t="shared" si="1"/>
        <v>-8.9000000000000039</v>
      </c>
      <c r="D34" s="168">
        <f t="shared" si="0"/>
        <v>1</v>
      </c>
    </row>
    <row r="35" spans="3:6">
      <c r="C35" s="169">
        <f t="shared" si="1"/>
        <v>-8.8000000000000043</v>
      </c>
      <c r="D35" s="168">
        <f t="shared" si="0"/>
        <v>1</v>
      </c>
    </row>
    <row r="36" spans="3:6">
      <c r="C36" s="169">
        <f t="shared" si="1"/>
        <v>-8.7000000000000046</v>
      </c>
      <c r="D36" s="168">
        <f t="shared" si="0"/>
        <v>1</v>
      </c>
    </row>
    <row r="37" spans="3:6">
      <c r="C37" s="169">
        <f t="shared" si="1"/>
        <v>-8.600000000000005</v>
      </c>
      <c r="D37" s="168">
        <f t="shared" si="0"/>
        <v>1</v>
      </c>
    </row>
    <row r="38" spans="3:6">
      <c r="C38" s="169">
        <f t="shared" si="1"/>
        <v>-8.5000000000000053</v>
      </c>
      <c r="D38" s="168">
        <f t="shared" si="0"/>
        <v>1</v>
      </c>
      <c r="F38" s="170"/>
    </row>
    <row r="39" spans="3:6">
      <c r="C39" s="169">
        <f t="shared" si="1"/>
        <v>-8.4000000000000057</v>
      </c>
      <c r="D39" s="168">
        <f t="shared" si="0"/>
        <v>1</v>
      </c>
      <c r="F39" s="170"/>
    </row>
    <row r="40" spans="3:6">
      <c r="C40" s="169">
        <f t="shared" si="1"/>
        <v>-8.300000000000006</v>
      </c>
      <c r="D40" s="168">
        <f t="shared" si="0"/>
        <v>1</v>
      </c>
    </row>
    <row r="41" spans="3:6">
      <c r="C41" s="169">
        <f t="shared" si="1"/>
        <v>-8.2000000000000064</v>
      </c>
      <c r="D41" s="168">
        <f t="shared" si="0"/>
        <v>1</v>
      </c>
      <c r="F41" s="170"/>
    </row>
    <row r="42" spans="3:6">
      <c r="C42" s="169">
        <f t="shared" si="1"/>
        <v>-8.1000000000000068</v>
      </c>
      <c r="D42" s="168">
        <f t="shared" si="0"/>
        <v>1</v>
      </c>
      <c r="F42" s="170"/>
    </row>
    <row r="43" spans="3:6">
      <c r="C43" s="169">
        <f t="shared" si="1"/>
        <v>-8.0000000000000071</v>
      </c>
      <c r="D43" s="168">
        <f t="shared" si="0"/>
        <v>1</v>
      </c>
    </row>
    <row r="44" spans="3:6">
      <c r="C44" s="169">
        <f t="shared" si="1"/>
        <v>-7.9000000000000075</v>
      </c>
      <c r="D44" s="168">
        <f t="shared" si="0"/>
        <v>1</v>
      </c>
      <c r="F44" s="170"/>
    </row>
    <row r="45" spans="3:6">
      <c r="C45" s="169">
        <f t="shared" si="1"/>
        <v>-7.8000000000000078</v>
      </c>
      <c r="D45" s="168">
        <f t="shared" si="0"/>
        <v>1</v>
      </c>
    </row>
    <row r="46" spans="3:6">
      <c r="C46" s="169">
        <f t="shared" si="1"/>
        <v>-7.7000000000000082</v>
      </c>
      <c r="D46" s="168">
        <f t="shared" si="0"/>
        <v>1</v>
      </c>
    </row>
    <row r="47" spans="3:6">
      <c r="C47" s="169">
        <f t="shared" si="1"/>
        <v>-7.6000000000000085</v>
      </c>
      <c r="D47" s="168">
        <f t="shared" si="0"/>
        <v>1</v>
      </c>
    </row>
    <row r="48" spans="3:6">
      <c r="C48" s="169">
        <f t="shared" si="1"/>
        <v>-7.5000000000000089</v>
      </c>
      <c r="D48" s="168">
        <f t="shared" si="0"/>
        <v>1</v>
      </c>
    </row>
    <row r="49" spans="3:4">
      <c r="C49" s="169">
        <f t="shared" si="1"/>
        <v>-7.4000000000000092</v>
      </c>
      <c r="D49" s="168">
        <f t="shared" si="0"/>
        <v>1</v>
      </c>
    </row>
    <row r="50" spans="3:4">
      <c r="C50" s="169">
        <f t="shared" si="1"/>
        <v>-7.3000000000000096</v>
      </c>
      <c r="D50" s="168">
        <f t="shared" si="0"/>
        <v>1</v>
      </c>
    </row>
    <row r="51" spans="3:4">
      <c r="C51" s="169">
        <f t="shared" si="1"/>
        <v>-7.2000000000000099</v>
      </c>
      <c r="D51" s="168">
        <f t="shared" si="0"/>
        <v>1</v>
      </c>
    </row>
    <row r="52" spans="3:4">
      <c r="C52" s="169">
        <f t="shared" si="1"/>
        <v>-7.1000000000000103</v>
      </c>
      <c r="D52" s="168">
        <f t="shared" si="0"/>
        <v>1</v>
      </c>
    </row>
    <row r="53" spans="3:4">
      <c r="C53" s="169">
        <f t="shared" si="1"/>
        <v>-7.0000000000000107</v>
      </c>
      <c r="D53" s="168">
        <f t="shared" si="0"/>
        <v>1</v>
      </c>
    </row>
    <row r="54" spans="3:4">
      <c r="C54" s="169">
        <f t="shared" si="1"/>
        <v>-6.900000000000011</v>
      </c>
      <c r="D54" s="168">
        <f t="shared" si="0"/>
        <v>1</v>
      </c>
    </row>
    <row r="55" spans="3:4">
      <c r="C55" s="169">
        <f t="shared" si="1"/>
        <v>-6.8000000000000114</v>
      </c>
      <c r="D55" s="168">
        <f t="shared" si="0"/>
        <v>1</v>
      </c>
    </row>
    <row r="56" spans="3:4">
      <c r="C56" s="169">
        <f t="shared" si="1"/>
        <v>-6.7000000000000117</v>
      </c>
      <c r="D56" s="168">
        <f t="shared" si="0"/>
        <v>1</v>
      </c>
    </row>
    <row r="57" spans="3:4">
      <c r="C57" s="169">
        <f t="shared" si="1"/>
        <v>-6.6000000000000121</v>
      </c>
      <c r="D57" s="168">
        <f t="shared" si="0"/>
        <v>1</v>
      </c>
    </row>
    <row r="58" spans="3:4">
      <c r="C58" s="169">
        <f t="shared" si="1"/>
        <v>-6.5000000000000124</v>
      </c>
      <c r="D58" s="168">
        <f t="shared" si="0"/>
        <v>1</v>
      </c>
    </row>
    <row r="59" spans="3:4">
      <c r="C59" s="169">
        <f t="shared" si="1"/>
        <v>-6.4000000000000128</v>
      </c>
      <c r="D59" s="168">
        <f t="shared" si="0"/>
        <v>1</v>
      </c>
    </row>
    <row r="60" spans="3:4">
      <c r="C60" s="169">
        <f t="shared" si="1"/>
        <v>-6.3000000000000131</v>
      </c>
      <c r="D60" s="168">
        <f t="shared" si="0"/>
        <v>1</v>
      </c>
    </row>
    <row r="61" spans="3:4">
      <c r="C61" s="169">
        <f t="shared" si="1"/>
        <v>-6.2000000000000135</v>
      </c>
      <c r="D61" s="168">
        <f t="shared" si="0"/>
        <v>1</v>
      </c>
    </row>
    <row r="62" spans="3:4">
      <c r="C62" s="169">
        <f t="shared" si="1"/>
        <v>-6.1000000000000139</v>
      </c>
      <c r="D62" s="168">
        <f t="shared" si="0"/>
        <v>1</v>
      </c>
    </row>
    <row r="63" spans="3:4">
      <c r="C63" s="169">
        <f t="shared" si="1"/>
        <v>-6.0000000000000142</v>
      </c>
      <c r="D63" s="168">
        <f t="shared" si="0"/>
        <v>1</v>
      </c>
    </row>
    <row r="64" spans="3:4">
      <c r="C64" s="169">
        <f t="shared" si="1"/>
        <v>-5.9000000000000146</v>
      </c>
      <c r="D64" s="168">
        <f t="shared" si="0"/>
        <v>1</v>
      </c>
    </row>
    <row r="65" spans="3:4">
      <c r="C65" s="169">
        <f t="shared" si="1"/>
        <v>-5.8000000000000149</v>
      </c>
      <c r="D65" s="168">
        <f t="shared" si="0"/>
        <v>1</v>
      </c>
    </row>
    <row r="66" spans="3:4">
      <c r="C66" s="169">
        <f t="shared" si="1"/>
        <v>-5.7000000000000153</v>
      </c>
      <c r="D66" s="168">
        <f t="shared" si="0"/>
        <v>1</v>
      </c>
    </row>
    <row r="67" spans="3:4">
      <c r="C67" s="169">
        <f t="shared" si="1"/>
        <v>-5.6000000000000156</v>
      </c>
      <c r="D67" s="168">
        <f t="shared" si="0"/>
        <v>1</v>
      </c>
    </row>
    <row r="68" spans="3:4">
      <c r="C68" s="169">
        <f t="shared" si="1"/>
        <v>-5.500000000000016</v>
      </c>
      <c r="D68" s="168">
        <f t="shared" si="0"/>
        <v>1</v>
      </c>
    </row>
    <row r="69" spans="3:4">
      <c r="C69" s="169">
        <f t="shared" si="1"/>
        <v>-5.4000000000000163</v>
      </c>
      <c r="D69" s="168">
        <f t="shared" si="0"/>
        <v>1</v>
      </c>
    </row>
    <row r="70" spans="3:4">
      <c r="C70" s="169">
        <f t="shared" si="1"/>
        <v>-5.3000000000000167</v>
      </c>
      <c r="D70" s="168">
        <f t="shared" si="0"/>
        <v>1</v>
      </c>
    </row>
    <row r="71" spans="3:4">
      <c r="C71" s="169">
        <f t="shared" si="1"/>
        <v>-5.2000000000000171</v>
      </c>
      <c r="D71" s="168">
        <f t="shared" si="0"/>
        <v>1</v>
      </c>
    </row>
    <row r="72" spans="3:4">
      <c r="C72" s="169">
        <f t="shared" si="1"/>
        <v>-5.1000000000000174</v>
      </c>
      <c r="D72" s="168">
        <f t="shared" si="0"/>
        <v>1</v>
      </c>
    </row>
    <row r="73" spans="3:4">
      <c r="C73" s="169">
        <f t="shared" si="1"/>
        <v>-5.0000000000000178</v>
      </c>
      <c r="D73" s="168">
        <f t="shared" si="0"/>
        <v>1</v>
      </c>
    </row>
    <row r="74" spans="3:4">
      <c r="C74" s="169">
        <f t="shared" si="1"/>
        <v>-4.9000000000000181</v>
      </c>
      <c r="D74" s="168">
        <f t="shared" si="0"/>
        <v>1</v>
      </c>
    </row>
    <row r="75" spans="3:4">
      <c r="C75" s="169">
        <f t="shared" si="1"/>
        <v>-4.8000000000000185</v>
      </c>
      <c r="D75" s="168">
        <f t="shared" si="0"/>
        <v>1</v>
      </c>
    </row>
    <row r="76" spans="3:4">
      <c r="C76" s="169">
        <f t="shared" si="1"/>
        <v>-4.7000000000000188</v>
      </c>
      <c r="D76" s="168">
        <f t="shared" si="0"/>
        <v>1</v>
      </c>
    </row>
    <row r="77" spans="3:4">
      <c r="C77" s="169">
        <f t="shared" si="1"/>
        <v>-4.6000000000000192</v>
      </c>
      <c r="D77" s="168">
        <f t="shared" si="0"/>
        <v>1</v>
      </c>
    </row>
    <row r="78" spans="3:4">
      <c r="C78" s="169">
        <f t="shared" si="1"/>
        <v>-4.5000000000000195</v>
      </c>
      <c r="D78" s="168">
        <f t="shared" si="0"/>
        <v>1</v>
      </c>
    </row>
    <row r="79" spans="3:4">
      <c r="C79" s="169">
        <f t="shared" si="1"/>
        <v>-4.4000000000000199</v>
      </c>
      <c r="D79" s="168">
        <f t="shared" si="0"/>
        <v>1</v>
      </c>
    </row>
    <row r="80" spans="3:4">
      <c r="C80" s="169">
        <f t="shared" si="1"/>
        <v>-4.3000000000000203</v>
      </c>
      <c r="D80" s="168">
        <f t="shared" si="0"/>
        <v>1</v>
      </c>
    </row>
    <row r="81" spans="3:4">
      <c r="C81" s="169">
        <f t="shared" si="1"/>
        <v>-4.2000000000000206</v>
      </c>
      <c r="D81" s="168">
        <f t="shared" si="0"/>
        <v>1</v>
      </c>
    </row>
    <row r="82" spans="3:4">
      <c r="C82" s="169">
        <f t="shared" si="1"/>
        <v>-4.100000000000021</v>
      </c>
      <c r="D82" s="168">
        <f t="shared" si="0"/>
        <v>1</v>
      </c>
    </row>
    <row r="83" spans="3:4">
      <c r="C83" s="169">
        <f t="shared" si="1"/>
        <v>-4.0000000000000213</v>
      </c>
      <c r="D83" s="168">
        <f t="shared" si="0"/>
        <v>1</v>
      </c>
    </row>
    <row r="84" spans="3:4">
      <c r="C84" s="169">
        <f t="shared" si="1"/>
        <v>-3.9000000000000212</v>
      </c>
      <c r="D84" s="168">
        <f t="shared" si="0"/>
        <v>1</v>
      </c>
    </row>
    <row r="85" spans="3:4">
      <c r="C85" s="169">
        <f t="shared" si="1"/>
        <v>-3.8000000000000211</v>
      </c>
      <c r="D85" s="168">
        <f t="shared" si="0"/>
        <v>1</v>
      </c>
    </row>
    <row r="86" spans="3:4">
      <c r="C86" s="169">
        <f t="shared" si="1"/>
        <v>-3.700000000000021</v>
      </c>
      <c r="D86" s="168">
        <f t="shared" si="0"/>
        <v>1</v>
      </c>
    </row>
    <row r="87" spans="3:4">
      <c r="C87" s="169">
        <f t="shared" si="1"/>
        <v>-3.600000000000021</v>
      </c>
      <c r="D87" s="168">
        <f t="shared" ref="D87:D150" si="2">IF(C87&lt;G_sat,1,te*EXP(C87*ro))</f>
        <v>1</v>
      </c>
    </row>
    <row r="88" spans="3:4">
      <c r="C88" s="169">
        <f t="shared" ref="C88:C151" si="3">C87+Gstep</f>
        <v>-3.5000000000000209</v>
      </c>
      <c r="D88" s="168">
        <f t="shared" si="2"/>
        <v>1</v>
      </c>
    </row>
    <row r="89" spans="3:4">
      <c r="C89" s="169">
        <f t="shared" si="3"/>
        <v>-3.4000000000000208</v>
      </c>
      <c r="D89" s="168">
        <f t="shared" si="2"/>
        <v>1</v>
      </c>
    </row>
    <row r="90" spans="3:4">
      <c r="C90" s="169">
        <f t="shared" si="3"/>
        <v>-3.3000000000000207</v>
      </c>
      <c r="D90" s="168">
        <f t="shared" si="2"/>
        <v>1</v>
      </c>
    </row>
    <row r="91" spans="3:4">
      <c r="C91" s="169">
        <f t="shared" si="3"/>
        <v>-3.2000000000000206</v>
      </c>
      <c r="D91" s="168">
        <f t="shared" si="2"/>
        <v>1</v>
      </c>
    </row>
    <row r="92" spans="3:4">
      <c r="C92" s="169">
        <f t="shared" si="3"/>
        <v>-3.1000000000000205</v>
      </c>
      <c r="D92" s="168">
        <f t="shared" si="2"/>
        <v>1</v>
      </c>
    </row>
    <row r="93" spans="3:4">
      <c r="C93" s="169">
        <f t="shared" si="3"/>
        <v>-3.0000000000000204</v>
      </c>
      <c r="D93" s="168">
        <f t="shared" si="2"/>
        <v>1</v>
      </c>
    </row>
    <row r="94" spans="3:4">
      <c r="C94" s="169">
        <f t="shared" si="3"/>
        <v>-2.9000000000000203</v>
      </c>
      <c r="D94" s="168">
        <f t="shared" si="2"/>
        <v>1</v>
      </c>
    </row>
    <row r="95" spans="3:4">
      <c r="C95" s="169">
        <f t="shared" si="3"/>
        <v>-2.8000000000000203</v>
      </c>
      <c r="D95" s="168">
        <f t="shared" si="2"/>
        <v>1</v>
      </c>
    </row>
    <row r="96" spans="3:4">
      <c r="C96" s="169">
        <f t="shared" si="3"/>
        <v>-2.7000000000000202</v>
      </c>
      <c r="D96" s="168">
        <f t="shared" si="2"/>
        <v>1</v>
      </c>
    </row>
    <row r="97" spans="3:4">
      <c r="C97" s="169">
        <f t="shared" si="3"/>
        <v>-2.6000000000000201</v>
      </c>
      <c r="D97" s="168">
        <f t="shared" si="2"/>
        <v>1</v>
      </c>
    </row>
    <row r="98" spans="3:4">
      <c r="C98" s="169">
        <f t="shared" si="3"/>
        <v>-2.50000000000002</v>
      </c>
      <c r="D98" s="168">
        <f t="shared" si="2"/>
        <v>1</v>
      </c>
    </row>
    <row r="99" spans="3:4">
      <c r="C99" s="169">
        <f t="shared" si="3"/>
        <v>-2.4000000000000199</v>
      </c>
      <c r="D99" s="168">
        <f t="shared" si="2"/>
        <v>1</v>
      </c>
    </row>
    <row r="100" spans="3:4">
      <c r="C100" s="169">
        <f t="shared" si="3"/>
        <v>-2.3000000000000198</v>
      </c>
      <c r="D100" s="168">
        <f t="shared" si="2"/>
        <v>1</v>
      </c>
    </row>
    <row r="101" spans="3:4">
      <c r="C101" s="169">
        <f t="shared" si="3"/>
        <v>-2.2000000000000197</v>
      </c>
      <c r="D101" s="168">
        <f t="shared" si="2"/>
        <v>1</v>
      </c>
    </row>
    <row r="102" spans="3:4">
      <c r="C102" s="169">
        <f t="shared" si="3"/>
        <v>-2.1000000000000196</v>
      </c>
      <c r="D102" s="168">
        <f t="shared" si="2"/>
        <v>1</v>
      </c>
    </row>
    <row r="103" spans="3:4">
      <c r="C103" s="169">
        <f t="shared" si="3"/>
        <v>-2.0000000000000195</v>
      </c>
      <c r="D103" s="168">
        <f t="shared" si="2"/>
        <v>1</v>
      </c>
    </row>
    <row r="104" spans="3:4">
      <c r="C104" s="169">
        <f t="shared" si="3"/>
        <v>-1.9000000000000195</v>
      </c>
      <c r="D104" s="168">
        <f t="shared" si="2"/>
        <v>1</v>
      </c>
    </row>
    <row r="105" spans="3:4">
      <c r="C105" s="169">
        <f t="shared" si="3"/>
        <v>-1.8000000000000194</v>
      </c>
      <c r="D105" s="168">
        <f t="shared" si="2"/>
        <v>1</v>
      </c>
    </row>
    <row r="106" spans="3:4">
      <c r="C106" s="169">
        <f t="shared" si="3"/>
        <v>-1.7000000000000193</v>
      </c>
      <c r="D106" s="168">
        <f t="shared" si="2"/>
        <v>1</v>
      </c>
    </row>
    <row r="107" spans="3:4">
      <c r="C107" s="169">
        <f t="shared" si="3"/>
        <v>-1.6000000000000192</v>
      </c>
      <c r="D107" s="168">
        <f t="shared" si="2"/>
        <v>1</v>
      </c>
    </row>
    <row r="108" spans="3:4">
      <c r="C108" s="169">
        <f t="shared" si="3"/>
        <v>-1.5000000000000191</v>
      </c>
      <c r="D108" s="168">
        <f t="shared" si="2"/>
        <v>1</v>
      </c>
    </row>
    <row r="109" spans="3:4">
      <c r="C109" s="169">
        <f t="shared" si="3"/>
        <v>-1.400000000000019</v>
      </c>
      <c r="D109" s="168">
        <f t="shared" si="2"/>
        <v>1</v>
      </c>
    </row>
    <row r="110" spans="3:4">
      <c r="C110" s="169">
        <f t="shared" si="3"/>
        <v>-1.3000000000000189</v>
      </c>
      <c r="D110" s="168">
        <f t="shared" si="2"/>
        <v>1</v>
      </c>
    </row>
    <row r="111" spans="3:4">
      <c r="C111" s="169">
        <f t="shared" si="3"/>
        <v>-1.2000000000000188</v>
      </c>
      <c r="D111" s="168">
        <f t="shared" si="2"/>
        <v>1</v>
      </c>
    </row>
    <row r="112" spans="3:4">
      <c r="C112" s="169">
        <f t="shared" si="3"/>
        <v>-1.1000000000000187</v>
      </c>
      <c r="D112" s="168">
        <f t="shared" si="2"/>
        <v>1</v>
      </c>
    </row>
    <row r="113" spans="3:4">
      <c r="C113" s="169">
        <f t="shared" si="3"/>
        <v>-1.0000000000000187</v>
      </c>
      <c r="D113" s="168">
        <f t="shared" si="2"/>
        <v>1</v>
      </c>
    </row>
    <row r="114" spans="3:4">
      <c r="C114" s="169">
        <f t="shared" si="3"/>
        <v>-0.90000000000001867</v>
      </c>
      <c r="D114" s="168">
        <f t="shared" si="2"/>
        <v>1</v>
      </c>
    </row>
    <row r="115" spans="3:4">
      <c r="C115" s="169">
        <f t="shared" si="3"/>
        <v>-0.8000000000000187</v>
      </c>
      <c r="D115" s="168">
        <f t="shared" si="2"/>
        <v>1</v>
      </c>
    </row>
    <row r="116" spans="3:4">
      <c r="C116" s="169">
        <f t="shared" si="3"/>
        <v>-0.70000000000001872</v>
      </c>
      <c r="D116" s="168">
        <f t="shared" si="2"/>
        <v>1</v>
      </c>
    </row>
    <row r="117" spans="3:4">
      <c r="C117" s="169">
        <f t="shared" si="3"/>
        <v>-0.60000000000001874</v>
      </c>
      <c r="D117" s="168">
        <f t="shared" si="2"/>
        <v>1</v>
      </c>
    </row>
    <row r="118" spans="3:4">
      <c r="C118" s="169">
        <f t="shared" si="3"/>
        <v>-0.50000000000001876</v>
      </c>
      <c r="D118" s="168">
        <f t="shared" si="2"/>
        <v>1</v>
      </c>
    </row>
    <row r="119" spans="3:4">
      <c r="C119" s="169">
        <f t="shared" si="3"/>
        <v>-0.40000000000001878</v>
      </c>
      <c r="D119" s="168">
        <f t="shared" si="2"/>
        <v>1</v>
      </c>
    </row>
    <row r="120" spans="3:4">
      <c r="C120" s="169">
        <f t="shared" si="3"/>
        <v>-0.30000000000001881</v>
      </c>
      <c r="D120" s="168">
        <f t="shared" si="2"/>
        <v>1</v>
      </c>
    </row>
    <row r="121" spans="3:4">
      <c r="C121" s="169">
        <f t="shared" si="3"/>
        <v>-0.2000000000000188</v>
      </c>
      <c r="D121" s="168">
        <f t="shared" si="2"/>
        <v>1</v>
      </c>
    </row>
    <row r="122" spans="3:4">
      <c r="C122" s="169">
        <f t="shared" si="3"/>
        <v>-0.1000000000000188</v>
      </c>
      <c r="D122" s="168">
        <f t="shared" si="2"/>
        <v>1</v>
      </c>
    </row>
    <row r="123" spans="3:4">
      <c r="C123" s="169">
        <f t="shared" si="3"/>
        <v>-1.8790524691780774E-14</v>
      </c>
      <c r="D123" s="168">
        <f t="shared" si="2"/>
        <v>1</v>
      </c>
    </row>
    <row r="124" spans="3:4">
      <c r="C124" s="169">
        <f t="shared" si="3"/>
        <v>9.9999999999981215E-2</v>
      </c>
      <c r="D124" s="168">
        <f t="shared" si="2"/>
        <v>1</v>
      </c>
    </row>
    <row r="125" spans="3:4">
      <c r="C125" s="169">
        <f t="shared" si="3"/>
        <v>0.19999999999998122</v>
      </c>
      <c r="D125" s="168">
        <f t="shared" si="2"/>
        <v>1</v>
      </c>
    </row>
    <row r="126" spans="3:4">
      <c r="C126" s="169">
        <f t="shared" si="3"/>
        <v>0.29999999999998123</v>
      </c>
      <c r="D126" s="168">
        <f t="shared" si="2"/>
        <v>1</v>
      </c>
    </row>
    <row r="127" spans="3:4">
      <c r="C127" s="169">
        <f t="shared" si="3"/>
        <v>0.39999999999998126</v>
      </c>
      <c r="D127" s="168">
        <f t="shared" si="2"/>
        <v>1</v>
      </c>
    </row>
    <row r="128" spans="3:4">
      <c r="C128" s="169">
        <f t="shared" si="3"/>
        <v>0.49999999999998124</v>
      </c>
      <c r="D128" s="168">
        <f t="shared" si="2"/>
        <v>1</v>
      </c>
    </row>
    <row r="129" spans="3:4">
      <c r="C129" s="169">
        <f t="shared" si="3"/>
        <v>0.59999999999998122</v>
      </c>
      <c r="D129" s="168">
        <f t="shared" si="2"/>
        <v>1</v>
      </c>
    </row>
    <row r="130" spans="3:4">
      <c r="C130" s="169">
        <f t="shared" si="3"/>
        <v>0.69999999999998119</v>
      </c>
      <c r="D130" s="168">
        <f t="shared" si="2"/>
        <v>1</v>
      </c>
    </row>
    <row r="131" spans="3:4">
      <c r="C131" s="169">
        <f t="shared" si="3"/>
        <v>0.79999999999998117</v>
      </c>
      <c r="D131" s="168">
        <f t="shared" si="2"/>
        <v>1</v>
      </c>
    </row>
    <row r="132" spans="3:4">
      <c r="C132" s="169">
        <f t="shared" si="3"/>
        <v>0.89999999999998115</v>
      </c>
      <c r="D132" s="168">
        <f t="shared" si="2"/>
        <v>1</v>
      </c>
    </row>
    <row r="133" spans="3:4">
      <c r="C133" s="169">
        <f t="shared" si="3"/>
        <v>0.99999999999998113</v>
      </c>
      <c r="D133" s="168">
        <f t="shared" si="2"/>
        <v>0.86388766370261416</v>
      </c>
    </row>
    <row r="134" spans="3:4">
      <c r="C134" s="169">
        <f t="shared" si="3"/>
        <v>1.0999999999999812</v>
      </c>
      <c r="D134" s="168">
        <f t="shared" si="2"/>
        <v>0.74630189549754045</v>
      </c>
    </row>
    <row r="135" spans="3:4">
      <c r="C135" s="169">
        <f t="shared" si="3"/>
        <v>1.1999999999999813</v>
      </c>
      <c r="D135" s="168">
        <f t="shared" si="2"/>
        <v>0.64472100091818485</v>
      </c>
    </row>
    <row r="136" spans="3:4">
      <c r="C136" s="169">
        <f t="shared" si="3"/>
        <v>1.2999999999999814</v>
      </c>
      <c r="D136" s="168">
        <f t="shared" si="2"/>
        <v>0.55696651922320617</v>
      </c>
    </row>
    <row r="137" spans="3:4">
      <c r="C137" s="169">
        <f t="shared" si="3"/>
        <v>1.3999999999999815</v>
      </c>
      <c r="D137" s="168">
        <f t="shared" si="2"/>
        <v>0.4811565050522994</v>
      </c>
    </row>
    <row r="138" spans="3:4">
      <c r="C138" s="169">
        <f t="shared" si="3"/>
        <v>1.4999999999999816</v>
      </c>
      <c r="D138" s="168">
        <f t="shared" si="2"/>
        <v>0.4156651690249345</v>
      </c>
    </row>
    <row r="139" spans="3:4">
      <c r="C139" s="169">
        <f t="shared" si="3"/>
        <v>1.5999999999999817</v>
      </c>
      <c r="D139" s="168">
        <f t="shared" si="2"/>
        <v>0.35908801175149307</v>
      </c>
    </row>
    <row r="140" spans="3:4">
      <c r="C140" s="169">
        <f t="shared" si="3"/>
        <v>1.6999999999999817</v>
      </c>
      <c r="D140" s="168">
        <f t="shared" si="2"/>
        <v>0.31021170353560562</v>
      </c>
    </row>
    <row r="141" spans="3:4">
      <c r="C141" s="169">
        <f t="shared" si="3"/>
        <v>1.7999999999999818</v>
      </c>
      <c r="D141" s="168">
        <f t="shared" si="2"/>
        <v>0.26798806382057488</v>
      </c>
    </row>
    <row r="142" spans="3:4">
      <c r="C142" s="169">
        <f t="shared" si="3"/>
        <v>1.8999999999999819</v>
      </c>
      <c r="D142" s="168">
        <f t="shared" si="2"/>
        <v>0.23151158235413707</v>
      </c>
    </row>
    <row r="143" spans="3:4">
      <c r="C143" s="169">
        <f t="shared" si="3"/>
        <v>1.999999999999982</v>
      </c>
      <c r="D143" s="168">
        <f t="shared" si="2"/>
        <v>0.20000000000000531</v>
      </c>
    </row>
    <row r="144" spans="3:4">
      <c r="C144" s="169">
        <f t="shared" si="3"/>
        <v>2.0999999999999819</v>
      </c>
      <c r="D144" s="168">
        <f t="shared" si="2"/>
        <v>0.17277753274052271</v>
      </c>
    </row>
    <row r="145" spans="3:4">
      <c r="C145" s="169">
        <f t="shared" si="3"/>
        <v>2.199999999999982</v>
      </c>
      <c r="D145" s="168">
        <f t="shared" si="2"/>
        <v>0.14926037909950796</v>
      </c>
    </row>
    <row r="146" spans="3:4">
      <c r="C146" s="169">
        <f t="shared" si="3"/>
        <v>2.2999999999999821</v>
      </c>
      <c r="D146" s="168">
        <f t="shared" si="2"/>
        <v>0.12894420018363684</v>
      </c>
    </row>
    <row r="147" spans="3:4">
      <c r="C147" s="169">
        <f t="shared" si="3"/>
        <v>2.3999999999999821</v>
      </c>
      <c r="D147" s="168">
        <f t="shared" si="2"/>
        <v>0.11139330384464118</v>
      </c>
    </row>
    <row r="148" spans="3:4">
      <c r="C148" s="169">
        <f t="shared" si="3"/>
        <v>2.4999999999999822</v>
      </c>
      <c r="D148" s="168">
        <f t="shared" si="2"/>
        <v>9.6231301010459833E-2</v>
      </c>
    </row>
    <row r="149" spans="3:4">
      <c r="C149" s="169">
        <f t="shared" si="3"/>
        <v>2.5999999999999823</v>
      </c>
      <c r="D149" s="168">
        <f t="shared" si="2"/>
        <v>8.313303380498685E-2</v>
      </c>
    </row>
    <row r="150" spans="3:4">
      <c r="C150" s="169">
        <f t="shared" si="3"/>
        <v>2.6999999999999824</v>
      </c>
      <c r="D150" s="168">
        <f t="shared" si="2"/>
        <v>7.1817602350298548E-2</v>
      </c>
    </row>
    <row r="151" spans="3:4">
      <c r="C151" s="169">
        <f t="shared" si="3"/>
        <v>2.7999999999999825</v>
      </c>
      <c r="D151" s="168">
        <f t="shared" ref="D151:D214" si="4">IF(C151&lt;G_sat,1,te*EXP(C151*ro))</f>
        <v>6.2042340707121058E-2</v>
      </c>
    </row>
    <row r="152" spans="3:4">
      <c r="C152" s="169">
        <f t="shared" ref="C152:C215" si="5">C151+Gstep</f>
        <v>2.8999999999999826</v>
      </c>
      <c r="D152" s="168">
        <f t="shared" si="4"/>
        <v>5.359761276411492E-2</v>
      </c>
    </row>
    <row r="153" spans="3:4">
      <c r="C153" s="169">
        <f t="shared" si="5"/>
        <v>2.9999999999999827</v>
      </c>
      <c r="D153" s="168">
        <f t="shared" si="4"/>
        <v>4.6302316470827366E-2</v>
      </c>
    </row>
    <row r="154" spans="3:4">
      <c r="C154" s="169">
        <f t="shared" si="5"/>
        <v>3.0999999999999828</v>
      </c>
      <c r="D154" s="168">
        <f t="shared" si="4"/>
        <v>4.0000000000001021E-2</v>
      </c>
    </row>
    <row r="155" spans="3:4">
      <c r="C155" s="169">
        <f t="shared" si="5"/>
        <v>3.1999999999999829</v>
      </c>
      <c r="D155" s="168">
        <f t="shared" si="4"/>
        <v>3.4555506548104485E-2</v>
      </c>
    </row>
    <row r="156" spans="3:4">
      <c r="C156" s="169">
        <f t="shared" si="5"/>
        <v>3.2999999999999829</v>
      </c>
      <c r="D156" s="168">
        <f t="shared" si="4"/>
        <v>2.9852075819901569E-2</v>
      </c>
    </row>
    <row r="157" spans="3:4">
      <c r="C157" s="169">
        <f t="shared" si="5"/>
        <v>3.399999999999983</v>
      </c>
      <c r="D157" s="168">
        <f t="shared" si="4"/>
        <v>2.5788840036727351E-2</v>
      </c>
    </row>
    <row r="158" spans="3:4">
      <c r="C158" s="169">
        <f t="shared" si="5"/>
        <v>3.4999999999999831</v>
      </c>
      <c r="D158" s="168">
        <f t="shared" si="4"/>
        <v>2.2278660768928212E-2</v>
      </c>
    </row>
    <row r="159" spans="3:4">
      <c r="C159" s="169">
        <f t="shared" si="5"/>
        <v>3.5999999999999832</v>
      </c>
      <c r="D159" s="168">
        <f t="shared" si="4"/>
        <v>1.9246260202091945E-2</v>
      </c>
    </row>
    <row r="160" spans="3:4">
      <c r="C160" s="169">
        <f t="shared" si="5"/>
        <v>3.6999999999999833</v>
      </c>
      <c r="D160" s="168">
        <f t="shared" si="4"/>
        <v>1.6626606760997354E-2</v>
      </c>
    </row>
    <row r="161" spans="3:4">
      <c r="C161" s="169">
        <f t="shared" si="5"/>
        <v>3.7999999999999834</v>
      </c>
      <c r="D161" s="168">
        <f t="shared" si="4"/>
        <v>1.4363520470059695E-2</v>
      </c>
    </row>
    <row r="162" spans="3:4">
      <c r="C162" s="169">
        <f t="shared" si="5"/>
        <v>3.8999999999999835</v>
      </c>
      <c r="D162" s="168">
        <f t="shared" si="4"/>
        <v>1.2408468141424201E-2</v>
      </c>
    </row>
    <row r="163" spans="3:4">
      <c r="C163" s="169">
        <f t="shared" si="5"/>
        <v>3.9999999999999836</v>
      </c>
      <c r="D163" s="168">
        <f t="shared" si="4"/>
        <v>1.0719522552822974E-2</v>
      </c>
    </row>
    <row r="164" spans="3:4">
      <c r="C164" s="169">
        <f t="shared" si="5"/>
        <v>4.0999999999999837</v>
      </c>
      <c r="D164" s="168">
        <f t="shared" si="4"/>
        <v>9.2604632941654646E-3</v>
      </c>
    </row>
    <row r="165" spans="3:4">
      <c r="C165" s="169">
        <f t="shared" si="5"/>
        <v>4.1999999999999833</v>
      </c>
      <c r="D165" s="168">
        <f t="shared" si="4"/>
        <v>8.0000000000002031E-3</v>
      </c>
    </row>
    <row r="166" spans="3:4">
      <c r="C166" s="169">
        <f t="shared" si="5"/>
        <v>4.2999999999999829</v>
      </c>
      <c r="D166" s="168">
        <f t="shared" si="4"/>
        <v>6.9111013096209029E-3</v>
      </c>
    </row>
    <row r="167" spans="3:4">
      <c r="C167" s="169">
        <f t="shared" si="5"/>
        <v>4.3999999999999826</v>
      </c>
      <c r="D167" s="168">
        <f t="shared" si="4"/>
        <v>5.9704151639803187E-3</v>
      </c>
    </row>
    <row r="168" spans="3:4">
      <c r="C168" s="169">
        <f t="shared" si="5"/>
        <v>4.4999999999999822</v>
      </c>
      <c r="D168" s="168">
        <f t="shared" si="4"/>
        <v>5.157768007345475E-3</v>
      </c>
    </row>
    <row r="169" spans="3:4">
      <c r="C169" s="169">
        <f t="shared" si="5"/>
        <v>4.5999999999999819</v>
      </c>
      <c r="D169" s="168">
        <f t="shared" si="4"/>
        <v>4.4557321537856505E-3</v>
      </c>
    </row>
    <row r="170" spans="3:4">
      <c r="C170" s="169">
        <f t="shared" si="5"/>
        <v>4.6999999999999815</v>
      </c>
      <c r="D170" s="168">
        <f t="shared" si="4"/>
        <v>3.8492520404183992E-3</v>
      </c>
    </row>
    <row r="171" spans="3:4">
      <c r="C171" s="169">
        <f t="shared" si="5"/>
        <v>4.7999999999999812</v>
      </c>
      <c r="D171" s="168">
        <f t="shared" si="4"/>
        <v>3.3253213521994823E-3</v>
      </c>
    </row>
    <row r="172" spans="3:4">
      <c r="C172" s="169">
        <f t="shared" si="5"/>
        <v>4.8999999999999808</v>
      </c>
      <c r="D172" s="168">
        <f t="shared" si="4"/>
        <v>2.8727040940119512E-3</v>
      </c>
    </row>
    <row r="173" spans="3:4">
      <c r="C173" s="169">
        <f t="shared" si="5"/>
        <v>4.9999999999999805</v>
      </c>
      <c r="D173" s="168">
        <f t="shared" si="4"/>
        <v>2.4816936282848509E-3</v>
      </c>
    </row>
    <row r="174" spans="3:4">
      <c r="C174" s="169">
        <f t="shared" si="5"/>
        <v>5.0999999999999801</v>
      </c>
      <c r="D174" s="168">
        <f t="shared" si="4"/>
        <v>2.1439045105646056E-3</v>
      </c>
    </row>
    <row r="175" spans="3:4">
      <c r="C175" s="169">
        <f t="shared" si="5"/>
        <v>5.1999999999999797</v>
      </c>
      <c r="D175" s="168">
        <f t="shared" si="4"/>
        <v>1.852092658833104E-3</v>
      </c>
    </row>
    <row r="176" spans="3:4">
      <c r="C176" s="169">
        <f t="shared" si="5"/>
        <v>5.2999999999999794</v>
      </c>
      <c r="D176" s="168">
        <f t="shared" si="4"/>
        <v>1.6000000000000502E-3</v>
      </c>
    </row>
    <row r="177" spans="3:4">
      <c r="C177" s="169">
        <f t="shared" si="5"/>
        <v>5.399999999999979</v>
      </c>
      <c r="D177" s="168">
        <f t="shared" si="4"/>
        <v>1.3822202619241891E-3</v>
      </c>
    </row>
    <row r="178" spans="3:4">
      <c r="C178" s="169">
        <f t="shared" si="5"/>
        <v>5.4999999999999787</v>
      </c>
      <c r="D178" s="168">
        <f t="shared" si="4"/>
        <v>1.19408303279607E-3</v>
      </c>
    </row>
    <row r="179" spans="3:4">
      <c r="C179" s="169">
        <f t="shared" si="5"/>
        <v>5.5999999999999783</v>
      </c>
      <c r="D179" s="168">
        <f t="shared" si="4"/>
        <v>1.0315536014691012E-3</v>
      </c>
    </row>
    <row r="180" spans="3:4">
      <c r="C180" s="169">
        <f t="shared" si="5"/>
        <v>5.699999999999978</v>
      </c>
      <c r="D180" s="168">
        <f t="shared" si="4"/>
        <v>8.9114643075713536E-4</v>
      </c>
    </row>
    <row r="181" spans="3:4">
      <c r="C181" s="169">
        <f t="shared" si="5"/>
        <v>5.7999999999999776</v>
      </c>
      <c r="D181" s="168">
        <f t="shared" si="4"/>
        <v>7.6985040808368456E-4</v>
      </c>
    </row>
    <row r="182" spans="3:4">
      <c r="C182" s="169">
        <f t="shared" si="5"/>
        <v>5.8999999999999773</v>
      </c>
      <c r="D182" s="168">
        <f t="shared" si="4"/>
        <v>6.6506427043990044E-4</v>
      </c>
    </row>
    <row r="183" spans="3:4">
      <c r="C183" s="169">
        <f t="shared" si="5"/>
        <v>5.9999999999999769</v>
      </c>
      <c r="D183" s="168">
        <f t="shared" si="4"/>
        <v>5.7454081880239374E-4</v>
      </c>
    </row>
    <row r="184" spans="3:4">
      <c r="C184" s="169">
        <f t="shared" si="5"/>
        <v>6.0999999999999766</v>
      </c>
      <c r="D184" s="168">
        <f t="shared" si="4"/>
        <v>4.9633872565697356E-4</v>
      </c>
    </row>
    <row r="185" spans="3:4">
      <c r="C185" s="169">
        <f t="shared" si="5"/>
        <v>6.1999999999999762</v>
      </c>
      <c r="D185" s="168">
        <f t="shared" si="4"/>
        <v>4.2878090211292421E-4</v>
      </c>
    </row>
    <row r="186" spans="3:4">
      <c r="C186" s="169">
        <f t="shared" si="5"/>
        <v>6.2999999999999758</v>
      </c>
      <c r="D186" s="168">
        <f t="shared" si="4"/>
        <v>3.7041853176662272E-4</v>
      </c>
    </row>
    <row r="187" spans="3:4">
      <c r="C187" s="169">
        <f t="shared" si="5"/>
        <v>6.3999999999999755</v>
      </c>
      <c r="D187" s="168">
        <f t="shared" si="4"/>
        <v>3.2000000000001174E-4</v>
      </c>
    </row>
    <row r="188" spans="3:4">
      <c r="C188" s="169">
        <f t="shared" si="5"/>
        <v>6.4999999999999751</v>
      </c>
      <c r="D188" s="168">
        <f t="shared" si="4"/>
        <v>2.7644405238483924E-4</v>
      </c>
    </row>
    <row r="189" spans="3:4">
      <c r="C189" s="169">
        <f t="shared" si="5"/>
        <v>6.5999999999999748</v>
      </c>
      <c r="D189" s="168">
        <f t="shared" si="4"/>
        <v>2.3881660655921544E-4</v>
      </c>
    </row>
    <row r="190" spans="3:4">
      <c r="C190" s="169">
        <f t="shared" si="5"/>
        <v>6.6999999999999744</v>
      </c>
      <c r="D190" s="168">
        <f t="shared" si="4"/>
        <v>2.0631072029382149E-4</v>
      </c>
    </row>
    <row r="191" spans="3:4">
      <c r="C191" s="169">
        <f t="shared" si="5"/>
        <v>6.7999999999999741</v>
      </c>
      <c r="D191" s="168">
        <f t="shared" si="4"/>
        <v>1.7822928615142817E-4</v>
      </c>
    </row>
    <row r="192" spans="3:4">
      <c r="C192" s="169">
        <f t="shared" si="5"/>
        <v>6.8999999999999737</v>
      </c>
      <c r="D192" s="168">
        <f t="shared" si="4"/>
        <v>1.5397008161673783E-4</v>
      </c>
    </row>
    <row r="193" spans="3:4">
      <c r="C193" s="169">
        <f t="shared" si="5"/>
        <v>6.9999999999999734</v>
      </c>
      <c r="D193" s="168">
        <f t="shared" si="4"/>
        <v>1.330128540879809E-4</v>
      </c>
    </row>
    <row r="194" spans="3:4">
      <c r="C194" s="169">
        <f t="shared" si="5"/>
        <v>7.099999999999973</v>
      </c>
      <c r="D194" s="168">
        <f t="shared" si="4"/>
        <v>1.1490816376047944E-4</v>
      </c>
    </row>
    <row r="195" spans="3:4">
      <c r="C195" s="169">
        <f t="shared" si="5"/>
        <v>7.1999999999999726</v>
      </c>
      <c r="D195" s="168">
        <f t="shared" si="4"/>
        <v>9.9267745131395317E-5</v>
      </c>
    </row>
    <row r="196" spans="3:4">
      <c r="C196" s="169">
        <f t="shared" si="5"/>
        <v>7.2999999999999723</v>
      </c>
      <c r="D196" s="168">
        <f t="shared" si="4"/>
        <v>8.5756180422585357E-5</v>
      </c>
    </row>
    <row r="197" spans="3:4">
      <c r="C197" s="169">
        <f t="shared" si="5"/>
        <v>7.3999999999999719</v>
      </c>
      <c r="D197" s="168">
        <f t="shared" si="4"/>
        <v>7.4083706353324995E-5</v>
      </c>
    </row>
    <row r="198" spans="3:4">
      <c r="C198" s="169">
        <f t="shared" si="5"/>
        <v>7.4999999999999716</v>
      </c>
      <c r="D198" s="168">
        <f t="shared" si="4"/>
        <v>6.4000000000002735E-5</v>
      </c>
    </row>
    <row r="199" spans="3:4">
      <c r="C199" s="169">
        <f t="shared" si="5"/>
        <v>7.5999999999999712</v>
      </c>
      <c r="D199" s="168">
        <f t="shared" si="4"/>
        <v>5.5288810476968182E-5</v>
      </c>
    </row>
    <row r="200" spans="3:4">
      <c r="C200" s="169">
        <f t="shared" si="5"/>
        <v>7.6999999999999709</v>
      </c>
      <c r="D200" s="168">
        <f t="shared" si="4"/>
        <v>4.776332131184338E-5</v>
      </c>
    </row>
    <row r="201" spans="3:4">
      <c r="C201" s="169">
        <f t="shared" si="5"/>
        <v>7.7999999999999705</v>
      </c>
      <c r="D201" s="168">
        <f t="shared" si="4"/>
        <v>4.126214405876455E-5</v>
      </c>
    </row>
    <row r="202" spans="3:4">
      <c r="C202" s="169">
        <f t="shared" si="5"/>
        <v>7.8999999999999702</v>
      </c>
      <c r="D202" s="168">
        <f t="shared" si="4"/>
        <v>3.5645857230285849E-5</v>
      </c>
    </row>
    <row r="203" spans="3:4">
      <c r="C203" s="169">
        <f t="shared" si="5"/>
        <v>7.9999999999999698</v>
      </c>
      <c r="D203" s="168">
        <f t="shared" si="4"/>
        <v>3.0794016323347761E-5</v>
      </c>
    </row>
    <row r="204" spans="3:4">
      <c r="C204" s="169">
        <f t="shared" si="5"/>
        <v>8.0999999999999694</v>
      </c>
      <c r="D204" s="168">
        <f t="shared" si="4"/>
        <v>2.6602570817596343E-5</v>
      </c>
    </row>
    <row r="205" spans="3:4">
      <c r="C205" s="169">
        <f t="shared" si="5"/>
        <v>8.1999999999999691</v>
      </c>
      <c r="D205" s="168">
        <f t="shared" si="4"/>
        <v>2.2981632752096029E-5</v>
      </c>
    </row>
    <row r="206" spans="3:4">
      <c r="C206" s="169">
        <f t="shared" si="5"/>
        <v>8.2999999999999687</v>
      </c>
      <c r="D206" s="168">
        <f t="shared" si="4"/>
        <v>1.9853549026279187E-5</v>
      </c>
    </row>
    <row r="207" spans="3:4">
      <c r="C207" s="169">
        <f t="shared" si="5"/>
        <v>8.3999999999999684</v>
      </c>
      <c r="D207" s="168">
        <f t="shared" si="4"/>
        <v>1.7151236084517145E-5</v>
      </c>
    </row>
    <row r="208" spans="3:4">
      <c r="C208" s="169">
        <f t="shared" si="5"/>
        <v>8.499999999999968</v>
      </c>
      <c r="D208" s="168">
        <f t="shared" si="4"/>
        <v>1.4816741270665091E-5</v>
      </c>
    </row>
    <row r="209" spans="3:4">
      <c r="C209" s="169">
        <f t="shared" si="5"/>
        <v>8.5999999999999677</v>
      </c>
      <c r="D209" s="168">
        <f t="shared" si="4"/>
        <v>1.2800000000000625E-5</v>
      </c>
    </row>
    <row r="210" spans="3:4">
      <c r="C210" s="169">
        <f t="shared" si="5"/>
        <v>8.6999999999999673</v>
      </c>
      <c r="D210" s="168">
        <f t="shared" si="4"/>
        <v>1.1057762095393703E-5</v>
      </c>
    </row>
    <row r="211" spans="3:4">
      <c r="C211" s="169">
        <f t="shared" si="5"/>
        <v>8.799999999999967</v>
      </c>
      <c r="D211" s="168">
        <f t="shared" si="4"/>
        <v>9.552664262368734E-6</v>
      </c>
    </row>
    <row r="212" spans="3:4">
      <c r="C212" s="169">
        <f t="shared" si="5"/>
        <v>8.8999999999999666</v>
      </c>
      <c r="D212" s="168">
        <f t="shared" si="4"/>
        <v>8.2524288117529602E-6</v>
      </c>
    </row>
    <row r="213" spans="3:4">
      <c r="C213" s="169">
        <f t="shared" si="5"/>
        <v>8.9999999999999662</v>
      </c>
      <c r="D213" s="168">
        <f t="shared" si="4"/>
        <v>7.1291714460572139E-6</v>
      </c>
    </row>
    <row r="214" spans="3:4">
      <c r="C214" s="169">
        <f t="shared" si="5"/>
        <v>9.0999999999999659</v>
      </c>
      <c r="D214" s="168">
        <f t="shared" si="4"/>
        <v>6.1588032646695891E-6</v>
      </c>
    </row>
    <row r="215" spans="3:4">
      <c r="C215" s="169">
        <f t="shared" si="5"/>
        <v>9.1999999999999655</v>
      </c>
      <c r="D215" s="168">
        <f t="shared" ref="D215:D273" si="6">IF(C215&lt;G_sat,1,te*EXP(C215*ro))</f>
        <v>5.3205141635193014E-6</v>
      </c>
    </row>
    <row r="216" spans="3:4">
      <c r="C216" s="169">
        <f t="shared" ref="C216:C273" si="7">C215+Gstep</f>
        <v>9.2999999999999652</v>
      </c>
      <c r="D216" s="168">
        <f t="shared" si="6"/>
        <v>4.5963265504192333E-6</v>
      </c>
    </row>
    <row r="217" spans="3:4">
      <c r="C217" s="169">
        <f t="shared" si="7"/>
        <v>9.3999999999999648</v>
      </c>
      <c r="D217" s="168">
        <f t="shared" si="6"/>
        <v>3.9707098052558614E-6</v>
      </c>
    </row>
    <row r="218" spans="3:4">
      <c r="C218" s="169">
        <f t="shared" si="7"/>
        <v>9.4999999999999645</v>
      </c>
      <c r="D218" s="168">
        <f t="shared" si="6"/>
        <v>3.43024721690345E-6</v>
      </c>
    </row>
    <row r="219" spans="3:4">
      <c r="C219" s="169">
        <f t="shared" si="7"/>
        <v>9.5999999999999641</v>
      </c>
      <c r="D219" s="168">
        <f t="shared" si="6"/>
        <v>2.9633482541330363E-6</v>
      </c>
    </row>
    <row r="220" spans="3:4">
      <c r="C220" s="169">
        <f t="shared" si="7"/>
        <v>9.6999999999999638</v>
      </c>
      <c r="D220" s="168">
        <f t="shared" si="6"/>
        <v>2.5600000000001402E-6</v>
      </c>
    </row>
    <row r="221" spans="3:4">
      <c r="C221" s="169">
        <f t="shared" si="7"/>
        <v>9.7999999999999634</v>
      </c>
      <c r="D221" s="168">
        <f t="shared" si="6"/>
        <v>2.2115524190787542E-6</v>
      </c>
    </row>
    <row r="222" spans="3:4">
      <c r="C222" s="169">
        <f t="shared" si="7"/>
        <v>9.8999999999999631</v>
      </c>
      <c r="D222" s="168">
        <f t="shared" si="6"/>
        <v>1.9105328524737581E-6</v>
      </c>
    </row>
    <row r="223" spans="3:4">
      <c r="C223" s="169">
        <f t="shared" si="7"/>
        <v>9.9999999999999627</v>
      </c>
      <c r="D223" s="168">
        <f t="shared" si="6"/>
        <v>1.6504857623506021E-6</v>
      </c>
    </row>
    <row r="224" spans="3:4">
      <c r="C224" s="169">
        <f t="shared" si="7"/>
        <v>10.099999999999962</v>
      </c>
      <c r="D224" s="168">
        <f t="shared" si="6"/>
        <v>1.4258342892114513E-6</v>
      </c>
    </row>
    <row r="225" spans="3:4">
      <c r="C225" s="169">
        <f t="shared" si="7"/>
        <v>10.199999999999962</v>
      </c>
      <c r="D225" s="168">
        <f t="shared" si="6"/>
        <v>1.2317606529339252E-6</v>
      </c>
    </row>
    <row r="226" spans="3:4">
      <c r="C226" s="169">
        <f t="shared" si="7"/>
        <v>10.299999999999962</v>
      </c>
      <c r="D226" s="168">
        <f t="shared" si="6"/>
        <v>1.0641028327038666E-6</v>
      </c>
    </row>
    <row r="227" spans="3:4">
      <c r="C227" s="169">
        <f t="shared" si="7"/>
        <v>10.399999999999961</v>
      </c>
      <c r="D227" s="168">
        <f t="shared" si="6"/>
        <v>9.1926531008385232E-7</v>
      </c>
    </row>
    <row r="228" spans="3:4">
      <c r="C228" s="169">
        <f t="shared" si="7"/>
        <v>10.499999999999961</v>
      </c>
      <c r="D228" s="168">
        <f t="shared" si="6"/>
        <v>7.941419610511771E-7</v>
      </c>
    </row>
    <row r="229" spans="3:4">
      <c r="C229" s="169">
        <f t="shared" si="7"/>
        <v>10.599999999999961</v>
      </c>
      <c r="D229" s="168">
        <f t="shared" si="6"/>
        <v>6.8604944338069416E-7</v>
      </c>
    </row>
    <row r="230" spans="3:4">
      <c r="C230" s="169">
        <f t="shared" si="7"/>
        <v>10.69999999999996</v>
      </c>
      <c r="D230" s="168">
        <f t="shared" si="6"/>
        <v>5.9266965082661085E-7</v>
      </c>
    </row>
    <row r="231" spans="3:4">
      <c r="C231" s="169">
        <f t="shared" si="7"/>
        <v>10.79999999999996</v>
      </c>
      <c r="D231" s="168">
        <f t="shared" si="6"/>
        <v>5.1200000000003116E-7</v>
      </c>
    </row>
    <row r="232" spans="3:4">
      <c r="C232" s="169">
        <f t="shared" si="7"/>
        <v>10.899999999999959</v>
      </c>
      <c r="D232" s="168">
        <f t="shared" si="6"/>
        <v>4.4231048381575356E-7</v>
      </c>
    </row>
    <row r="233" spans="3:4">
      <c r="C233" s="169">
        <f t="shared" si="7"/>
        <v>10.999999999999959</v>
      </c>
      <c r="D233" s="168">
        <f t="shared" si="6"/>
        <v>3.8210657049475467E-7</v>
      </c>
    </row>
    <row r="234" spans="3:4">
      <c r="C234" s="169">
        <f t="shared" si="7"/>
        <v>11.099999999999959</v>
      </c>
      <c r="D234" s="168">
        <f t="shared" si="6"/>
        <v>3.3009715247012183E-7</v>
      </c>
    </row>
    <row r="235" spans="3:4">
      <c r="C235" s="169">
        <f t="shared" si="7"/>
        <v>11.199999999999958</v>
      </c>
      <c r="D235" s="168">
        <f t="shared" si="6"/>
        <v>2.8516685784229151E-7</v>
      </c>
    </row>
    <row r="236" spans="3:4">
      <c r="C236" s="169">
        <f t="shared" si="7"/>
        <v>11.299999999999958</v>
      </c>
      <c r="D236" s="168">
        <f t="shared" si="6"/>
        <v>2.4635213058678607E-7</v>
      </c>
    </row>
    <row r="237" spans="3:4">
      <c r="C237" s="169">
        <f t="shared" si="7"/>
        <v>11.399999999999958</v>
      </c>
      <c r="D237" s="168">
        <f t="shared" si="6"/>
        <v>2.1282056654077425E-7</v>
      </c>
    </row>
    <row r="238" spans="3:4">
      <c r="C238" s="169">
        <f t="shared" si="7"/>
        <v>11.499999999999957</v>
      </c>
      <c r="D238" s="168">
        <f t="shared" si="6"/>
        <v>1.8385306201677126E-7</v>
      </c>
    </row>
    <row r="239" spans="3:4">
      <c r="C239" s="169">
        <f t="shared" si="7"/>
        <v>11.599999999999957</v>
      </c>
      <c r="D239" s="168">
        <f t="shared" si="6"/>
        <v>1.5882839221023611E-7</v>
      </c>
    </row>
    <row r="240" spans="3:4">
      <c r="C240" s="169">
        <f t="shared" si="7"/>
        <v>11.699999999999957</v>
      </c>
      <c r="D240" s="168">
        <f t="shared" si="6"/>
        <v>1.3720988867613967E-7</v>
      </c>
    </row>
    <row r="241" spans="3:4">
      <c r="C241" s="169">
        <f t="shared" si="7"/>
        <v>11.799999999999956</v>
      </c>
      <c r="D241" s="168">
        <f t="shared" si="6"/>
        <v>1.185339301653229E-7</v>
      </c>
    </row>
    <row r="242" spans="3:4">
      <c r="C242" s="169">
        <f t="shared" si="7"/>
        <v>11.899999999999956</v>
      </c>
      <c r="D242" s="168">
        <f t="shared" si="6"/>
        <v>1.0240000000000687E-7</v>
      </c>
    </row>
    <row r="243" spans="3:4">
      <c r="C243" s="169">
        <f t="shared" si="7"/>
        <v>11.999999999999956</v>
      </c>
      <c r="D243" s="168">
        <f t="shared" si="6"/>
        <v>8.8462096763151254E-8</v>
      </c>
    </row>
    <row r="244" spans="3:4">
      <c r="C244" s="169">
        <f t="shared" si="7"/>
        <v>12.099999999999955</v>
      </c>
      <c r="D244" s="168">
        <f t="shared" si="6"/>
        <v>7.642131409895127E-8</v>
      </c>
    </row>
    <row r="245" spans="3:4">
      <c r="C245" s="169">
        <f t="shared" si="7"/>
        <v>12.199999999999955</v>
      </c>
      <c r="D245" s="168">
        <f t="shared" si="6"/>
        <v>6.6019430494024888E-8</v>
      </c>
    </row>
    <row r="246" spans="3:4">
      <c r="C246" s="169">
        <f t="shared" si="7"/>
        <v>12.299999999999955</v>
      </c>
      <c r="D246" s="168">
        <f t="shared" si="6"/>
        <v>5.7033371568458754E-8</v>
      </c>
    </row>
    <row r="247" spans="3:4">
      <c r="C247" s="169">
        <f t="shared" si="7"/>
        <v>12.399999999999954</v>
      </c>
      <c r="D247" s="168">
        <f t="shared" si="6"/>
        <v>4.9270426117357607E-8</v>
      </c>
    </row>
    <row r="248" spans="3:4">
      <c r="C248" s="169">
        <f t="shared" si="7"/>
        <v>12.499999999999954</v>
      </c>
      <c r="D248" s="168">
        <f t="shared" si="6"/>
        <v>4.2564113308155181E-8</v>
      </c>
    </row>
    <row r="249" spans="3:4">
      <c r="C249" s="169">
        <f t="shared" si="7"/>
        <v>12.599999999999953</v>
      </c>
      <c r="D249" s="168">
        <f t="shared" si="6"/>
        <v>3.6770612403354543E-8</v>
      </c>
    </row>
    <row r="250" spans="3:4">
      <c r="C250" s="169">
        <f t="shared" si="7"/>
        <v>12.699999999999953</v>
      </c>
      <c r="D250" s="168">
        <f t="shared" si="6"/>
        <v>3.1765678442047468E-8</v>
      </c>
    </row>
    <row r="251" spans="3:4">
      <c r="C251" s="169">
        <f t="shared" si="7"/>
        <v>12.799999999999953</v>
      </c>
      <c r="D251" s="168">
        <f t="shared" si="6"/>
        <v>2.744197773522815E-8</v>
      </c>
    </row>
    <row r="252" spans="3:4">
      <c r="C252" s="169">
        <f t="shared" si="7"/>
        <v>12.899999999999952</v>
      </c>
      <c r="D252" s="168">
        <f t="shared" si="6"/>
        <v>2.3706786033064765E-8</v>
      </c>
    </row>
    <row r="253" spans="3:4">
      <c r="C253" s="169">
        <f t="shared" si="7"/>
        <v>12.999999999999952</v>
      </c>
      <c r="D253" s="168">
        <f t="shared" si="6"/>
        <v>2.0480000000001534E-8</v>
      </c>
    </row>
    <row r="254" spans="3:4">
      <c r="C254" s="169">
        <f t="shared" si="7"/>
        <v>13.099999999999952</v>
      </c>
      <c r="D254" s="168">
        <f t="shared" si="6"/>
        <v>1.7692419352630389E-8</v>
      </c>
    </row>
    <row r="255" spans="3:4">
      <c r="C255" s="169">
        <f t="shared" si="7"/>
        <v>13.199999999999951</v>
      </c>
      <c r="D255" s="168">
        <f t="shared" si="6"/>
        <v>1.528426281979032E-8</v>
      </c>
    </row>
    <row r="256" spans="3:4">
      <c r="C256" s="169">
        <f t="shared" si="7"/>
        <v>13.299999999999951</v>
      </c>
      <c r="D256" s="168">
        <f t="shared" si="6"/>
        <v>1.3203886098805034E-8</v>
      </c>
    </row>
    <row r="257" spans="3:4">
      <c r="C257" s="169">
        <f t="shared" si="7"/>
        <v>13.399999999999951</v>
      </c>
      <c r="D257" s="168">
        <f t="shared" si="6"/>
        <v>1.1406674313691801E-8</v>
      </c>
    </row>
    <row r="258" spans="3:4">
      <c r="C258" s="169">
        <f t="shared" si="7"/>
        <v>13.49999999999995</v>
      </c>
      <c r="D258" s="168">
        <f t="shared" si="6"/>
        <v>9.854085223471565E-9</v>
      </c>
    </row>
    <row r="259" spans="3:4">
      <c r="C259" s="169">
        <f t="shared" si="7"/>
        <v>13.59999999999995</v>
      </c>
      <c r="D259" s="168">
        <f t="shared" si="6"/>
        <v>8.512822661631073E-9</v>
      </c>
    </row>
    <row r="260" spans="3:4">
      <c r="C260" s="169">
        <f t="shared" si="7"/>
        <v>13.69999999999995</v>
      </c>
      <c r="D260" s="168">
        <f t="shared" si="6"/>
        <v>7.3541224806709408E-9</v>
      </c>
    </row>
    <row r="261" spans="3:4">
      <c r="C261" s="169">
        <f t="shared" si="7"/>
        <v>13.799999999999949</v>
      </c>
      <c r="D261" s="168">
        <f t="shared" si="6"/>
        <v>6.3531356884095214E-9</v>
      </c>
    </row>
    <row r="262" spans="3:4">
      <c r="C262" s="169">
        <f t="shared" si="7"/>
        <v>13.899999999999949</v>
      </c>
      <c r="D262" s="168">
        <f t="shared" si="6"/>
        <v>5.4883955470456529E-9</v>
      </c>
    </row>
    <row r="263" spans="3:4">
      <c r="C263" s="169">
        <f t="shared" si="7"/>
        <v>13.999999999999948</v>
      </c>
      <c r="D263" s="168">
        <f t="shared" si="6"/>
        <v>4.7413572066129729E-9</v>
      </c>
    </row>
    <row r="264" spans="3:4">
      <c r="C264" s="169">
        <f t="shared" si="7"/>
        <v>14.099999999999948</v>
      </c>
      <c r="D264" s="168">
        <f t="shared" si="6"/>
        <v>4.0960000000003242E-9</v>
      </c>
    </row>
    <row r="265" spans="3:4">
      <c r="C265" s="169">
        <f t="shared" si="7"/>
        <v>14.199999999999948</v>
      </c>
      <c r="D265" s="168">
        <f t="shared" si="6"/>
        <v>3.5384838705260931E-9</v>
      </c>
    </row>
    <row r="266" spans="3:4">
      <c r="C266" s="169">
        <f t="shared" si="7"/>
        <v>14.299999999999947</v>
      </c>
      <c r="D266" s="168">
        <f t="shared" si="6"/>
        <v>3.0568525639580878E-9</v>
      </c>
    </row>
    <row r="267" spans="3:4">
      <c r="C267" s="169">
        <f t="shared" si="7"/>
        <v>14.399999999999947</v>
      </c>
      <c r="D267" s="168">
        <f t="shared" si="6"/>
        <v>2.6407772197610276E-9</v>
      </c>
    </row>
    <row r="268" spans="3:4">
      <c r="C268" s="169">
        <f t="shared" si="7"/>
        <v>14.499999999999947</v>
      </c>
      <c r="D268" s="168">
        <f t="shared" si="6"/>
        <v>2.2813348627383779E-9</v>
      </c>
    </row>
    <row r="269" spans="3:4">
      <c r="C269" s="169">
        <f t="shared" si="7"/>
        <v>14.599999999999946</v>
      </c>
      <c r="D269" s="168">
        <f t="shared" si="6"/>
        <v>1.9708170446943282E-9</v>
      </c>
    </row>
    <row r="270" spans="3:4">
      <c r="C270" s="169">
        <f t="shared" si="7"/>
        <v>14.699999999999946</v>
      </c>
      <c r="D270" s="168">
        <f t="shared" si="6"/>
        <v>1.702564532326228E-9</v>
      </c>
    </row>
    <row r="271" spans="3:4">
      <c r="C271" s="169">
        <f t="shared" si="7"/>
        <v>14.799999999999946</v>
      </c>
      <c r="D271" s="168">
        <f t="shared" si="6"/>
        <v>1.4708244961341996E-9</v>
      </c>
    </row>
    <row r="272" spans="3:4">
      <c r="C272" s="169">
        <f t="shared" si="7"/>
        <v>14.899999999999945</v>
      </c>
      <c r="D272" s="168">
        <f t="shared" si="6"/>
        <v>1.2706271376819143E-9</v>
      </c>
    </row>
    <row r="273" spans="3:4" ht="13.5" thickBot="1">
      <c r="C273" s="171">
        <f t="shared" si="7"/>
        <v>14.999999999999945</v>
      </c>
      <c r="D273" s="168">
        <f t="shared" si="6"/>
        <v>1.0976791094091394E-9</v>
      </c>
    </row>
    <row r="274" spans="3:4" ht="13.5" thickTop="1"/>
  </sheetData>
  <conditionalFormatting sqref="C24:C273">
    <cfRule type="colorScale" priority="2">
      <colorScale>
        <cfvo type="num" val="$C$16"/>
        <cfvo type="num" val="$C$15"/>
        <cfvo type="max"/>
        <color rgb="FFFF0000"/>
        <color rgb="FF79FF79"/>
        <color rgb="FF0070C0"/>
      </colorScale>
    </cfRule>
  </conditionalFormatting>
  <conditionalFormatting sqref="D23:D273">
    <cfRule type="colorScale" priority="1">
      <colorScale>
        <cfvo type="min"/>
        <cfvo type="num" val="$C$13"/>
        <cfvo type="max"/>
        <color rgb="FF0070C0"/>
        <color rgb="FFFFEB84"/>
        <color rgb="FFFF0000"/>
      </colorScale>
    </cfRule>
  </conditionalFormatting>
  <pageMargins left="0.7" right="0.7" top="0.78740157499999996" bottom="0.78740157499999996" header="0.3" footer="0.3"/>
  <pageSetup paperSize="9" orientation="portrait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Match"/>
  <dimension ref="A1:AF28"/>
  <sheetViews>
    <sheetView zoomScale="70" zoomScaleNormal="70" workbookViewId="0">
      <pane xSplit="12" ySplit="25" topLeftCell="M26" activePane="bottomRight" state="frozen"/>
      <selection pane="topRight" activeCell="M1" sqref="M1"/>
      <selection pane="bottomLeft" activeCell="A26" sqref="A26"/>
      <selection pane="bottomRight" activeCell="A26" sqref="A26:L28"/>
    </sheetView>
  </sheetViews>
  <sheetFormatPr baseColWidth="10" defaultColWidth="2.7109375" defaultRowHeight="15"/>
  <cols>
    <col min="3" max="3" width="11.140625" customWidth="1"/>
    <col min="4" max="6" width="3.85546875" bestFit="1" customWidth="1"/>
    <col min="7" max="7" width="4.42578125" bestFit="1" customWidth="1"/>
    <col min="12" max="12" width="5.140625" style="40" customWidth="1"/>
    <col min="13" max="32" width="10.140625" customWidth="1"/>
  </cols>
  <sheetData>
    <row r="1" spans="1:32">
      <c r="A1" s="29"/>
      <c r="B1" s="30" t="s">
        <v>5</v>
      </c>
      <c r="C1" s="30">
        <v>1.9870000000000001</v>
      </c>
      <c r="D1" s="30" t="s">
        <v>95</v>
      </c>
      <c r="E1" s="30"/>
      <c r="F1" s="30"/>
      <c r="G1" s="30"/>
      <c r="H1" s="30"/>
      <c r="I1" s="30"/>
      <c r="J1" s="30"/>
      <c r="K1" s="30"/>
      <c r="L1" s="39" t="s">
        <v>121</v>
      </c>
      <c r="M1" s="154">
        <f>IF(Align!M$10,Align!M$21,"")</f>
        <v>1</v>
      </c>
      <c r="N1" s="154">
        <f>IF(Align!N$10,Align!N$21,"")</f>
        <v>2</v>
      </c>
      <c r="O1" s="154">
        <f>IF(Align!O$10,Align!O$21,"")</f>
        <v>3</v>
      </c>
      <c r="P1" s="154">
        <f>IF(Align!P$10,Align!P$21,"")</f>
        <v>4</v>
      </c>
      <c r="Q1" s="154">
        <f>IF(Align!Q$10,Align!Q$21,"")</f>
        <v>5</v>
      </c>
      <c r="R1" s="154">
        <f>IF(Align!R$10,Align!R$21,"")</f>
        <v>6</v>
      </c>
      <c r="S1" s="154">
        <f>IF(Align!S$10,Align!S$21,"")</f>
        <v>7</v>
      </c>
      <c r="T1" s="154">
        <f>IF(Align!T$10,Align!T$21,"")</f>
        <v>8</v>
      </c>
      <c r="U1" s="154">
        <f>IF(Align!U$10,Align!U$21,"")</f>
        <v>9</v>
      </c>
      <c r="V1" s="154">
        <f>IF(Align!V$10,Align!V$21,"")</f>
        <v>10</v>
      </c>
      <c r="W1" s="154">
        <f>IF(Align!W$10,Align!W$21,"")</f>
        <v>11</v>
      </c>
      <c r="X1" s="154">
        <f>IF(Align!X$10,Align!X$21,"")</f>
        <v>12</v>
      </c>
      <c r="Y1" s="154">
        <f>IF(Align!Y$10,Align!Y$21,"")</f>
        <v>13</v>
      </c>
      <c r="Z1" s="154">
        <f>IF(Align!Z$10,Align!Z$21,"")</f>
        <v>14</v>
      </c>
      <c r="AA1" s="154">
        <f>IF(Align!AA$10,Align!AA$21,"")</f>
        <v>15</v>
      </c>
      <c r="AB1" s="154">
        <f>IF(Align!AB$10,Align!AB$21,"")</f>
        <v>16</v>
      </c>
      <c r="AC1" s="154">
        <f>IF(Align!AC$10,Align!AC$21,"")</f>
        <v>17</v>
      </c>
      <c r="AD1" s="154">
        <f>IF(Align!AD$10,Align!AD$21,"")</f>
        <v>18</v>
      </c>
      <c r="AE1" s="154">
        <f>IF(Align!AE$10,Align!AE$21,"")</f>
        <v>19</v>
      </c>
      <c r="AF1" s="154">
        <f>IF(Align!AF$10,Align!AF$21,"")</f>
        <v>20</v>
      </c>
    </row>
    <row r="2" spans="1:32">
      <c r="A2" s="31"/>
      <c r="B2" s="32"/>
      <c r="C2" s="172">
        <f>C1*LN(1/(p_nM*0.000000001))</f>
        <v>33.403939506226791</v>
      </c>
      <c r="D2" s="32" t="s">
        <v>96</v>
      </c>
      <c r="E2" s="32"/>
      <c r="F2" s="32"/>
      <c r="G2" s="32"/>
      <c r="H2" s="32"/>
      <c r="I2" s="32"/>
      <c r="J2" s="32"/>
      <c r="K2" s="32"/>
      <c r="L2" s="40" t="s">
        <v>125</v>
      </c>
      <c r="M2" s="154">
        <f ca="1">A*(Align!M12&gt;MinToCons)+T*(Align!M13&gt;MinToCons)+Ce*(Align!M14&gt;MinToCons)+G*(Align!M15&gt;MinToCons)</f>
        <v>8</v>
      </c>
      <c r="N2" s="154">
        <f ca="1">A*(Align!N12&gt;MinToCons)+T*(Align!N13&gt;MinToCons)+Ce*(Align!N14&gt;MinToCons)+G*(Align!N15&gt;MinToCons)</f>
        <v>4</v>
      </c>
      <c r="O2" s="154">
        <f ca="1">A*(Align!O12&gt;MinToCons)+T*(Align!O13&gt;MinToCons)+Ce*(Align!O14&gt;MinToCons)+G*(Align!O15&gt;MinToCons)</f>
        <v>2</v>
      </c>
      <c r="P2" s="154">
        <f ca="1">A*(Align!P12&gt;MinToCons)+T*(Align!P13&gt;MinToCons)+Ce*(Align!P14&gt;MinToCons)+G*(Align!P15&gt;MinToCons)</f>
        <v>1</v>
      </c>
      <c r="Q2" s="154">
        <f ca="1">A*(Align!Q12&gt;MinToCons)+T*(Align!Q13&gt;MinToCons)+Ce*(Align!Q14&gt;MinToCons)+G*(Align!Q15&gt;MinToCons)</f>
        <v>8</v>
      </c>
      <c r="R2" s="154">
        <f ca="1">A*(Align!R12&gt;MinToCons)+T*(Align!R13&gt;MinToCons)+Ce*(Align!R14&gt;MinToCons)+G*(Align!R15&gt;MinToCons)</f>
        <v>6</v>
      </c>
      <c r="S2" s="154">
        <f ca="1">A*(Align!S12&gt;MinToCons)+T*(Align!S13&gt;MinToCons)+Ce*(Align!S14&gt;MinToCons)+G*(Align!S15&gt;MinToCons)</f>
        <v>2</v>
      </c>
      <c r="T2" s="154">
        <f ca="1">A*(Align!T12&gt;MinToCons)+T*(Align!T13&gt;MinToCons)+Ce*(Align!T14&gt;MinToCons)+G*(Align!T15&gt;MinToCons)</f>
        <v>1</v>
      </c>
      <c r="U2" s="154">
        <f ca="1">A*(Align!U12&gt;MinToCons)+T*(Align!U13&gt;MinToCons)+Ce*(Align!U14&gt;MinToCons)+G*(Align!U15&gt;MinToCons)</f>
        <v>8</v>
      </c>
      <c r="V2" s="154">
        <f ca="1">A*(Align!V12&gt;MinToCons)+T*(Align!V13&gt;MinToCons)+Ce*(Align!V14&gt;MinToCons)+G*(Align!V15&gt;MinToCons)</f>
        <v>4</v>
      </c>
      <c r="W2" s="154">
        <f ca="1">A*(Align!W12&gt;MinToCons)+T*(Align!W13&gt;MinToCons)+Ce*(Align!W14&gt;MinToCons)+G*(Align!W15&gt;MinToCons)</f>
        <v>2</v>
      </c>
      <c r="X2" s="154">
        <f ca="1">A*(Align!X12&gt;MinToCons)+T*(Align!X13&gt;MinToCons)+Ce*(Align!X14&gt;MinToCons)+G*(Align!X15&gt;MinToCons)</f>
        <v>9</v>
      </c>
      <c r="Y2" s="154">
        <f ca="1">A*(Align!Y12&gt;MinToCons)+T*(Align!Y13&gt;MinToCons)+Ce*(Align!Y14&gt;MinToCons)+G*(Align!Y15&gt;MinToCons)</f>
        <v>8</v>
      </c>
      <c r="Z2" s="154">
        <f ca="1">A*(Align!Z12&gt;MinToCons)+T*(Align!Z13&gt;MinToCons)+Ce*(Align!Z14&gt;MinToCons)+G*(Align!Z15&gt;MinToCons)</f>
        <v>4</v>
      </c>
      <c r="AA2" s="154">
        <f ca="1">A*(Align!AA12&gt;MinToCons)+T*(Align!AA13&gt;MinToCons)+Ce*(Align!AA14&gt;MinToCons)+G*(Align!AA15&gt;MinToCons)</f>
        <v>2</v>
      </c>
      <c r="AB2" s="154">
        <f ca="1">A*(Align!AB12&gt;MinToCons)+T*(Align!AB13&gt;MinToCons)+Ce*(Align!AB14&gt;MinToCons)+G*(Align!AB15&gt;MinToCons)</f>
        <v>1</v>
      </c>
      <c r="AC2" s="154">
        <f ca="1">A*(Align!AC12&gt;MinToCons)+T*(Align!AC13&gt;MinToCons)+Ce*(Align!AC14&gt;MinToCons)+G*(Align!AC15&gt;MinToCons)</f>
        <v>8</v>
      </c>
      <c r="AD2" s="154">
        <f ca="1">A*(Align!AD12&gt;MinToCons)+T*(Align!AD13&gt;MinToCons)+Ce*(Align!AD14&gt;MinToCons)+G*(Align!AD15&gt;MinToCons)</f>
        <v>4</v>
      </c>
      <c r="AE2" s="154">
        <f ca="1">A*(Align!AE12&gt;MinToCons)+T*(Align!AE13&gt;MinToCons)+Ce*(Align!AE14&gt;MinToCons)+G*(Align!AE15&gt;MinToCons)</f>
        <v>2</v>
      </c>
      <c r="AF2" s="154">
        <f ca="1">A*(Align!AF12&gt;MinToCons)+T*(Align!AF13&gt;MinToCons)+Ce*(Align!AF14&gt;MinToCons)+G*(Align!AF15&gt;MinToCons)</f>
        <v>1</v>
      </c>
    </row>
    <row r="3" spans="1:32">
      <c r="A3" s="31"/>
      <c r="B3" s="32"/>
      <c r="C3" s="172">
        <f>-272.9+7.21*LN(Na_mM/1000)</f>
        <v>-294.49922969232426</v>
      </c>
      <c r="D3" s="32" t="s">
        <v>99</v>
      </c>
      <c r="E3" s="32"/>
      <c r="F3" s="32"/>
      <c r="G3" s="32"/>
      <c r="H3" s="32"/>
      <c r="I3" s="32"/>
      <c r="J3" s="32"/>
      <c r="K3" s="32"/>
      <c r="L3" s="40" t="s">
        <v>40</v>
      </c>
      <c r="M3" s="154">
        <f ca="1">A*(Align!M12&gt;MinToHCons)+T*(Align!M13&gt;MinToHCons)+Ce*(Align!M14&gt;MinToHCons)+G*(Align!M15&gt;MinToHCons)</f>
        <v>8</v>
      </c>
      <c r="N3" s="154">
        <f ca="1">A*(Align!N12&gt;MinToHCons)+T*(Align!N13&gt;MinToHCons)+Ce*(Align!N14&gt;MinToHCons)+G*(Align!N15&gt;MinToHCons)</f>
        <v>4</v>
      </c>
      <c r="O3" s="154">
        <f ca="1">A*(Align!O12&gt;MinToHCons)+T*(Align!O13&gt;MinToHCons)+Ce*(Align!O14&gt;MinToHCons)+G*(Align!O15&gt;MinToHCons)</f>
        <v>2</v>
      </c>
      <c r="P3" s="154">
        <f ca="1">A*(Align!P12&gt;MinToHCons)+T*(Align!P13&gt;MinToHCons)+Ce*(Align!P14&gt;MinToHCons)+G*(Align!P15&gt;MinToHCons)</f>
        <v>1</v>
      </c>
      <c r="Q3" s="154">
        <f ca="1">A*(Align!Q12&gt;MinToHCons)+T*(Align!Q13&gt;MinToHCons)+Ce*(Align!Q14&gt;MinToHCons)+G*(Align!Q15&gt;MinToHCons)</f>
        <v>8</v>
      </c>
      <c r="R3" s="154">
        <f ca="1">A*(Align!R12&gt;MinToHCons)+T*(Align!R13&gt;MinToHCons)+Ce*(Align!R14&gt;MinToHCons)+G*(Align!R15&gt;MinToHCons)</f>
        <v>6</v>
      </c>
      <c r="S3" s="154">
        <f ca="1">A*(Align!S12&gt;MinToHCons)+T*(Align!S13&gt;MinToHCons)+Ce*(Align!S14&gt;MinToHCons)+G*(Align!S15&gt;MinToHCons)</f>
        <v>2</v>
      </c>
      <c r="T3" s="154">
        <f ca="1">A*(Align!T12&gt;MinToHCons)+T*(Align!T13&gt;MinToHCons)+Ce*(Align!T14&gt;MinToHCons)+G*(Align!T15&gt;MinToHCons)</f>
        <v>1</v>
      </c>
      <c r="U3" s="154">
        <f ca="1">A*(Align!U12&gt;MinToHCons)+T*(Align!U13&gt;MinToHCons)+Ce*(Align!U14&gt;MinToHCons)+G*(Align!U15&gt;MinToHCons)</f>
        <v>8</v>
      </c>
      <c r="V3" s="154">
        <f ca="1">A*(Align!V12&gt;MinToHCons)+T*(Align!V13&gt;MinToHCons)+Ce*(Align!V14&gt;MinToHCons)+G*(Align!V15&gt;MinToHCons)</f>
        <v>4</v>
      </c>
      <c r="W3" s="154">
        <f ca="1">A*(Align!W12&gt;MinToHCons)+T*(Align!W13&gt;MinToHCons)+Ce*(Align!W14&gt;MinToHCons)+G*(Align!W15&gt;MinToHCons)</f>
        <v>2</v>
      </c>
      <c r="X3" s="154">
        <f ca="1">A*(Align!X12&gt;MinToHCons)+T*(Align!X13&gt;MinToHCons)+Ce*(Align!X14&gt;MinToHCons)+G*(Align!X15&gt;MinToHCons)</f>
        <v>9</v>
      </c>
      <c r="Y3" s="154">
        <f ca="1">A*(Align!Y12&gt;MinToHCons)+T*(Align!Y13&gt;MinToHCons)+Ce*(Align!Y14&gt;MinToHCons)+G*(Align!Y15&gt;MinToHCons)</f>
        <v>8</v>
      </c>
      <c r="Z3" s="154">
        <f ca="1">A*(Align!Z12&gt;MinToHCons)+T*(Align!Z13&gt;MinToHCons)+Ce*(Align!Z14&gt;MinToHCons)+G*(Align!Z15&gt;MinToHCons)</f>
        <v>4</v>
      </c>
      <c r="AA3" s="154">
        <f ca="1">A*(Align!AA12&gt;MinToHCons)+T*(Align!AA13&gt;MinToHCons)+Ce*(Align!AA14&gt;MinToHCons)+G*(Align!AA15&gt;MinToHCons)</f>
        <v>2</v>
      </c>
      <c r="AB3" s="154">
        <f ca="1">A*(Align!AB12&gt;MinToHCons)+T*(Align!AB13&gt;MinToHCons)+Ce*(Align!AB14&gt;MinToHCons)+G*(Align!AB15&gt;MinToHCons)</f>
        <v>1</v>
      </c>
      <c r="AC3" s="154">
        <f ca="1">A*(Align!AC12&gt;MinToHCons)+T*(Align!AC13&gt;MinToHCons)+Ce*(Align!AC14&gt;MinToHCons)+G*(Align!AC15&gt;MinToHCons)</f>
        <v>8</v>
      </c>
      <c r="AD3" s="154">
        <f ca="1">A*(Align!AD12&gt;MinToHCons)+T*(Align!AD13&gt;MinToHCons)+Ce*(Align!AD14&gt;MinToHCons)+G*(Align!AD15&gt;MinToHCons)</f>
        <v>4</v>
      </c>
      <c r="AE3" s="154">
        <f ca="1">A*(Align!AE12&gt;MinToHCons)+T*(Align!AE13&gt;MinToHCons)+Ce*(Align!AE14&gt;MinToHCons)+G*(Align!AE15&gt;MinToHCons)</f>
        <v>2</v>
      </c>
      <c r="AF3" s="154">
        <f ca="1">A*(Align!AF12&gt;MinToHCons)+T*(Align!AF13&gt;MinToHCons)+Ce*(Align!AF14&gt;MinToHCons)+G*(Align!AF15&gt;MinToHCons)</f>
        <v>1</v>
      </c>
    </row>
    <row r="4" spans="1:32">
      <c r="A4" s="31"/>
      <c r="B4" s="32" t="s">
        <v>166</v>
      </c>
      <c r="C4" s="172">
        <f>272.9+Ta</f>
        <v>327.9</v>
      </c>
      <c r="D4" s="88" t="s">
        <v>167</v>
      </c>
      <c r="E4" s="32"/>
      <c r="F4" s="32"/>
      <c r="G4" s="32"/>
      <c r="H4" s="32"/>
      <c r="I4" s="32"/>
      <c r="J4" s="32"/>
      <c r="K4" s="32"/>
      <c r="L4" s="40" t="s">
        <v>155</v>
      </c>
      <c r="M4" s="154"/>
      <c r="N4" s="154"/>
      <c r="O4" s="154"/>
      <c r="P4" s="154"/>
      <c r="Q4" s="154"/>
      <c r="R4" s="154"/>
      <c r="S4" s="154"/>
      <c r="T4" s="154"/>
      <c r="U4" s="154"/>
      <c r="V4" s="154"/>
      <c r="W4" s="154"/>
      <c r="X4" s="154"/>
      <c r="Y4" s="154"/>
      <c r="Z4" s="154"/>
      <c r="AA4" s="154"/>
      <c r="AB4" s="154"/>
      <c r="AC4" s="154"/>
      <c r="AD4" s="154"/>
      <c r="AE4" s="154"/>
      <c r="AF4" s="154"/>
    </row>
    <row r="5" spans="1:32">
      <c r="A5" s="31"/>
      <c r="B5" s="32"/>
      <c r="C5" s="32" t="s">
        <v>119</v>
      </c>
      <c r="D5" s="32"/>
      <c r="E5" s="32"/>
      <c r="F5" s="32"/>
      <c r="G5" s="32">
        <f ca="1">COUNTIF(OFFSET(Align!$M$10,0,0,1,NoNt),TRUE)</f>
        <v>20</v>
      </c>
      <c r="H5" s="32"/>
      <c r="I5" s="32"/>
      <c r="J5" s="32"/>
      <c r="K5" s="32"/>
      <c r="L5" s="40" t="s">
        <v>156</v>
      </c>
      <c r="M5" s="154"/>
      <c r="N5" s="154"/>
      <c r="O5" s="154"/>
      <c r="P5" s="154"/>
      <c r="Q5" s="154"/>
      <c r="R5" s="154"/>
      <c r="S5" s="154"/>
      <c r="T5" s="154"/>
      <c r="U5" s="154"/>
      <c r="V5" s="154"/>
      <c r="W5" s="154"/>
      <c r="X5" s="154"/>
      <c r="Y5" s="154"/>
      <c r="Z5" s="154"/>
      <c r="AA5" s="154"/>
      <c r="AB5" s="154"/>
      <c r="AC5" s="154"/>
      <c r="AD5" s="154"/>
      <c r="AE5" s="154"/>
      <c r="AF5" s="154"/>
    </row>
    <row r="6" spans="1:32">
      <c r="A6" s="31"/>
      <c r="B6" s="32"/>
      <c r="C6" s="32"/>
      <c r="D6" s="32"/>
      <c r="E6" s="32"/>
      <c r="F6" s="32"/>
      <c r="G6" s="32"/>
      <c r="H6" s="32"/>
      <c r="I6" s="32"/>
      <c r="J6" s="32"/>
      <c r="K6" s="32"/>
      <c r="L6" s="40" t="s">
        <v>157</v>
      </c>
      <c r="M6" s="154"/>
      <c r="N6" s="154"/>
      <c r="O6" s="154"/>
      <c r="P6" s="154"/>
      <c r="Q6" s="154"/>
      <c r="R6" s="154"/>
      <c r="S6" s="154"/>
      <c r="T6" s="154"/>
      <c r="U6" s="154"/>
      <c r="V6" s="154"/>
      <c r="W6" s="154"/>
      <c r="X6" s="154"/>
      <c r="Y6" s="154"/>
      <c r="Z6" s="154"/>
      <c r="AA6" s="154"/>
      <c r="AB6" s="154"/>
      <c r="AC6" s="154"/>
      <c r="AD6" s="154"/>
      <c r="AE6" s="154"/>
      <c r="AF6" s="154"/>
    </row>
    <row r="7" spans="1:32">
      <c r="A7" s="31"/>
      <c r="B7" s="32"/>
      <c r="C7" s="32"/>
      <c r="D7" s="32"/>
      <c r="E7" s="32"/>
      <c r="F7" s="32"/>
      <c r="G7" s="32"/>
      <c r="H7" s="32"/>
      <c r="I7" s="32"/>
      <c r="J7" s="32"/>
      <c r="K7" s="32"/>
      <c r="L7" s="40" t="s">
        <v>158</v>
      </c>
      <c r="M7" s="154"/>
      <c r="N7" s="154"/>
      <c r="O7" s="154"/>
      <c r="P7" s="154"/>
      <c r="Q7" s="154"/>
      <c r="R7" s="154"/>
      <c r="S7" s="154"/>
      <c r="T7" s="154"/>
      <c r="U7" s="154"/>
      <c r="V7" s="154"/>
      <c r="W7" s="154"/>
      <c r="X7" s="154"/>
      <c r="Y7" s="154"/>
      <c r="Z7" s="154"/>
      <c r="AA7" s="154"/>
      <c r="AB7" s="154"/>
      <c r="AC7" s="154"/>
      <c r="AD7" s="154"/>
      <c r="AE7" s="154"/>
      <c r="AF7" s="154"/>
    </row>
    <row r="8" spans="1:32">
      <c r="A8" s="31"/>
      <c r="B8" s="32"/>
      <c r="C8" s="130" t="s">
        <v>131</v>
      </c>
      <c r="D8" s="131"/>
      <c r="E8" s="32"/>
      <c r="F8" s="32"/>
      <c r="G8" s="32"/>
      <c r="H8" s="32"/>
      <c r="I8" s="32"/>
      <c r="J8" s="32"/>
      <c r="K8" s="32"/>
      <c r="L8" s="40" t="s">
        <v>41</v>
      </c>
      <c r="M8" s="226">
        <f ca="1">FIND(Align!M8,CodDegElegir)-1</f>
        <v>8</v>
      </c>
      <c r="N8" s="226">
        <f ca="1">FIND(Align!N8,CodDegElegir)-1</f>
        <v>4</v>
      </c>
      <c r="O8" s="226">
        <f ca="1">FIND(Align!O8,CodDegElegir)-1</f>
        <v>2</v>
      </c>
      <c r="P8" s="226">
        <f ca="1">FIND(Align!P8,CodDegElegir)-1</f>
        <v>1</v>
      </c>
      <c r="Q8" s="226">
        <f ca="1">FIND(Align!Q8,CodDegElegir)-1</f>
        <v>8</v>
      </c>
      <c r="R8" s="226">
        <f ca="1">FIND(Align!R8,CodDegElegir)-1</f>
        <v>6</v>
      </c>
      <c r="S8" s="226">
        <f ca="1">FIND(Align!S8,CodDegElegir)-1</f>
        <v>2</v>
      </c>
      <c r="T8" s="226">
        <f ca="1">FIND(Align!T8,CodDegElegir)-1</f>
        <v>1</v>
      </c>
      <c r="U8" s="226">
        <f ca="1">FIND(Align!U8,CodDegElegir)-1</f>
        <v>8</v>
      </c>
      <c r="V8" s="226">
        <f ca="1">FIND(Align!V8,CodDegElegir)-1</f>
        <v>4</v>
      </c>
      <c r="W8" s="226">
        <f ca="1">FIND(Align!W8,CodDegElegir)-1</f>
        <v>2</v>
      </c>
      <c r="X8" s="226">
        <f ca="1">FIND(Align!X8,CodDegElegir)-1</f>
        <v>9</v>
      </c>
      <c r="Y8" s="226">
        <f ca="1">FIND(Align!Y8,CodDegElegir)-1</f>
        <v>8</v>
      </c>
      <c r="Z8" s="226">
        <f ca="1">FIND(Align!Z8,CodDegElegir)-1</f>
        <v>4</v>
      </c>
      <c r="AA8" s="226">
        <f ca="1">FIND(Align!AA8,CodDegElegir)-1</f>
        <v>2</v>
      </c>
      <c r="AB8" s="226">
        <f ca="1">FIND(Align!AB8,CodDegElegir)-1</f>
        <v>1</v>
      </c>
      <c r="AC8" s="226">
        <f ca="1">FIND(Align!AC8,CodDegElegir)-1</f>
        <v>8</v>
      </c>
      <c r="AD8" s="226">
        <f ca="1">FIND(Align!AD8,CodDegElegir)-1</f>
        <v>4</v>
      </c>
      <c r="AE8" s="226">
        <f ca="1">FIND(Align!AE8,CodDegElegir)-1</f>
        <v>2</v>
      </c>
      <c r="AF8" s="226">
        <f ca="1">FIND(Align!AF8,CodDegElegir)-1</f>
        <v>1</v>
      </c>
    </row>
    <row r="9" spans="1:32">
      <c r="A9" s="31"/>
      <c r="B9" s="32"/>
      <c r="C9" s="132" t="s">
        <v>130</v>
      </c>
      <c r="D9" s="85"/>
      <c r="E9" s="32"/>
      <c r="F9" s="32"/>
      <c r="G9" s="32"/>
      <c r="H9" s="32"/>
      <c r="I9" s="32"/>
      <c r="J9" s="32"/>
      <c r="K9" s="32"/>
      <c r="L9" s="40" t="s">
        <v>124</v>
      </c>
      <c r="M9" s="154">
        <f ca="1">FIND(Align!M9,CodDegElegir)-1</f>
        <v>8</v>
      </c>
      <c r="N9" s="154">
        <f ca="1">FIND(Align!N9,CodDegElegir)-1</f>
        <v>4</v>
      </c>
      <c r="O9" s="154">
        <f ca="1">FIND(Align!O9,CodDegElegir)-1</f>
        <v>2</v>
      </c>
      <c r="P9" s="154">
        <f ca="1">FIND(Align!P9,CodDegElegir)-1</f>
        <v>1</v>
      </c>
      <c r="Q9" s="154">
        <f ca="1">FIND(Align!Q9,CodDegElegir)-1</f>
        <v>8</v>
      </c>
      <c r="R9" s="154">
        <f ca="1">FIND(Align!R9,CodDegElegir)-1</f>
        <v>6</v>
      </c>
      <c r="S9" s="154">
        <f ca="1">FIND(Align!S9,CodDegElegir)-1</f>
        <v>2</v>
      </c>
      <c r="T9" s="154">
        <f ca="1">FIND(Align!T9,CodDegElegir)-1</f>
        <v>1</v>
      </c>
      <c r="U9" s="154">
        <f ca="1">FIND(Align!U9,CodDegElegir)-1</f>
        <v>8</v>
      </c>
      <c r="V9" s="154">
        <f ca="1">FIND(Align!V9,CodDegElegir)-1</f>
        <v>4</v>
      </c>
      <c r="W9" s="154">
        <f ca="1">FIND(Align!W9,CodDegElegir)-1</f>
        <v>2</v>
      </c>
      <c r="X9" s="154">
        <f ca="1">FIND(Align!X9,CodDegElegir)-1</f>
        <v>9</v>
      </c>
      <c r="Y9" s="154">
        <f ca="1">FIND(Align!Y9,CodDegElegir)-1</f>
        <v>8</v>
      </c>
      <c r="Z9" s="154">
        <f ca="1">FIND(Align!Z9,CodDegElegir)-1</f>
        <v>4</v>
      </c>
      <c r="AA9" s="154">
        <f ca="1">FIND(Align!AA9,CodDegElegir)-1</f>
        <v>2</v>
      </c>
      <c r="AB9" s="154">
        <f ca="1">FIND(Align!AB9,CodDegElegir)-1</f>
        <v>1</v>
      </c>
      <c r="AC9" s="154">
        <f ca="1">FIND(Align!AC9,CodDegElegir)-1</f>
        <v>8</v>
      </c>
      <c r="AD9" s="154">
        <f ca="1">FIND(Align!AD9,CodDegElegir)-1</f>
        <v>4</v>
      </c>
      <c r="AE9" s="154">
        <f ca="1">FIND(Align!AE9,CodDegElegir)-1</f>
        <v>2</v>
      </c>
      <c r="AF9" s="154">
        <f ca="1">FIND(Align!AF9,CodDegElegir)-1</f>
        <v>1</v>
      </c>
    </row>
    <row r="10" spans="1:32">
      <c r="A10" s="31"/>
      <c r="B10" s="32"/>
      <c r="C10" s="133" t="s">
        <v>128</v>
      </c>
      <c r="D10" s="36">
        <v>1</v>
      </c>
      <c r="E10" s="32"/>
      <c r="F10" s="32"/>
      <c r="G10" s="32"/>
      <c r="H10" s="32"/>
      <c r="I10" s="32"/>
      <c r="J10" s="32"/>
      <c r="K10" s="32"/>
      <c r="L10" s="40" t="s">
        <v>52</v>
      </c>
      <c r="M10" s="154">
        <f ca="1">OFFSET(AT,1+Match!M9,0,1,1)</f>
        <v>1</v>
      </c>
      <c r="N10" s="154">
        <f ca="1">OFFSET(AT,1+Match!N9,0,1,1)</f>
        <v>1</v>
      </c>
      <c r="O10" s="154">
        <f ca="1">OFFSET(AT,1+Match!O9,0,1,1)</f>
        <v>0</v>
      </c>
      <c r="P10" s="154">
        <f ca="1">OFFSET(AT,1+Match!P9,0,1,1)</f>
        <v>0</v>
      </c>
      <c r="Q10" s="154">
        <f ca="1">OFFSET(AT,1+Match!Q9,0,1,1)</f>
        <v>1</v>
      </c>
      <c r="R10" s="154">
        <f ca="1">OFFSET(AT,1+Match!R9,0,1,1)</f>
        <v>1</v>
      </c>
      <c r="S10" s="154">
        <f ca="1">OFFSET(AT,1+Match!S9,0,1,1)</f>
        <v>0</v>
      </c>
      <c r="T10" s="154">
        <f ca="1">OFFSET(AT,1+Match!T9,0,1,1)</f>
        <v>0</v>
      </c>
      <c r="U10" s="154">
        <f ca="1">OFFSET(AT,1+Match!U9,0,1,1)</f>
        <v>1</v>
      </c>
      <c r="V10" s="154">
        <f ca="1">OFFSET(AT,1+Match!V9,0,1,1)</f>
        <v>1</v>
      </c>
      <c r="W10" s="154">
        <f ca="1">OFFSET(AT,1+Match!W9,0,1,1)</f>
        <v>0</v>
      </c>
      <c r="X10" s="154">
        <f ca="1">OFFSET(AT,1+Match!X9,0,1,1)</f>
        <v>1</v>
      </c>
      <c r="Y10" s="154">
        <f ca="1">OFFSET(AT,1+Match!Y9,0,1,1)</f>
        <v>1</v>
      </c>
      <c r="Z10" s="154">
        <f ca="1">OFFSET(AT,1+Match!Z9,0,1,1)</f>
        <v>1</v>
      </c>
      <c r="AA10" s="154">
        <f ca="1">OFFSET(AT,1+Match!AA9,0,1,1)</f>
        <v>0</v>
      </c>
      <c r="AB10" s="154">
        <f ca="1">OFFSET(AT,1+Match!AB9,0,1,1)</f>
        <v>0</v>
      </c>
      <c r="AC10" s="154">
        <f ca="1">OFFSET(AT,1+Match!AC9,0,1,1)</f>
        <v>1</v>
      </c>
      <c r="AD10" s="154">
        <f ca="1">OFFSET(AT,1+Match!AD9,0,1,1)</f>
        <v>1</v>
      </c>
      <c r="AE10" s="154">
        <f ca="1">OFFSET(AT,1+Match!AE9,0,1,1)</f>
        <v>0</v>
      </c>
      <c r="AF10" s="154">
        <f ca="1">OFFSET(AT,1+Match!AF9,0,1,1)</f>
        <v>0</v>
      </c>
    </row>
    <row r="11" spans="1:32">
      <c r="A11" s="31"/>
      <c r="B11" s="32"/>
      <c r="C11" s="133" t="s">
        <v>129</v>
      </c>
      <c r="D11" s="36">
        <v>2</v>
      </c>
      <c r="E11" s="32"/>
      <c r="F11" s="32"/>
      <c r="G11" s="32"/>
      <c r="H11" s="32"/>
      <c r="I11" s="32"/>
      <c r="J11" s="32"/>
      <c r="K11" s="32"/>
      <c r="L11" s="40" t="s">
        <v>51</v>
      </c>
      <c r="M11" s="154">
        <f ca="1">OFFSET(GC,1+Match!M9,0,1,1)</f>
        <v>0</v>
      </c>
      <c r="N11" s="154">
        <f ca="1">OFFSET(GC,1+Match!N9,0,1,1)</f>
        <v>0</v>
      </c>
      <c r="O11" s="154">
        <f ca="1">OFFSET(GC,1+Match!O9,0,1,1)</f>
        <v>1</v>
      </c>
      <c r="P11" s="154">
        <f ca="1">OFFSET(GC,1+Match!P9,0,1,1)</f>
        <v>1</v>
      </c>
      <c r="Q11" s="154">
        <f ca="1">OFFSET(GC,1+Match!Q9,0,1,1)</f>
        <v>0</v>
      </c>
      <c r="R11" s="154">
        <f ca="1">OFFSET(GC,1+Match!R9,0,1,1)</f>
        <v>1</v>
      </c>
      <c r="S11" s="154">
        <f ca="1">OFFSET(GC,1+Match!S9,0,1,1)</f>
        <v>1</v>
      </c>
      <c r="T11" s="154">
        <f ca="1">OFFSET(GC,1+Match!T9,0,1,1)</f>
        <v>1</v>
      </c>
      <c r="U11" s="154">
        <f ca="1">OFFSET(GC,1+Match!U9,0,1,1)</f>
        <v>0</v>
      </c>
      <c r="V11" s="154">
        <f ca="1">OFFSET(GC,1+Match!V9,0,1,1)</f>
        <v>0</v>
      </c>
      <c r="W11" s="154">
        <f ca="1">OFFSET(GC,1+Match!W9,0,1,1)</f>
        <v>1</v>
      </c>
      <c r="X11" s="154">
        <f ca="1">OFFSET(GC,1+Match!X9,0,1,1)</f>
        <v>1</v>
      </c>
      <c r="Y11" s="154">
        <f ca="1">OFFSET(GC,1+Match!Y9,0,1,1)</f>
        <v>0</v>
      </c>
      <c r="Z11" s="154">
        <f ca="1">OFFSET(GC,1+Match!Z9,0,1,1)</f>
        <v>0</v>
      </c>
      <c r="AA11" s="154">
        <f ca="1">OFFSET(GC,1+Match!AA9,0,1,1)</f>
        <v>1</v>
      </c>
      <c r="AB11" s="154">
        <f ca="1">OFFSET(GC,1+Match!AB9,0,1,1)</f>
        <v>1</v>
      </c>
      <c r="AC11" s="154">
        <f ca="1">OFFSET(GC,1+Match!AC9,0,1,1)</f>
        <v>0</v>
      </c>
      <c r="AD11" s="154">
        <f ca="1">OFFSET(GC,1+Match!AD9,0,1,1)</f>
        <v>0</v>
      </c>
      <c r="AE11" s="154">
        <f ca="1">OFFSET(GC,1+Match!AE9,0,1,1)</f>
        <v>1</v>
      </c>
      <c r="AF11" s="154">
        <f ca="1">OFFSET(GC,1+Match!AF9,0,1,1)</f>
        <v>1</v>
      </c>
    </row>
    <row r="12" spans="1:32">
      <c r="A12" s="31"/>
      <c r="B12" s="32"/>
      <c r="C12" s="134" t="s">
        <v>127</v>
      </c>
      <c r="D12" s="135">
        <v>3</v>
      </c>
      <c r="E12" s="32"/>
      <c r="F12" s="32"/>
      <c r="G12" s="32"/>
      <c r="H12" s="32"/>
      <c r="I12" s="32"/>
      <c r="J12" s="32"/>
      <c r="K12" s="32"/>
      <c r="L12" s="40" t="s">
        <v>53</v>
      </c>
      <c r="M12" s="154">
        <f t="shared" ref="M12:AF12" ca="1" si="0">SUM(OFFSET(M10,0,0,1,PrimerLen))</f>
        <v>11</v>
      </c>
      <c r="N12" s="154">
        <f t="shared" ref="N12:AF12" ca="1" si="1">SUM(OFFSET(N10,0,0,1,PrimerLen))</f>
        <v>10</v>
      </c>
      <c r="O12" s="154">
        <f t="shared" ca="1" si="1"/>
        <v>9</v>
      </c>
      <c r="P12" s="154">
        <f t="shared" ca="1" si="1"/>
        <v>9</v>
      </c>
      <c r="Q12" s="154">
        <f t="shared" ca="1" si="1"/>
        <v>9</v>
      </c>
      <c r="R12" s="154">
        <f t="shared" ca="1" si="1"/>
        <v>8</v>
      </c>
      <c r="S12" s="154">
        <f t="shared" ca="1" si="1"/>
        <v>7</v>
      </c>
      <c r="T12" s="154">
        <f t="shared" ca="1" si="1"/>
        <v>7</v>
      </c>
      <c r="U12" s="154">
        <f t="shared" ca="1" si="1"/>
        <v>7</v>
      </c>
      <c r="V12" s="154">
        <f t="shared" ca="1" si="1"/>
        <v>6</v>
      </c>
      <c r="W12" s="154">
        <f t="shared" ca="1" si="1"/>
        <v>5</v>
      </c>
      <c r="X12" s="154">
        <f t="shared" ca="1" si="1"/>
        <v>5</v>
      </c>
      <c r="Y12" s="154">
        <f t="shared" ca="1" si="1"/>
        <v>4</v>
      </c>
      <c r="Z12" s="154">
        <f t="shared" ca="1" si="1"/>
        <v>3</v>
      </c>
      <c r="AA12" s="154">
        <f t="shared" ca="1" si="1"/>
        <v>2</v>
      </c>
      <c r="AB12" s="154">
        <f t="shared" ca="1" si="1"/>
        <v>2</v>
      </c>
      <c r="AC12" s="154">
        <f t="shared" ca="1" si="1"/>
        <v>2</v>
      </c>
      <c r="AD12" s="154">
        <f t="shared" ca="1" si="1"/>
        <v>1</v>
      </c>
      <c r="AE12" s="154">
        <f t="shared" ca="1" si="1"/>
        <v>0</v>
      </c>
      <c r="AF12" s="154">
        <f t="shared" ca="1" si="1"/>
        <v>0</v>
      </c>
    </row>
    <row r="13" spans="1:32">
      <c r="A13" s="31"/>
      <c r="B13" s="32"/>
      <c r="C13" s="32"/>
      <c r="D13" s="32"/>
      <c r="E13" s="32"/>
      <c r="F13" s="32"/>
      <c r="G13" s="32"/>
      <c r="H13" s="32"/>
      <c r="L13" s="40" t="s">
        <v>49</v>
      </c>
      <c r="M13" s="154">
        <f t="shared" ref="M13:AF13" ca="1" si="2">SUM(OFFSET(M11,0,0,1,PrimerLen))</f>
        <v>11</v>
      </c>
      <c r="N13" s="154">
        <f t="shared" ref="N13:AF13" ca="1" si="3">SUM(OFFSET(N11,0,0,1,PrimerLen))</f>
        <v>11</v>
      </c>
      <c r="O13" s="154">
        <f t="shared" ca="1" si="3"/>
        <v>11</v>
      </c>
      <c r="P13" s="154">
        <f t="shared" ca="1" si="3"/>
        <v>10</v>
      </c>
      <c r="Q13" s="154">
        <f t="shared" ca="1" si="3"/>
        <v>9</v>
      </c>
      <c r="R13" s="154">
        <f t="shared" ca="1" si="3"/>
        <v>9</v>
      </c>
      <c r="S13" s="154">
        <f t="shared" ca="1" si="3"/>
        <v>8</v>
      </c>
      <c r="T13" s="154">
        <f t="shared" ca="1" si="3"/>
        <v>7</v>
      </c>
      <c r="U13" s="154">
        <f t="shared" ca="1" si="3"/>
        <v>6</v>
      </c>
      <c r="V13" s="154">
        <f t="shared" ca="1" si="3"/>
        <v>6</v>
      </c>
      <c r="W13" s="154">
        <f t="shared" ca="1" si="3"/>
        <v>6</v>
      </c>
      <c r="X13" s="154">
        <f t="shared" ca="1" si="3"/>
        <v>5</v>
      </c>
      <c r="Y13" s="154">
        <f t="shared" ca="1" si="3"/>
        <v>4</v>
      </c>
      <c r="Z13" s="154">
        <f t="shared" ca="1" si="3"/>
        <v>4</v>
      </c>
      <c r="AA13" s="154">
        <f t="shared" ca="1" si="3"/>
        <v>4</v>
      </c>
      <c r="AB13" s="154">
        <f t="shared" ca="1" si="3"/>
        <v>3</v>
      </c>
      <c r="AC13" s="154">
        <f t="shared" ca="1" si="3"/>
        <v>2</v>
      </c>
      <c r="AD13" s="154">
        <f t="shared" ca="1" si="3"/>
        <v>2</v>
      </c>
      <c r="AE13" s="154">
        <f t="shared" ca="1" si="3"/>
        <v>2</v>
      </c>
      <c r="AF13" s="154">
        <f t="shared" ca="1" si="3"/>
        <v>1</v>
      </c>
    </row>
    <row r="14" spans="1:32">
      <c r="A14" s="31"/>
      <c r="B14" s="32"/>
      <c r="C14" s="32"/>
      <c r="D14" s="32"/>
      <c r="E14" s="32"/>
      <c r="F14" s="32"/>
      <c r="G14" s="32"/>
      <c r="H14" s="32"/>
      <c r="I14" s="32"/>
      <c r="J14" s="32"/>
      <c r="K14" s="32"/>
      <c r="L14" s="40" t="s">
        <v>170</v>
      </c>
      <c r="M14" s="154"/>
      <c r="N14" s="154"/>
      <c r="O14" s="154"/>
      <c r="P14" s="154"/>
      <c r="Q14" s="154"/>
      <c r="R14" s="154"/>
      <c r="S14" s="154"/>
      <c r="T14" s="154"/>
      <c r="U14" s="154"/>
      <c r="V14" s="154"/>
      <c r="W14" s="154"/>
      <c r="X14" s="154"/>
      <c r="Y14" s="154"/>
      <c r="Z14" s="154"/>
      <c r="AA14" s="154"/>
      <c r="AB14" s="154"/>
      <c r="AC14" s="154"/>
      <c r="AD14" s="154"/>
      <c r="AE14" s="154"/>
      <c r="AF14" s="154"/>
    </row>
    <row r="15" spans="1:32">
      <c r="A15" s="31"/>
      <c r="B15" s="32"/>
      <c r="C15" s="174" t="b">
        <f>IF(UPPER(Tm_choice)="B",C17,IF(UPPER(Tm_choice)="N",C19,IF(UPPER(Tm_choice)="G",C18,IF(UPPER(Tm_choice)="I",C20))))</f>
        <v>0</v>
      </c>
      <c r="D15" s="174">
        <f>IF(Tm_choice=1,D17,IF(Tm_choice=3,D19,IF(Tm_choice=2,D18,IF(Tm_choice=4,D20))))</f>
        <v>40</v>
      </c>
      <c r="E15" s="174">
        <f>IF(Tm_choice=1,E17,IF(Tm_choice=3,E19,IF(Tm_choice=2,E18,IF(Tm_choice=4,E20))))</f>
        <v>55</v>
      </c>
      <c r="F15" s="174">
        <f>IF(Tm_choice=1,F17,IF(Tm_choice=3,F19,IF(Tm_choice=2,F18,IF(Tm_choice=4,F20))))</f>
        <v>70</v>
      </c>
      <c r="G15" s="32"/>
      <c r="H15" s="32"/>
      <c r="L15" s="40" t="s">
        <v>171</v>
      </c>
      <c r="M15" s="154"/>
      <c r="N15" s="154"/>
      <c r="O15" s="154"/>
      <c r="P15" s="154"/>
      <c r="Q15" s="154"/>
      <c r="R15" s="154"/>
      <c r="S15" s="154"/>
      <c r="T15" s="154"/>
      <c r="U15" s="154"/>
      <c r="V15" s="154"/>
      <c r="W15" s="154"/>
      <c r="X15" s="154"/>
      <c r="Y15" s="154"/>
      <c r="Z15" s="154"/>
      <c r="AA15" s="154"/>
      <c r="AB15" s="154"/>
      <c r="AC15" s="154"/>
      <c r="AD15" s="154"/>
      <c r="AE15" s="154"/>
      <c r="AF15" s="154"/>
    </row>
    <row r="16" spans="1:32">
      <c r="A16" s="31"/>
      <c r="B16" s="32"/>
      <c r="C16" s="173"/>
      <c r="D16" s="32"/>
      <c r="E16" s="32"/>
      <c r="F16" s="32"/>
      <c r="G16" s="32"/>
      <c r="H16" s="32"/>
      <c r="I16" s="32"/>
      <c r="J16" s="32"/>
      <c r="K16" s="32"/>
      <c r="L16" s="40" t="s">
        <v>82</v>
      </c>
      <c r="M16" s="154">
        <f t="shared" ref="M16:AE16" ca="1" si="4">OFFSET(dHmin,M$9,N$9,1,1)</f>
        <v>6.5</v>
      </c>
      <c r="N16" s="154">
        <f t="shared" ref="N16" ca="1" si="5">OFFSET(dHmin,N$9,O$9,1,1)</f>
        <v>7.7</v>
      </c>
      <c r="O16" s="154">
        <f t="shared" ref="O16" ca="1" si="6">OFFSET(dHmin,O$9,P$9,1,1)</f>
        <v>10.1</v>
      </c>
      <c r="P16" s="154">
        <f t="shared" ref="P16" ca="1" si="7">OFFSET(dHmin,P$9,Q$9,1,1)</f>
        <v>7.7</v>
      </c>
      <c r="Q16" s="154">
        <f t="shared" ref="Q16" ca="1" si="8">OFFSET(dHmin,Q$9,R$9,1,1)</f>
        <v>6.5</v>
      </c>
      <c r="R16" s="154">
        <f t="shared" ref="R16" ca="1" si="9">OFFSET(dHmin,R$9,S$9,1,1)</f>
        <v>6.7</v>
      </c>
      <c r="S16" s="154">
        <f t="shared" ref="S16" ca="1" si="10">OFFSET(dHmin,S$9,T$9,1,1)</f>
        <v>10.1</v>
      </c>
      <c r="T16" s="154">
        <f t="shared" ref="T16" ca="1" si="11">OFFSET(dHmin,T$9,U$9,1,1)</f>
        <v>7.7</v>
      </c>
      <c r="U16" s="154">
        <f t="shared" ref="U16" ca="1" si="12">OFFSET(dHmin,U$9,V$9,1,1)</f>
        <v>6.5</v>
      </c>
      <c r="V16" s="154">
        <f t="shared" ref="V16" ca="1" si="13">OFFSET(dHmin,V$9,W$9,1,1)</f>
        <v>7.7</v>
      </c>
      <c r="W16" s="154">
        <f t="shared" ref="W16" ca="1" si="14">OFFSET(dHmin,W$9,X$9,1,1)</f>
        <v>7.4</v>
      </c>
      <c r="X16" s="154">
        <f t="shared" ref="X16" ca="1" si="15">OFFSET(dHmin,X$9,Y$9,1,1)</f>
        <v>7.7</v>
      </c>
      <c r="Y16" s="154">
        <f t="shared" ref="Y16" ca="1" si="16">OFFSET(dHmin,Y$9,Z$9,1,1)</f>
        <v>6.5</v>
      </c>
      <c r="Z16" s="154">
        <f t="shared" ref="Z16" ca="1" si="17">OFFSET(dHmin,Z$9,AA$9,1,1)</f>
        <v>7.7</v>
      </c>
      <c r="AA16" s="154">
        <f t="shared" ref="AA16" ca="1" si="18">OFFSET(dHmin,AA$9,AB$9,1,1)</f>
        <v>10.1</v>
      </c>
      <c r="AB16" s="154">
        <f t="shared" ref="AB16" ca="1" si="19">OFFSET(dHmin,AB$9,AC$9,1,1)</f>
        <v>7.7</v>
      </c>
      <c r="AC16" s="154">
        <f t="shared" ref="AC16" ca="1" si="20">OFFSET(dHmin,AC$9,AD$9,1,1)</f>
        <v>6.5</v>
      </c>
      <c r="AD16" s="154">
        <f t="shared" ref="AD16" ca="1" si="21">OFFSET(dHmin,AD$9,AE$9,1,1)</f>
        <v>7.7</v>
      </c>
      <c r="AE16" s="154">
        <f t="shared" ref="AE16" ca="1" si="22">OFFSET(dHmin,AE$9,AF$9,1,1)</f>
        <v>10.1</v>
      </c>
      <c r="AF16" s="154">
        <f t="shared" ref="AF16" ca="1" si="23">OFFSET(dHmin,AF$9,AG$9,1,1)</f>
        <v>0</v>
      </c>
    </row>
    <row r="17" spans="1:32">
      <c r="A17" s="31"/>
      <c r="B17" s="32"/>
      <c r="C17" s="174" t="s">
        <v>101</v>
      </c>
      <c r="D17" s="32">
        <f>Ta-15</f>
        <v>40</v>
      </c>
      <c r="E17" s="32">
        <f>Ta</f>
        <v>55</v>
      </c>
      <c r="F17" s="32">
        <f>Ta+15</f>
        <v>70</v>
      </c>
      <c r="G17" s="32"/>
      <c r="H17" s="32"/>
      <c r="I17" s="32"/>
      <c r="J17" s="32"/>
      <c r="K17" s="32"/>
      <c r="L17" s="40" t="s">
        <v>83</v>
      </c>
      <c r="M17" s="154">
        <f t="shared" ref="M17:AE17" ca="1" si="24">OFFSET(dHmax,M$9,N$9,1,1)</f>
        <v>6.5</v>
      </c>
      <c r="N17" s="154">
        <f t="shared" ref="N17" ca="1" si="25">OFFSET(dHmax,N$9,O$9,1,1)</f>
        <v>7.7</v>
      </c>
      <c r="O17" s="154">
        <f t="shared" ref="O17" ca="1" si="26">OFFSET(dHmax,O$9,P$9,1,1)</f>
        <v>10.1</v>
      </c>
      <c r="P17" s="154">
        <f t="shared" ref="P17" ca="1" si="27">OFFSET(dHmax,P$9,Q$9,1,1)</f>
        <v>7.7</v>
      </c>
      <c r="Q17" s="154">
        <f t="shared" ref="Q17" ca="1" si="28">OFFSET(dHmax,Q$9,R$9,1,1)</f>
        <v>8.6</v>
      </c>
      <c r="R17" s="154">
        <f t="shared" ref="R17" ca="1" si="29">OFFSET(dHmax,R$9,S$9,1,1)</f>
        <v>7.7</v>
      </c>
      <c r="S17" s="154">
        <f t="shared" ref="S17" ca="1" si="30">OFFSET(dHmax,S$9,T$9,1,1)</f>
        <v>10.1</v>
      </c>
      <c r="T17" s="154">
        <f t="shared" ref="T17" ca="1" si="31">OFFSET(dHmax,T$9,U$9,1,1)</f>
        <v>7.7</v>
      </c>
      <c r="U17" s="154">
        <f t="shared" ref="U17" ca="1" si="32">OFFSET(dHmax,U$9,V$9,1,1)</f>
        <v>6.5</v>
      </c>
      <c r="V17" s="154">
        <f t="shared" ref="V17" ca="1" si="33">OFFSET(dHmax,V$9,W$9,1,1)</f>
        <v>7.7</v>
      </c>
      <c r="W17" s="154">
        <f t="shared" ref="W17" ca="1" si="34">OFFSET(dHmax,W$9,X$9,1,1)</f>
        <v>10.1</v>
      </c>
      <c r="X17" s="154">
        <f t="shared" ref="X17" ca="1" si="35">OFFSET(dHmax,X$9,Y$9,1,1)</f>
        <v>8.4</v>
      </c>
      <c r="Y17" s="154">
        <f t="shared" ref="Y17" ca="1" si="36">OFFSET(dHmax,Y$9,Z$9,1,1)</f>
        <v>6.5</v>
      </c>
      <c r="Z17" s="154">
        <f t="shared" ref="Z17" ca="1" si="37">OFFSET(dHmax,Z$9,AA$9,1,1)</f>
        <v>7.7</v>
      </c>
      <c r="AA17" s="154">
        <f t="shared" ref="AA17" ca="1" si="38">OFFSET(dHmax,AA$9,AB$9,1,1)</f>
        <v>10.1</v>
      </c>
      <c r="AB17" s="154">
        <f t="shared" ref="AB17" ca="1" si="39">OFFSET(dHmax,AB$9,AC$9,1,1)</f>
        <v>7.7</v>
      </c>
      <c r="AC17" s="154">
        <f t="shared" ref="AC17" ca="1" si="40">OFFSET(dHmax,AC$9,AD$9,1,1)</f>
        <v>6.5</v>
      </c>
      <c r="AD17" s="154">
        <f t="shared" ref="AD17" ca="1" si="41">OFFSET(dHmax,AD$9,AE$9,1,1)</f>
        <v>7.7</v>
      </c>
      <c r="AE17" s="154">
        <f t="shared" ref="AE17" ca="1" si="42">OFFSET(dHmax,AE$9,AF$9,1,1)</f>
        <v>10.1</v>
      </c>
      <c r="AF17" s="154">
        <f t="shared" ref="AF17" ca="1" si="43">OFFSET(dHmax,AF$9,AG$9,1,1)</f>
        <v>0</v>
      </c>
    </row>
    <row r="18" spans="1:32">
      <c r="A18" s="31"/>
      <c r="B18" s="32"/>
      <c r="C18" s="174" t="s">
        <v>138</v>
      </c>
      <c r="D18" s="32">
        <f>G_sat</f>
        <v>0.9</v>
      </c>
      <c r="E18" s="32">
        <f>G_senc</f>
        <v>2</v>
      </c>
      <c r="F18" s="32">
        <f>G_senc+1</f>
        <v>3</v>
      </c>
      <c r="G18" s="32"/>
      <c r="H18" s="32"/>
      <c r="I18" s="32"/>
      <c r="J18" s="32"/>
      <c r="K18" s="32"/>
      <c r="L18" s="40" t="s">
        <v>88</v>
      </c>
      <c r="M18" s="154">
        <f t="shared" ref="M18:AE18" ca="1" si="44">OFFSET(dSmin,M$9,N$9,1,1)</f>
        <v>18.8</v>
      </c>
      <c r="N18" s="154">
        <f t="shared" ref="N18" ca="1" si="45">OFFSET(dSmin,N$9,O$9,1,1)</f>
        <v>20.3</v>
      </c>
      <c r="O18" s="154">
        <f t="shared" ref="O18" ca="1" si="46">OFFSET(dSmin,O$9,P$9,1,1)</f>
        <v>25.5</v>
      </c>
      <c r="P18" s="154">
        <f t="shared" ref="P18" ca="1" si="47">OFFSET(dSmin,P$9,Q$9,1,1)</f>
        <v>20.3</v>
      </c>
      <c r="Q18" s="154">
        <f t="shared" ref="Q18" ca="1" si="48">OFFSET(dSmin,Q$9,R$9,1,1)</f>
        <v>18.8</v>
      </c>
      <c r="R18" s="154">
        <f t="shared" ref="R18" ca="1" si="49">OFFSET(dSmin,R$9,S$9,1,1)</f>
        <v>15.6</v>
      </c>
      <c r="S18" s="154">
        <f t="shared" ref="S18" ca="1" si="50">OFFSET(dSmin,S$9,T$9,1,1)</f>
        <v>25.5</v>
      </c>
      <c r="T18" s="154">
        <f t="shared" ref="T18" ca="1" si="51">OFFSET(dSmin,T$9,U$9,1,1)</f>
        <v>20.3</v>
      </c>
      <c r="U18" s="154">
        <f t="shared" ref="U18" ca="1" si="52">OFFSET(dSmin,U$9,V$9,1,1)</f>
        <v>18.8</v>
      </c>
      <c r="V18" s="154">
        <f t="shared" ref="V18" ca="1" si="53">OFFSET(dSmin,V$9,W$9,1,1)</f>
        <v>20.3</v>
      </c>
      <c r="W18" s="154">
        <f t="shared" ref="W18" ca="1" si="54">OFFSET(dSmin,W$9,X$9,1,1)</f>
        <v>19.3</v>
      </c>
      <c r="X18" s="154">
        <f t="shared" ref="X18" ca="1" si="55">OFFSET(dSmin,X$9,Y$9,1,1)</f>
        <v>20.3</v>
      </c>
      <c r="Y18" s="154">
        <f t="shared" ref="Y18" ca="1" si="56">OFFSET(dSmin,Y$9,Z$9,1,1)</f>
        <v>18.8</v>
      </c>
      <c r="Z18" s="154">
        <f t="shared" ref="Z18" ca="1" si="57">OFFSET(dSmin,Z$9,AA$9,1,1)</f>
        <v>20.3</v>
      </c>
      <c r="AA18" s="154">
        <f t="shared" ref="AA18" ca="1" si="58">OFFSET(dSmin,AA$9,AB$9,1,1)</f>
        <v>25.5</v>
      </c>
      <c r="AB18" s="154">
        <f t="shared" ref="AB18" ca="1" si="59">OFFSET(dSmin,AB$9,AC$9,1,1)</f>
        <v>20.3</v>
      </c>
      <c r="AC18" s="154">
        <f t="shared" ref="AC18" ca="1" si="60">OFFSET(dSmin,AC$9,AD$9,1,1)</f>
        <v>18.8</v>
      </c>
      <c r="AD18" s="154">
        <f t="shared" ref="AD18" ca="1" si="61">OFFSET(dSmin,AD$9,AE$9,1,1)</f>
        <v>20.3</v>
      </c>
      <c r="AE18" s="154">
        <f t="shared" ref="AE18" ca="1" si="62">OFFSET(dSmin,AE$9,AF$9,1,1)</f>
        <v>25.5</v>
      </c>
      <c r="AF18" s="154">
        <f t="shared" ref="AF18" ca="1" si="63">OFFSET(dSmin,AF$9,AG$9,1,1)</f>
        <v>0</v>
      </c>
    </row>
    <row r="19" spans="1:32">
      <c r="A19" s="31"/>
      <c r="B19" s="32"/>
      <c r="C19" s="174" t="s">
        <v>102</v>
      </c>
      <c r="D19" s="32">
        <f>Ta-15</f>
        <v>40</v>
      </c>
      <c r="E19" s="32">
        <f>Ta</f>
        <v>55</v>
      </c>
      <c r="F19" s="32">
        <f>Ta+15</f>
        <v>70</v>
      </c>
      <c r="G19" s="32"/>
      <c r="H19" s="32"/>
      <c r="I19" s="32"/>
      <c r="J19" s="32"/>
      <c r="K19" s="32"/>
      <c r="L19" s="40" t="s">
        <v>89</v>
      </c>
      <c r="M19" s="154">
        <f t="shared" ref="M19:AE19" ca="1" si="64">OFFSET(dSmax,M$9,N$9,1,1)</f>
        <v>18.8</v>
      </c>
      <c r="N19" s="154">
        <f t="shared" ref="N19" ca="1" si="65">OFFSET(dSmax,N$9,O$9,1,1)</f>
        <v>20.3</v>
      </c>
      <c r="O19" s="154">
        <f t="shared" ref="O19" ca="1" si="66">OFFSET(dSmax,O$9,P$9,1,1)</f>
        <v>25.5</v>
      </c>
      <c r="P19" s="154">
        <f t="shared" ref="P19" ca="1" si="67">OFFSET(dSmax,P$9,Q$9,1,1)</f>
        <v>20.3</v>
      </c>
      <c r="Q19" s="154">
        <f t="shared" ref="Q19" ca="1" si="68">OFFSET(dSmax,Q$9,R$9,1,1)</f>
        <v>23</v>
      </c>
      <c r="R19" s="154">
        <f t="shared" ref="R19" ca="1" si="69">OFFSET(dSmax,R$9,S$9,1,1)</f>
        <v>20.3</v>
      </c>
      <c r="S19" s="154">
        <f t="shared" ref="S19" ca="1" si="70">OFFSET(dSmax,S$9,T$9,1,1)</f>
        <v>25.5</v>
      </c>
      <c r="T19" s="154">
        <f t="shared" ref="T19" ca="1" si="71">OFFSET(dSmax,T$9,U$9,1,1)</f>
        <v>20.3</v>
      </c>
      <c r="U19" s="154">
        <f t="shared" ref="U19" ca="1" si="72">OFFSET(dSmax,U$9,V$9,1,1)</f>
        <v>18.8</v>
      </c>
      <c r="V19" s="154">
        <f t="shared" ref="V19" ca="1" si="73">OFFSET(dSmax,V$9,W$9,1,1)</f>
        <v>20.3</v>
      </c>
      <c r="W19" s="154">
        <f t="shared" ref="W19" ca="1" si="74">OFFSET(dSmax,W$9,X$9,1,1)</f>
        <v>25.5</v>
      </c>
      <c r="X19" s="154">
        <f t="shared" ref="X19" ca="1" si="75">OFFSET(dSmax,X$9,Y$9,1,1)</f>
        <v>23.6</v>
      </c>
      <c r="Y19" s="154">
        <f t="shared" ref="Y19" ca="1" si="76">OFFSET(dSmax,Y$9,Z$9,1,1)</f>
        <v>18.8</v>
      </c>
      <c r="Z19" s="154">
        <f t="shared" ref="Z19" ca="1" si="77">OFFSET(dSmax,Z$9,AA$9,1,1)</f>
        <v>20.3</v>
      </c>
      <c r="AA19" s="154">
        <f t="shared" ref="AA19" ca="1" si="78">OFFSET(dSmax,AA$9,AB$9,1,1)</f>
        <v>25.5</v>
      </c>
      <c r="AB19" s="154">
        <f t="shared" ref="AB19" ca="1" si="79">OFFSET(dSmax,AB$9,AC$9,1,1)</f>
        <v>20.3</v>
      </c>
      <c r="AC19" s="154">
        <f t="shared" ref="AC19" ca="1" si="80">OFFSET(dSmax,AC$9,AD$9,1,1)</f>
        <v>18.8</v>
      </c>
      <c r="AD19" s="154">
        <f t="shared" ref="AD19" ca="1" si="81">OFFSET(dSmax,AD$9,AE$9,1,1)</f>
        <v>20.3</v>
      </c>
      <c r="AE19" s="154">
        <f t="shared" ref="AE19" ca="1" si="82">OFFSET(dSmax,AE$9,AF$9,1,1)</f>
        <v>25.5</v>
      </c>
      <c r="AF19" s="154">
        <f t="shared" ref="AF19" ca="1" si="83">OFFSET(dSmax,AF$9,AG$9,1,1)</f>
        <v>0</v>
      </c>
    </row>
    <row r="20" spans="1:32">
      <c r="A20" s="31"/>
      <c r="B20" s="32"/>
      <c r="C20" s="174" t="s">
        <v>168</v>
      </c>
      <c r="D20" s="32">
        <f>0</f>
        <v>0</v>
      </c>
      <c r="E20" s="32">
        <f>I_senc</f>
        <v>0.2</v>
      </c>
      <c r="F20" s="32">
        <f>I_sat</f>
        <v>1</v>
      </c>
      <c r="G20" s="32"/>
      <c r="H20" s="32"/>
      <c r="I20" s="32"/>
      <c r="J20" s="32"/>
      <c r="K20" s="32"/>
      <c r="L20" s="40" t="s">
        <v>90</v>
      </c>
      <c r="M20" s="154">
        <f t="shared" ref="M20:AF20" ca="1" si="84">SUM(OFFSET(M16,0,0,1,PrimerLen-1))</f>
        <v>148.6</v>
      </c>
      <c r="N20" s="154">
        <f t="shared" ref="N20:AF20" ca="1" si="85">SUM(OFFSET(N16,0,0,1,PrimerLen-1))</f>
        <v>142.1</v>
      </c>
      <c r="O20" s="154">
        <f t="shared" ca="1" si="85"/>
        <v>134.4</v>
      </c>
      <c r="P20" s="154">
        <f t="shared" ca="1" si="85"/>
        <v>124.3</v>
      </c>
      <c r="Q20" s="154">
        <f t="shared" ca="1" si="85"/>
        <v>116.60000000000001</v>
      </c>
      <c r="R20" s="154">
        <f t="shared" ca="1" si="85"/>
        <v>110.1</v>
      </c>
      <c r="S20" s="154">
        <f t="shared" ca="1" si="85"/>
        <v>103.4</v>
      </c>
      <c r="T20" s="154">
        <f t="shared" ca="1" si="85"/>
        <v>93.3</v>
      </c>
      <c r="U20" s="154">
        <f t="shared" ca="1" si="85"/>
        <v>85.600000000000009</v>
      </c>
      <c r="V20" s="154">
        <f t="shared" ca="1" si="85"/>
        <v>79.099999999999994</v>
      </c>
      <c r="W20" s="154">
        <f t="shared" ca="1" si="85"/>
        <v>71.400000000000006</v>
      </c>
      <c r="X20" s="154">
        <f t="shared" ca="1" si="85"/>
        <v>64</v>
      </c>
      <c r="Y20" s="154">
        <f t="shared" ca="1" si="85"/>
        <v>56.300000000000004</v>
      </c>
      <c r="Z20" s="154">
        <f t="shared" ca="1" si="85"/>
        <v>49.800000000000004</v>
      </c>
      <c r="AA20" s="154">
        <f t="shared" ca="1" si="85"/>
        <v>42.1</v>
      </c>
      <c r="AB20" s="154">
        <f t="shared" ca="1" si="85"/>
        <v>32</v>
      </c>
      <c r="AC20" s="154">
        <f t="shared" ca="1" si="85"/>
        <v>24.299999999999997</v>
      </c>
      <c r="AD20" s="154">
        <f t="shared" ca="1" si="85"/>
        <v>17.8</v>
      </c>
      <c r="AE20" s="154">
        <f t="shared" ca="1" si="85"/>
        <v>10.1</v>
      </c>
      <c r="AF20" s="154">
        <f t="shared" ca="1" si="85"/>
        <v>0</v>
      </c>
    </row>
    <row r="21" spans="1:32">
      <c r="A21" s="31"/>
      <c r="B21" s="32"/>
      <c r="C21" s="32"/>
      <c r="D21" s="32"/>
      <c r="E21" s="32"/>
      <c r="F21" s="32"/>
      <c r="G21" s="32"/>
      <c r="H21" s="32"/>
      <c r="I21" s="35"/>
      <c r="J21" s="35"/>
      <c r="K21" s="35"/>
      <c r="L21" s="40" t="s">
        <v>91</v>
      </c>
      <c r="M21" s="154">
        <f t="shared" ref="M21:AF21" ca="1" si="86">SUM(OFFSET(M17,0,0,1,PrimerLen-1))</f>
        <v>155.09999999999997</v>
      </c>
      <c r="N21" s="154">
        <f t="shared" ref="N21:AF21" ca="1" si="87">SUM(OFFSET(N17,0,0,1,PrimerLen-1))</f>
        <v>148.6</v>
      </c>
      <c r="O21" s="154">
        <f t="shared" ca="1" si="87"/>
        <v>140.9</v>
      </c>
      <c r="P21" s="154">
        <f t="shared" ca="1" si="87"/>
        <v>130.80000000000001</v>
      </c>
      <c r="Q21" s="154">
        <f t="shared" ca="1" si="87"/>
        <v>123.10000000000001</v>
      </c>
      <c r="R21" s="154">
        <f t="shared" ca="1" si="87"/>
        <v>114.5</v>
      </c>
      <c r="S21" s="154">
        <f t="shared" ca="1" si="87"/>
        <v>106.8</v>
      </c>
      <c r="T21" s="154">
        <f t="shared" ca="1" si="87"/>
        <v>96.7</v>
      </c>
      <c r="U21" s="154">
        <f t="shared" ca="1" si="87"/>
        <v>89</v>
      </c>
      <c r="V21" s="154">
        <f t="shared" ca="1" si="87"/>
        <v>82.500000000000014</v>
      </c>
      <c r="W21" s="154">
        <f t="shared" ca="1" si="87"/>
        <v>74.8</v>
      </c>
      <c r="X21" s="154">
        <f t="shared" ca="1" si="87"/>
        <v>64.7</v>
      </c>
      <c r="Y21" s="154">
        <f t="shared" ca="1" si="87"/>
        <v>56.300000000000004</v>
      </c>
      <c r="Z21" s="154">
        <f t="shared" ca="1" si="87"/>
        <v>49.800000000000004</v>
      </c>
      <c r="AA21" s="154">
        <f t="shared" ca="1" si="87"/>
        <v>42.1</v>
      </c>
      <c r="AB21" s="154">
        <f t="shared" ca="1" si="87"/>
        <v>32</v>
      </c>
      <c r="AC21" s="154">
        <f t="shared" ca="1" si="87"/>
        <v>24.299999999999997</v>
      </c>
      <c r="AD21" s="154">
        <f t="shared" ca="1" si="87"/>
        <v>17.8</v>
      </c>
      <c r="AE21" s="154">
        <f t="shared" ca="1" si="87"/>
        <v>10.1</v>
      </c>
      <c r="AF21" s="154">
        <f t="shared" ca="1" si="87"/>
        <v>0</v>
      </c>
    </row>
    <row r="22" spans="1:32">
      <c r="L22" s="40" t="s">
        <v>92</v>
      </c>
      <c r="M22" s="154">
        <f t="shared" ref="M22:AF22" ca="1" si="88">SUM(OFFSET(M18,0,0,1,PrimerLen-1))</f>
        <v>393.30000000000007</v>
      </c>
      <c r="N22" s="154">
        <f t="shared" ref="N22:AF22" ca="1" si="89">SUM(OFFSET(N18,0,0,1,PrimerLen-1))</f>
        <v>374.50000000000006</v>
      </c>
      <c r="O22" s="154">
        <f t="shared" ca="1" si="89"/>
        <v>354.2000000000001</v>
      </c>
      <c r="P22" s="154">
        <f t="shared" ca="1" si="89"/>
        <v>328.70000000000005</v>
      </c>
      <c r="Q22" s="154">
        <f t="shared" ca="1" si="89"/>
        <v>308.40000000000003</v>
      </c>
      <c r="R22" s="154">
        <f t="shared" ca="1" si="89"/>
        <v>289.60000000000002</v>
      </c>
      <c r="S22" s="154">
        <f t="shared" ca="1" si="89"/>
        <v>274</v>
      </c>
      <c r="T22" s="154">
        <f t="shared" ca="1" si="89"/>
        <v>248.50000000000003</v>
      </c>
      <c r="U22" s="154">
        <f t="shared" ca="1" si="89"/>
        <v>228.20000000000005</v>
      </c>
      <c r="V22" s="154">
        <f t="shared" ca="1" si="89"/>
        <v>209.40000000000003</v>
      </c>
      <c r="W22" s="154">
        <f t="shared" ca="1" si="89"/>
        <v>189.10000000000002</v>
      </c>
      <c r="X22" s="154">
        <f t="shared" ca="1" si="89"/>
        <v>169.8</v>
      </c>
      <c r="Y22" s="154">
        <f t="shared" ca="1" si="89"/>
        <v>149.5</v>
      </c>
      <c r="Z22" s="154">
        <f t="shared" ca="1" si="89"/>
        <v>130.69999999999999</v>
      </c>
      <c r="AA22" s="154">
        <f t="shared" ca="1" si="89"/>
        <v>110.39999999999999</v>
      </c>
      <c r="AB22" s="154">
        <f t="shared" ca="1" si="89"/>
        <v>84.9</v>
      </c>
      <c r="AC22" s="154">
        <f t="shared" ca="1" si="89"/>
        <v>64.599999999999994</v>
      </c>
      <c r="AD22" s="154">
        <f t="shared" ca="1" si="89"/>
        <v>45.8</v>
      </c>
      <c r="AE22" s="154">
        <f t="shared" ca="1" si="89"/>
        <v>25.5</v>
      </c>
      <c r="AF22" s="154">
        <f t="shared" ca="1" si="89"/>
        <v>0</v>
      </c>
    </row>
    <row r="23" spans="1:32">
      <c r="C23" s="36"/>
      <c r="L23" s="40" t="s">
        <v>93</v>
      </c>
      <c r="M23" s="154">
        <f t="shared" ref="M23:AF23" ca="1" si="90">SUM(OFFSET(M19,0,0,1,PrimerLen-1))</f>
        <v>411.7000000000001</v>
      </c>
      <c r="N23" s="154">
        <f t="shared" ref="N23:AF23" ca="1" si="91">SUM(OFFSET(N19,0,0,1,PrimerLen-1))</f>
        <v>392.90000000000003</v>
      </c>
      <c r="O23" s="154">
        <f t="shared" ca="1" si="91"/>
        <v>372.60000000000008</v>
      </c>
      <c r="P23" s="154">
        <f t="shared" ca="1" si="91"/>
        <v>347.10000000000008</v>
      </c>
      <c r="Q23" s="154">
        <f t="shared" ca="1" si="91"/>
        <v>326.8</v>
      </c>
      <c r="R23" s="154">
        <f t="shared" ca="1" si="91"/>
        <v>303.8</v>
      </c>
      <c r="S23" s="154">
        <f t="shared" ca="1" si="91"/>
        <v>283.50000000000006</v>
      </c>
      <c r="T23" s="154">
        <f t="shared" ca="1" si="91"/>
        <v>258</v>
      </c>
      <c r="U23" s="154">
        <f t="shared" ca="1" si="91"/>
        <v>237.70000000000002</v>
      </c>
      <c r="V23" s="154">
        <f t="shared" ca="1" si="91"/>
        <v>218.90000000000003</v>
      </c>
      <c r="W23" s="154">
        <f t="shared" ca="1" si="91"/>
        <v>198.60000000000002</v>
      </c>
      <c r="X23" s="154">
        <f t="shared" ca="1" si="91"/>
        <v>173.1</v>
      </c>
      <c r="Y23" s="154">
        <f t="shared" ca="1" si="91"/>
        <v>149.5</v>
      </c>
      <c r="Z23" s="154">
        <f t="shared" ca="1" si="91"/>
        <v>130.69999999999999</v>
      </c>
      <c r="AA23" s="154">
        <f t="shared" ca="1" si="91"/>
        <v>110.39999999999999</v>
      </c>
      <c r="AB23" s="154">
        <f t="shared" ca="1" si="91"/>
        <v>84.9</v>
      </c>
      <c r="AC23" s="154">
        <f t="shared" ca="1" si="91"/>
        <v>64.599999999999994</v>
      </c>
      <c r="AD23" s="154">
        <f t="shared" ca="1" si="91"/>
        <v>45.8</v>
      </c>
      <c r="AE23" s="154">
        <f t="shared" ca="1" si="91"/>
        <v>25.5</v>
      </c>
      <c r="AF23" s="154">
        <f t="shared" ca="1" si="91"/>
        <v>0</v>
      </c>
    </row>
    <row r="24" spans="1:32">
      <c r="A24" s="31"/>
      <c r="B24" s="32"/>
      <c r="C24" s="136" t="s">
        <v>129</v>
      </c>
      <c r="D24" s="32" t="s">
        <v>132</v>
      </c>
      <c r="E24" s="32"/>
      <c r="F24" s="32"/>
      <c r="G24" s="32"/>
      <c r="H24" s="32"/>
      <c r="I24" s="32"/>
      <c r="J24" s="32"/>
      <c r="K24" s="32"/>
      <c r="L24" s="40" t="s">
        <v>97</v>
      </c>
      <c r="M24" s="154"/>
      <c r="N24" s="154"/>
      <c r="O24" s="154"/>
      <c r="P24" s="154"/>
      <c r="Q24" s="154"/>
      <c r="R24" s="154"/>
      <c r="S24" s="154"/>
      <c r="T24" s="154"/>
      <c r="U24" s="154"/>
      <c r="V24" s="154"/>
      <c r="W24" s="154"/>
      <c r="X24" s="154"/>
      <c r="Y24" s="154"/>
      <c r="Z24" s="154"/>
      <c r="AA24" s="154"/>
      <c r="AB24" s="154"/>
      <c r="AC24" s="154"/>
      <c r="AD24" s="154"/>
      <c r="AE24" s="154"/>
      <c r="AF24" s="154"/>
    </row>
    <row r="25" spans="1:32" s="35" customFormat="1">
      <c r="A25" s="38"/>
      <c r="C25" s="135" t="s">
        <v>126</v>
      </c>
      <c r="L25" s="40" t="s">
        <v>100</v>
      </c>
      <c r="M25" s="154"/>
      <c r="N25" s="154"/>
      <c r="O25" s="154"/>
      <c r="P25" s="154"/>
      <c r="Q25" s="154"/>
      <c r="R25" s="154"/>
      <c r="S25" s="154"/>
      <c r="T25" s="154"/>
      <c r="U25" s="154"/>
      <c r="V25" s="154"/>
      <c r="W25" s="154"/>
      <c r="X25" s="154"/>
      <c r="Y25" s="154"/>
      <c r="Z25" s="154"/>
      <c r="AA25" s="154"/>
      <c r="AB25" s="154"/>
      <c r="AC25" s="154"/>
      <c r="AD25" s="154"/>
      <c r="AE25" s="154"/>
      <c r="AF25" s="154"/>
    </row>
    <row r="26" spans="1:32" ht="15" customHeight="1">
      <c r="C26" s="36">
        <f ca="1">IF(OR(Align!$A22=FALSE,AND(Align!F22&lt;=MaxMM,Align!$H22&lt;MinLen)),"",Align!F22)</f>
        <v>0</v>
      </c>
      <c r="D26">
        <f ca="1">IF(OR(Align!$A22=FALSE,AND(Align!G22&lt;=MaxMM,Align!$H22&lt;MinLen)),"",Align!G22)</f>
        <v>2</v>
      </c>
      <c r="M26" t="str">
        <f ca="1">IF(OR(Align!M$10=FALSE,Align!M22=Align!M$9,Align!M22=""),"",IF(Align!M22="-",3,IF(BinAnd(FIND(Align!M22,CodDegElegir)-1,M$9),1,2)))</f>
        <v/>
      </c>
      <c r="N26" t="str">
        <f ca="1">IF(OR(Align!N$10=FALSE,Align!N22=Align!N$9,Align!N22=""),"",IF(Align!N22="-",3,IF(BinAnd(FIND(Align!N22,CodDegElegir)-1,N$9),1,2)))</f>
        <v/>
      </c>
      <c r="O26" t="str">
        <f ca="1">IF(OR(Align!O$10=FALSE,Align!O22=Align!O$9,Align!O22=""),"",IF(Align!O22="-",3,IF(BinAnd(FIND(Align!O22,CodDegElegir)-1,O$9),1,2)))</f>
        <v/>
      </c>
      <c r="P26" t="str">
        <f ca="1">IF(OR(Align!P$10=FALSE,Align!P22=Align!P$9,Align!P22=""),"",IF(Align!P22="-",3,IF(BinAnd(FIND(Align!P22,CodDegElegir)-1,P$9),1,2)))</f>
        <v/>
      </c>
      <c r="Q26" t="str">
        <f ca="1">IF(OR(Align!Q$10=FALSE,Align!Q22=Align!Q$9,Align!Q22=""),"",IF(Align!Q22="-",3,IF(BinAnd(FIND(Align!Q22,CodDegElegir)-1,Q$9),1,2)))</f>
        <v/>
      </c>
      <c r="R26">
        <f ca="1">IF(OR(Align!R$10=FALSE,Align!R22=Align!R$9,Align!R22=""),"",IF(Align!R22="-",3,IF(BinAnd(FIND(Align!R22,CodDegElegir)-1,R$9),1,2)))</f>
        <v>1</v>
      </c>
      <c r="S26" t="str">
        <f ca="1">IF(OR(Align!S$10=FALSE,Align!S22=Align!S$9,Align!S22=""),"",IF(Align!S22="-",3,IF(BinAnd(FIND(Align!S22,CodDegElegir)-1,S$9),1,2)))</f>
        <v/>
      </c>
      <c r="T26" t="str">
        <f ca="1">IF(OR(Align!T$10=FALSE,Align!T22=Align!T$9,Align!T22=""),"",IF(Align!T22="-",3,IF(BinAnd(FIND(Align!T22,CodDegElegir)-1,T$9),1,2)))</f>
        <v/>
      </c>
      <c r="U26" t="str">
        <f ca="1">IF(OR(Align!U$10=FALSE,Align!U22=Align!U$9,Align!U22=""),"",IF(Align!U22="-",3,IF(BinAnd(FIND(Align!U22,CodDegElegir)-1,U$9),1,2)))</f>
        <v/>
      </c>
      <c r="V26" t="str">
        <f ca="1">IF(OR(Align!V$10=FALSE,Align!V22=Align!V$9,Align!V22=""),"",IF(Align!V22="-",3,IF(BinAnd(FIND(Align!V22,CodDegElegir)-1,V$9),1,2)))</f>
        <v/>
      </c>
      <c r="W26" t="str">
        <f ca="1">IF(OR(Align!W$10=FALSE,Align!W22=Align!W$9,Align!W22=""),"",IF(Align!W22="-",3,IF(BinAnd(FIND(Align!W22,CodDegElegir)-1,W$9),1,2)))</f>
        <v/>
      </c>
      <c r="X26">
        <f ca="1">IF(OR(Align!X$10=FALSE,Align!X22=Align!X$9,Align!X22=""),"",IF(Align!X22="-",3,IF(BinAnd(FIND(Align!X22,CodDegElegir)-1,X$9),1,2)))</f>
        <v>1</v>
      </c>
      <c r="Y26" t="str">
        <f ca="1">IF(OR(Align!Y$10=FALSE,Align!Y22=Align!Y$9,Align!Y22=""),"",IF(Align!Y22="-",3,IF(BinAnd(FIND(Align!Y22,CodDegElegir)-1,Y$9),1,2)))</f>
        <v/>
      </c>
      <c r="Z26" t="str">
        <f ca="1">IF(OR(Align!Z$10=FALSE,Align!Z22=Align!Z$9,Align!Z22=""),"",IF(Align!Z22="-",3,IF(BinAnd(FIND(Align!Z22,CodDegElegir)-1,Z$9),1,2)))</f>
        <v/>
      </c>
      <c r="AA26" t="str">
        <f ca="1">IF(OR(Align!AA$10=FALSE,Align!AA22=Align!AA$9,Align!AA22=""),"",IF(Align!AA22="-",3,IF(BinAnd(FIND(Align!AA22,CodDegElegir)-1,AA$9),1,2)))</f>
        <v/>
      </c>
      <c r="AB26" t="str">
        <f ca="1">IF(OR(Align!AB$10=FALSE,Align!AB22=Align!AB$9,Align!AB22=""),"",IF(Align!AB22="-",3,IF(BinAnd(FIND(Align!AB22,CodDegElegir)-1,AB$9),1,2)))</f>
        <v/>
      </c>
      <c r="AC26" t="str">
        <f ca="1">IF(OR(Align!AC$10=FALSE,Align!AC22=Align!AC$9,Align!AC22=""),"",IF(Align!AC22="-",3,IF(BinAnd(FIND(Align!AC22,CodDegElegir)-1,AC$9),1,2)))</f>
        <v/>
      </c>
      <c r="AD26" t="str">
        <f ca="1">IF(OR(Align!AD$10=FALSE,Align!AD22=Align!AD$9,Align!AD22=""),"",IF(Align!AD22="-",3,IF(BinAnd(FIND(Align!AD22,CodDegElegir)-1,AD$9),1,2)))</f>
        <v/>
      </c>
      <c r="AE26" t="str">
        <f ca="1">IF(OR(Align!AE$10=FALSE,Align!AE22=Align!AE$9,Align!AE22=""),"",IF(Align!AE22="-",3,IF(BinAnd(FIND(Align!AE22,CodDegElegir)-1,AE$9),1,2)))</f>
        <v/>
      </c>
      <c r="AF26" t="str">
        <f ca="1">IF(OR(Align!AF$10=FALSE,Align!AF22=Align!AF$9,Align!AF22=""),"",IF(Align!AF22="-",3,IF(BinAnd(FIND(Align!AF22,CodDegElegir)-1,AF$9),1,2)))</f>
        <v/>
      </c>
    </row>
    <row r="27" spans="1:32" ht="15" customHeight="1">
      <c r="C27" s="36">
        <f ca="1">IF(OR(Align!$A23=FALSE,AND(Align!F23&lt;=MaxMM,Align!$H23&lt;MinLen)),"",Align!F23)</f>
        <v>0</v>
      </c>
      <c r="D27">
        <f ca="1">IF(OR(Align!$A23=FALSE,AND(Align!G23&lt;=MaxMM,Align!$H23&lt;MinLen)),"",Align!G23)</f>
        <v>2</v>
      </c>
      <c r="M27" t="str">
        <f ca="1">IF(OR(Align!M$10=FALSE,Align!M23=Align!M$9,Align!M23=""),"",IF(Align!M23="-",3,IF(BinAnd(FIND(Align!M23,CodDegElegir)-1,M$9),1,2)))</f>
        <v/>
      </c>
      <c r="N27" t="str">
        <f ca="1">IF(OR(Align!N$10=FALSE,Align!N23=Align!N$9,Align!N23=""),"",IF(Align!N23="-",3,IF(BinAnd(FIND(Align!N23,CodDegElegir)-1,N$9),1,2)))</f>
        <v/>
      </c>
      <c r="O27" t="str">
        <f ca="1">IF(OR(Align!O$10=FALSE,Align!O23=Align!O$9,Align!O23=""),"",IF(Align!O23="-",3,IF(BinAnd(FIND(Align!O23,CodDegElegir)-1,O$9),1,2)))</f>
        <v/>
      </c>
      <c r="P27" t="str">
        <f ca="1">IF(OR(Align!P$10=FALSE,Align!P23=Align!P$9,Align!P23=""),"",IF(Align!P23="-",3,IF(BinAnd(FIND(Align!P23,CodDegElegir)-1,P$9),1,2)))</f>
        <v/>
      </c>
      <c r="Q27" t="str">
        <f ca="1">IF(OR(Align!Q$10=FALSE,Align!Q23=Align!Q$9,Align!Q23=""),"",IF(Align!Q23="-",3,IF(BinAnd(FIND(Align!Q23,CodDegElegir)-1,Q$9),1,2)))</f>
        <v/>
      </c>
      <c r="R27">
        <f ca="1">IF(OR(Align!R$10=FALSE,Align!R23=Align!R$9,Align!R23=""),"",IF(Align!R23="-",3,IF(BinAnd(FIND(Align!R23,CodDegElegir)-1,R$9),1,2)))</f>
        <v>1</v>
      </c>
      <c r="S27" t="str">
        <f ca="1">IF(OR(Align!S$10=FALSE,Align!S23=Align!S$9,Align!S23=""),"",IF(Align!S23="-",3,IF(BinAnd(FIND(Align!S23,CodDegElegir)-1,S$9),1,2)))</f>
        <v/>
      </c>
      <c r="T27" t="str">
        <f ca="1">IF(OR(Align!T$10=FALSE,Align!T23=Align!T$9,Align!T23=""),"",IF(Align!T23="-",3,IF(BinAnd(FIND(Align!T23,CodDegElegir)-1,T$9),1,2)))</f>
        <v/>
      </c>
      <c r="U27" t="str">
        <f ca="1">IF(OR(Align!U$10=FALSE,Align!U23=Align!U$9,Align!U23=""),"",IF(Align!U23="-",3,IF(BinAnd(FIND(Align!U23,CodDegElegir)-1,U$9),1,2)))</f>
        <v/>
      </c>
      <c r="V27" t="str">
        <f ca="1">IF(OR(Align!V$10=FALSE,Align!V23=Align!V$9,Align!V23=""),"",IF(Align!V23="-",3,IF(BinAnd(FIND(Align!V23,CodDegElegir)-1,V$9),1,2)))</f>
        <v/>
      </c>
      <c r="W27" t="str">
        <f ca="1">IF(OR(Align!W$10=FALSE,Align!W23=Align!W$9,Align!W23=""),"",IF(Align!W23="-",3,IF(BinAnd(FIND(Align!W23,CodDegElegir)-1,W$9),1,2)))</f>
        <v/>
      </c>
      <c r="X27">
        <f ca="1">IF(OR(Align!X$10=FALSE,Align!X23=Align!X$9,Align!X23=""),"",IF(Align!X23="-",3,IF(BinAnd(FIND(Align!X23,CodDegElegir)-1,X$9),1,2)))</f>
        <v>1</v>
      </c>
      <c r="Y27" t="str">
        <f ca="1">IF(OR(Align!Y$10=FALSE,Align!Y23=Align!Y$9,Align!Y23=""),"",IF(Align!Y23="-",3,IF(BinAnd(FIND(Align!Y23,CodDegElegir)-1,Y$9),1,2)))</f>
        <v/>
      </c>
      <c r="Z27" t="str">
        <f ca="1">IF(OR(Align!Z$10=FALSE,Align!Z23=Align!Z$9,Align!Z23=""),"",IF(Align!Z23="-",3,IF(BinAnd(FIND(Align!Z23,CodDegElegir)-1,Z$9),1,2)))</f>
        <v/>
      </c>
      <c r="AA27" t="str">
        <f ca="1">IF(OR(Align!AA$10=FALSE,Align!AA23=Align!AA$9,Align!AA23=""),"",IF(Align!AA23="-",3,IF(BinAnd(FIND(Align!AA23,CodDegElegir)-1,AA$9),1,2)))</f>
        <v/>
      </c>
      <c r="AB27" t="str">
        <f ca="1">IF(OR(Align!AB$10=FALSE,Align!AB23=Align!AB$9,Align!AB23=""),"",IF(Align!AB23="-",3,IF(BinAnd(FIND(Align!AB23,CodDegElegir)-1,AB$9),1,2)))</f>
        <v/>
      </c>
      <c r="AC27" t="str">
        <f ca="1">IF(OR(Align!AC$10=FALSE,Align!AC23=Align!AC$9,Align!AC23=""),"",IF(Align!AC23="-",3,IF(BinAnd(FIND(Align!AC23,CodDegElegir)-1,AC$9),1,2)))</f>
        <v/>
      </c>
      <c r="AD27" t="str">
        <f ca="1">IF(OR(Align!AD$10=FALSE,Align!AD23=Align!AD$9,Align!AD23=""),"",IF(Align!AD23="-",3,IF(BinAnd(FIND(Align!AD23,CodDegElegir)-1,AD$9),1,2)))</f>
        <v/>
      </c>
      <c r="AE27" t="str">
        <f ca="1">IF(OR(Align!AE$10=FALSE,Align!AE23=Align!AE$9,Align!AE23=""),"",IF(Align!AE23="-",3,IF(BinAnd(FIND(Align!AE23,CodDegElegir)-1,AE$9),1,2)))</f>
        <v/>
      </c>
      <c r="AF27" t="str">
        <f ca="1">IF(OR(Align!AF$10=FALSE,Align!AF23=Align!AF$9,Align!AF23=""),"",IF(Align!AF23="-",3,IF(BinAnd(FIND(Align!AF23,CodDegElegir)-1,AF$9),1,2)))</f>
        <v/>
      </c>
    </row>
    <row r="28" spans="1:32" ht="15" customHeight="1">
      <c r="C28" s="36">
        <f ca="1">IF(OR(Align!$A24=FALSE,AND(Align!F24&lt;=MaxMM,Align!$H24&lt;MinLen)),"",Align!F24)</f>
        <v>0</v>
      </c>
      <c r="D28">
        <f ca="1">IF(OR(Align!$A24=FALSE,AND(Align!G24&lt;=MaxMM,Align!$H24&lt;MinLen)),"",Align!G24)</f>
        <v>2</v>
      </c>
      <c r="M28" t="str">
        <f ca="1">IF(OR(Align!M$10=FALSE,Align!M24=Align!M$9,Align!M24=""),"",IF(Align!M24="-",3,IF(BinAnd(FIND(Align!M24,CodDegElegir)-1,M$9),1,2)))</f>
        <v/>
      </c>
      <c r="N28" t="str">
        <f ca="1">IF(OR(Align!N$10=FALSE,Align!N24=Align!N$9,Align!N24=""),"",IF(Align!N24="-",3,IF(BinAnd(FIND(Align!N24,CodDegElegir)-1,N$9),1,2)))</f>
        <v/>
      </c>
      <c r="O28" t="str">
        <f ca="1">IF(OR(Align!O$10=FALSE,Align!O24=Align!O$9,Align!O24=""),"",IF(Align!O24="-",3,IF(BinAnd(FIND(Align!O24,CodDegElegir)-1,O$9),1,2)))</f>
        <v/>
      </c>
      <c r="P28" t="str">
        <f ca="1">IF(OR(Align!P$10=FALSE,Align!P24=Align!P$9,Align!P24=""),"",IF(Align!P24="-",3,IF(BinAnd(FIND(Align!P24,CodDegElegir)-1,P$9),1,2)))</f>
        <v/>
      </c>
      <c r="Q28" t="str">
        <f ca="1">IF(OR(Align!Q$10=FALSE,Align!Q24=Align!Q$9,Align!Q24=""),"",IF(Align!Q24="-",3,IF(BinAnd(FIND(Align!Q24,CodDegElegir)-1,Q$9),1,2)))</f>
        <v/>
      </c>
      <c r="R28">
        <f ca="1">IF(OR(Align!R$10=FALSE,Align!R24=Align!R$9,Align!R24=""),"",IF(Align!R24="-",3,IF(BinAnd(FIND(Align!R24,CodDegElegir)-1,R$9),1,2)))</f>
        <v>1</v>
      </c>
      <c r="S28" t="str">
        <f ca="1">IF(OR(Align!S$10=FALSE,Align!S24=Align!S$9,Align!S24=""),"",IF(Align!S24="-",3,IF(BinAnd(FIND(Align!S24,CodDegElegir)-1,S$9),1,2)))</f>
        <v/>
      </c>
      <c r="T28" t="str">
        <f ca="1">IF(OR(Align!T$10=FALSE,Align!T24=Align!T$9,Align!T24=""),"",IF(Align!T24="-",3,IF(BinAnd(FIND(Align!T24,CodDegElegir)-1,T$9),1,2)))</f>
        <v/>
      </c>
      <c r="U28" t="str">
        <f ca="1">IF(OR(Align!U$10=FALSE,Align!U24=Align!U$9,Align!U24=""),"",IF(Align!U24="-",3,IF(BinAnd(FIND(Align!U24,CodDegElegir)-1,U$9),1,2)))</f>
        <v/>
      </c>
      <c r="V28" t="str">
        <f ca="1">IF(OR(Align!V$10=FALSE,Align!V24=Align!V$9,Align!V24=""),"",IF(Align!V24="-",3,IF(BinAnd(FIND(Align!V24,CodDegElegir)-1,V$9),1,2)))</f>
        <v/>
      </c>
      <c r="W28" t="str">
        <f ca="1">IF(OR(Align!W$10=FALSE,Align!W24=Align!W$9,Align!W24=""),"",IF(Align!W24="-",3,IF(BinAnd(FIND(Align!W24,CodDegElegir)-1,W$9),1,2)))</f>
        <v/>
      </c>
      <c r="X28">
        <f ca="1">IF(OR(Align!X$10=FALSE,Align!X24=Align!X$9,Align!X24=""),"",IF(Align!X24="-",3,IF(BinAnd(FIND(Align!X24,CodDegElegir)-1,X$9),1,2)))</f>
        <v>1</v>
      </c>
      <c r="Y28" t="str">
        <f ca="1">IF(OR(Align!Y$10=FALSE,Align!Y24=Align!Y$9,Align!Y24=""),"",IF(Align!Y24="-",3,IF(BinAnd(FIND(Align!Y24,CodDegElegir)-1,Y$9),1,2)))</f>
        <v/>
      </c>
      <c r="Z28" t="str">
        <f ca="1">IF(OR(Align!Z$10=FALSE,Align!Z24=Align!Z$9,Align!Z24=""),"",IF(Align!Z24="-",3,IF(BinAnd(FIND(Align!Z24,CodDegElegir)-1,Z$9),1,2)))</f>
        <v/>
      </c>
      <c r="AA28" t="str">
        <f ca="1">IF(OR(Align!AA$10=FALSE,Align!AA24=Align!AA$9,Align!AA24=""),"",IF(Align!AA24="-",3,IF(BinAnd(FIND(Align!AA24,CodDegElegir)-1,AA$9),1,2)))</f>
        <v/>
      </c>
      <c r="AB28" t="str">
        <f ca="1">IF(OR(Align!AB$10=FALSE,Align!AB24=Align!AB$9,Align!AB24=""),"",IF(Align!AB24="-",3,IF(BinAnd(FIND(Align!AB24,CodDegElegir)-1,AB$9),1,2)))</f>
        <v/>
      </c>
      <c r="AC28" t="str">
        <f ca="1">IF(OR(Align!AC$10=FALSE,Align!AC24=Align!AC$9,Align!AC24=""),"",IF(Align!AC24="-",3,IF(BinAnd(FIND(Align!AC24,CodDegElegir)-1,AC$9),1,2)))</f>
        <v/>
      </c>
      <c r="AD28" t="str">
        <f ca="1">IF(OR(Align!AD$10=FALSE,Align!AD24=Align!AD$9,Align!AD24=""),"",IF(Align!AD24="-",3,IF(BinAnd(FIND(Align!AD24,CodDegElegir)-1,AD$9),1,2)))</f>
        <v/>
      </c>
      <c r="AE28" t="str">
        <f ca="1">IF(OR(Align!AE$10=FALSE,Align!AE24=Align!AE$9,Align!AE24=""),"",IF(Align!AE24="-",3,IF(BinAnd(FIND(Align!AE24,CodDegElegir)-1,AE$9),1,2)))</f>
        <v/>
      </c>
      <c r="AF28" t="str">
        <f ca="1">IF(OR(Align!AF$10=FALSE,Align!AF24=Align!AF$9,Align!AF24=""),"",IF(Align!AF24="-",3,IF(BinAnd(FIND(Align!AF24,CodDegElegir)-1,AF$9),1,2)))</f>
        <v/>
      </c>
    </row>
  </sheetData>
  <pageMargins left="0.7" right="0.7" top="0.78740157499999996" bottom="0.78740157499999996" header="0.3" footer="0.3"/>
  <pageSetup paperSize="9" orientation="portrait" horizontalDpi="1200" verticalDpi="1200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10</vt:i4>
      </vt:variant>
      <vt:variant>
        <vt:lpstr>Benannte Bereiche</vt:lpstr>
      </vt:variant>
      <vt:variant>
        <vt:i4>99</vt:i4>
      </vt:variant>
    </vt:vector>
  </HeadingPairs>
  <TitlesOfParts>
    <vt:vector size="109" baseType="lpstr">
      <vt:lpstr>ReadMe</vt:lpstr>
      <vt:lpstr>Import</vt:lpstr>
      <vt:lpstr>Align</vt:lpstr>
      <vt:lpstr>Oligos</vt:lpstr>
      <vt:lpstr>NNparam</vt:lpstr>
      <vt:lpstr>CodDeg</vt:lpstr>
      <vt:lpstr>dH</vt:lpstr>
      <vt:lpstr>dS</vt:lpstr>
      <vt:lpstr>I2G</vt:lpstr>
      <vt:lpstr>Match</vt:lpstr>
      <vt:lpstr>A</vt:lpstr>
      <vt:lpstr>ActivPrim</vt:lpstr>
      <vt:lpstr>ActPrimLen</vt:lpstr>
      <vt:lpstr>Align.ColH_first</vt:lpstr>
      <vt:lpstr>Align.Data</vt:lpstr>
      <vt:lpstr>Align.DataBeg</vt:lpstr>
      <vt:lpstr>Align.DistNt</vt:lpstr>
      <vt:lpstr>Align.in_active_primer</vt:lpstr>
      <vt:lpstr>Align.primer_mark</vt:lpstr>
      <vt:lpstr>Align.RowH_first</vt:lpstr>
      <vt:lpstr>Align.UsedCons</vt:lpstr>
      <vt:lpstr>AT</vt:lpstr>
      <vt:lpstr>CCATGCTAATGCTAGAGCCTTTTCGCATCTAGCTTCTAAGTTGATCGAAACGGAGGTAGACCCATCCGATACGATCCTAGACATAGGCAGTGCGCCT</vt:lpstr>
      <vt:lpstr>Ce</vt:lpstr>
      <vt:lpstr>Cla</vt:lpstr>
      <vt:lpstr>ClassHeaders</vt:lpstr>
      <vt:lpstr>CodComplElegir</vt:lpstr>
      <vt:lpstr>CodDeg</vt:lpstr>
      <vt:lpstr>CodDegElegir</vt:lpstr>
      <vt:lpstr>Align!col</vt:lpstr>
      <vt:lpstr>currPrimerPosition</vt:lpstr>
      <vt:lpstr>Description</vt:lpstr>
      <vt:lpstr>dG_X</vt:lpstr>
      <vt:lpstr>dH</vt:lpstr>
      <vt:lpstr>dHmax</vt:lpstr>
      <vt:lpstr>dHmin</vt:lpstr>
      <vt:lpstr>Import!Druckbereich</vt:lpstr>
      <vt:lpstr>Oligos!Druckbereich</vt:lpstr>
      <vt:lpstr>dS</vt:lpstr>
      <vt:lpstr>dSmax</vt:lpstr>
      <vt:lpstr>dSmin</vt:lpstr>
      <vt:lpstr>ErrorFiltre</vt:lpstr>
      <vt:lpstr>Esp</vt:lpstr>
      <vt:lpstr>f_max</vt:lpstr>
      <vt:lpstr>f_med</vt:lpstr>
      <vt:lpstr>f_min</vt:lpstr>
      <vt:lpstr>FastaFileNAme</vt:lpstr>
      <vt:lpstr>G</vt:lpstr>
      <vt:lpstr>G_sat</vt:lpstr>
      <vt:lpstr>G_senc</vt:lpstr>
      <vt:lpstr>GC</vt:lpstr>
      <vt:lpstr>Gr</vt:lpstr>
      <vt:lpstr>Gstep</vt:lpstr>
      <vt:lpstr>GxI_graf</vt:lpstr>
      <vt:lpstr>I_sat</vt:lpstr>
      <vt:lpstr>I_senc</vt:lpstr>
      <vt:lpstr>I_Y</vt:lpstr>
      <vt:lpstr>Kelv_Salt</vt:lpstr>
      <vt:lpstr>Lin</vt:lpstr>
      <vt:lpstr>LoadSeqFrom</vt:lpstr>
      <vt:lpstr>LoadSeqTo</vt:lpstr>
      <vt:lpstr>Match.ColH_first</vt:lpstr>
      <vt:lpstr>Match.Consen</vt:lpstr>
      <vt:lpstr>Match.CountErr</vt:lpstr>
      <vt:lpstr>Match.Data</vt:lpstr>
      <vt:lpstr>Match.DataBeg</vt:lpstr>
      <vt:lpstr>Match.HCons</vt:lpstr>
      <vt:lpstr>Match.Pos</vt:lpstr>
      <vt:lpstr>Match.RowH_first</vt:lpstr>
      <vt:lpstr>Match.SelectedPosRow</vt:lpstr>
      <vt:lpstr>Match.SumadHmax</vt:lpstr>
      <vt:lpstr>Match.SumadHmin</vt:lpstr>
      <vt:lpstr>Match.SumadSmax</vt:lpstr>
      <vt:lpstr>Match.SumadSmin</vt:lpstr>
      <vt:lpstr>Match.sumATmax</vt:lpstr>
      <vt:lpstr>Match.sumGCmax</vt:lpstr>
      <vt:lpstr>MaxMM</vt:lpstr>
      <vt:lpstr>MaxSeqLength</vt:lpstr>
      <vt:lpstr>Mayoritario</vt:lpstr>
      <vt:lpstr>MinLen</vt:lpstr>
      <vt:lpstr>Minoritario</vt:lpstr>
      <vt:lpstr>MinToCons</vt:lpstr>
      <vt:lpstr>MinToHCons</vt:lpstr>
      <vt:lpstr>Na_mM</vt:lpstr>
      <vt:lpstr>NoNt</vt:lpstr>
      <vt:lpstr>NoSeq</vt:lpstr>
      <vt:lpstr>OnlyWorst</vt:lpstr>
      <vt:lpstr>p_nM</vt:lpstr>
      <vt:lpstr>pos</vt:lpstr>
      <vt:lpstr>PosiblesTmCalcMet</vt:lpstr>
      <vt:lpstr>PrimerLen</vt:lpstr>
      <vt:lpstr>RlnPC</vt:lpstr>
      <vt:lpstr>ro</vt:lpstr>
      <vt:lpstr>selected</vt:lpstr>
      <vt:lpstr>seq</vt:lpstr>
      <vt:lpstr>SeqDescriptions</vt:lpstr>
      <vt:lpstr>SeqName</vt:lpstr>
      <vt:lpstr>SeqStart</vt:lpstr>
      <vt:lpstr>SeqTableVert</vt:lpstr>
      <vt:lpstr>SeqToSee</vt:lpstr>
      <vt:lpstr>T</vt:lpstr>
      <vt:lpstr>Ta</vt:lpstr>
      <vt:lpstr>TaK</vt:lpstr>
      <vt:lpstr>te</vt:lpstr>
      <vt:lpstr>Tm_choice</vt:lpstr>
      <vt:lpstr>Tm_max</vt:lpstr>
      <vt:lpstr>Tm_min</vt:lpstr>
      <vt:lpstr>txt2code</vt:lpstr>
      <vt:lpstr>UsedCons</vt:lpstr>
    </vt:vector>
  </TitlesOfParts>
  <Company>Friedrich-Loeffler-Institut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Rodriguez</dc:creator>
  <cp:lastModifiedBy>Ariel</cp:lastModifiedBy>
  <cp:lastPrinted>2010-12-16T12:58:38Z</cp:lastPrinted>
  <dcterms:created xsi:type="dcterms:W3CDTF">2010-08-03T13:37:53Z</dcterms:created>
  <dcterms:modified xsi:type="dcterms:W3CDTF">2016-12-08T11:24:35Z</dcterms:modified>
</cp:coreProperties>
</file>